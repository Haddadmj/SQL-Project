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wazir.nt\Downloads\"/>
    </mc:Choice>
  </mc:AlternateContent>
  <xr:revisionPtr revIDLastSave="0" documentId="13_ncr:1_{952C3804-530B-4150-A097-36D9A10DE2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uration" sheetId="1" r:id="rId1"/>
    <sheet name="Formulas" sheetId="7" r:id="rId2"/>
    <sheet name="TestData(B2C)" sheetId="2" state="hidden" r:id="rId3"/>
    <sheet name="CreditScoreCalc" sheetId="4" r:id="rId4"/>
    <sheet name="TestSample" sheetId="3" r:id="rId5"/>
    <sheet name="SummaryDashboard" sheetId="5" state="hidden" r:id="rId6"/>
    <sheet name="CreditClassReference" sheetId="6" state="hidden" r:id="rId7"/>
  </sheets>
  <definedNames>
    <definedName name="_xlnm._FilterDatabase" localSheetId="4" hidden="1">TestSample!$A$1:$H$121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4" l="1" a="1"/>
  <c r="Q3" i="4" s="1"/>
  <c r="Q4" i="4" a="1"/>
  <c r="Q4" i="4"/>
  <c r="Q5" i="4" a="1"/>
  <c r="Q5" i="4" s="1"/>
  <c r="Q6" i="4" a="1"/>
  <c r="Q6" i="4" s="1"/>
  <c r="Q7" i="4" a="1"/>
  <c r="Q7" i="4"/>
  <c r="Q8" i="4" a="1"/>
  <c r="Q8" i="4" s="1"/>
  <c r="Q9" i="4" a="1"/>
  <c r="Q9" i="4" s="1"/>
  <c r="Q10" i="4" a="1"/>
  <c r="Q10" i="4" s="1"/>
  <c r="Q11" i="4" a="1"/>
  <c r="Q11" i="4" s="1"/>
  <c r="Q12" i="4" a="1"/>
  <c r="Q12" i="4" s="1"/>
  <c r="Q13" i="4" a="1"/>
  <c r="Q13" i="4" s="1"/>
  <c r="Q14" i="4" a="1"/>
  <c r="Q14" i="4" s="1"/>
  <c r="Q15" i="4" a="1"/>
  <c r="Q15" i="4" s="1"/>
  <c r="Q16" i="4" a="1"/>
  <c r="Q16" i="4" s="1"/>
  <c r="Q17" i="4" a="1"/>
  <c r="Q17" i="4" s="1"/>
  <c r="Q18" i="4" a="1"/>
  <c r="Q18" i="4"/>
  <c r="Q19" i="4" a="1"/>
  <c r="Q19" i="4" s="1"/>
  <c r="Q20" i="4" a="1"/>
  <c r="Q20" i="4" s="1"/>
  <c r="Q21" i="4" a="1"/>
  <c r="Q21" i="4" s="1"/>
  <c r="Q2" i="4" a="1"/>
  <c r="Q2" i="4" s="1"/>
  <c r="O3" i="4" a="1"/>
  <c r="O3" i="4"/>
  <c r="O4" i="4" a="1"/>
  <c r="O4" i="4" s="1"/>
  <c r="O5" i="4" a="1"/>
  <c r="O5" i="4" s="1"/>
  <c r="O6" i="4" a="1"/>
  <c r="O6" i="4"/>
  <c r="O7" i="4" a="1"/>
  <c r="O7" i="4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/>
  <c r="O14" i="4" a="1"/>
  <c r="O14" i="4"/>
  <c r="O15" i="4" a="1"/>
  <c r="O15" i="4" s="1"/>
  <c r="O16" i="4" a="1"/>
  <c r="O16" i="4"/>
  <c r="O17" i="4" a="1"/>
  <c r="O17" i="4" s="1"/>
  <c r="O18" i="4" a="1"/>
  <c r="O18" i="4"/>
  <c r="O19" i="4" a="1"/>
  <c r="O19" i="4" s="1"/>
  <c r="O20" i="4" a="1"/>
  <c r="O20" i="4" s="1"/>
  <c r="O21" i="4" a="1"/>
  <c r="O21" i="4"/>
  <c r="O2" i="4" a="1"/>
  <c r="O2" i="4"/>
  <c r="M3" i="4" a="1"/>
  <c r="M3" i="4" s="1"/>
  <c r="M4" i="4" a="1"/>
  <c r="M4" i="4" s="1"/>
  <c r="M5" i="4" a="1"/>
  <c r="M5" i="4" s="1"/>
  <c r="M6" i="4" a="1"/>
  <c r="M6" i="4" s="1"/>
  <c r="R6" i="4" s="1"/>
  <c r="M7" i="4" a="1"/>
  <c r="M7" i="4"/>
  <c r="M8" i="4" a="1"/>
  <c r="M8" i="4" s="1"/>
  <c r="M9" i="4" a="1"/>
  <c r="M9" i="4" s="1"/>
  <c r="M10" i="4" a="1"/>
  <c r="M10" i="4" s="1"/>
  <c r="M11" i="4" a="1"/>
  <c r="M11" i="4" s="1"/>
  <c r="M12" i="4" a="1"/>
  <c r="M12" i="4"/>
  <c r="M13" i="4" a="1"/>
  <c r="M13" i="4"/>
  <c r="M14" i="4" a="1"/>
  <c r="M14" i="4" s="1"/>
  <c r="M15" i="4" a="1"/>
  <c r="M15" i="4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" i="4" a="1"/>
  <c r="M2" i="4"/>
  <c r="K10" i="4" a="1"/>
  <c r="K10" i="4" s="1"/>
  <c r="K11" i="4" a="1"/>
  <c r="K11" i="4" s="1"/>
  <c r="K12" i="4" a="1"/>
  <c r="K12" i="4" s="1"/>
  <c r="K13" i="4" a="1"/>
  <c r="K13" i="4"/>
  <c r="K14" i="4" a="1"/>
  <c r="K14" i="4" s="1"/>
  <c r="K15" i="4" a="1"/>
  <c r="K15" i="4"/>
  <c r="R15" i="4" s="1"/>
  <c r="K16" i="4" a="1"/>
  <c r="K16" i="4" s="1"/>
  <c r="K17" i="4" a="1"/>
  <c r="K17" i="4" s="1"/>
  <c r="K18" i="4" a="1"/>
  <c r="K18" i="4" s="1"/>
  <c r="K19" i="4" a="1"/>
  <c r="K19" i="4" s="1"/>
  <c r="K20" i="4" a="1"/>
  <c r="K20" i="4"/>
  <c r="K21" i="4" a="1"/>
  <c r="K21" i="4" s="1"/>
  <c r="K3" i="4" a="1"/>
  <c r="K3" i="4" s="1"/>
  <c r="K4" i="4" a="1"/>
  <c r="K4" i="4" s="1"/>
  <c r="K5" i="4" a="1"/>
  <c r="K5" i="4"/>
  <c r="K6" i="4" a="1"/>
  <c r="K6" i="4"/>
  <c r="K7" i="4" a="1"/>
  <c r="K7" i="4"/>
  <c r="K8" i="4" a="1"/>
  <c r="K8" i="4" s="1"/>
  <c r="K9" i="4" a="1"/>
  <c r="K9" i="4" s="1"/>
  <c r="K2" i="4" a="1"/>
  <c r="K2" i="4" s="1"/>
  <c r="E111" i="3"/>
  <c r="E112" i="3"/>
  <c r="E113" i="3"/>
  <c r="E114" i="3"/>
  <c r="E115" i="3"/>
  <c r="E110" i="3"/>
  <c r="E105" i="3"/>
  <c r="E106" i="3"/>
  <c r="E107" i="3"/>
  <c r="E108" i="3"/>
  <c r="E109" i="3"/>
  <c r="E104" i="3"/>
  <c r="E93" i="3"/>
  <c r="E94" i="3"/>
  <c r="E95" i="3"/>
  <c r="E96" i="3"/>
  <c r="E97" i="3"/>
  <c r="E92" i="3"/>
  <c r="E91" i="3"/>
  <c r="E85" i="3"/>
  <c r="E78" i="3"/>
  <c r="E73" i="3"/>
  <c r="E63" i="3"/>
  <c r="E64" i="3"/>
  <c r="E65" i="3"/>
  <c r="E66" i="3"/>
  <c r="E67" i="3"/>
  <c r="E62" i="3"/>
  <c r="E57" i="3"/>
  <c r="E58" i="3"/>
  <c r="E59" i="3"/>
  <c r="E60" i="3"/>
  <c r="E61" i="3"/>
  <c r="E56" i="3"/>
  <c r="E37" i="3"/>
  <c r="E31" i="3"/>
  <c r="E25" i="3"/>
  <c r="E19" i="3"/>
  <c r="F3" i="4" a="1"/>
  <c r="F3" i="4" s="1"/>
  <c r="F4" i="4" a="1"/>
  <c r="F4" i="4" s="1"/>
  <c r="R4" i="4" s="1"/>
  <c r="F5" i="4" a="1"/>
  <c r="F5" i="4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/>
  <c r="F17" i="4" a="1"/>
  <c r="F17" i="4"/>
  <c r="F18" i="4" a="1"/>
  <c r="F18" i="4"/>
  <c r="F19" i="4" a="1"/>
  <c r="F19" i="4" s="1"/>
  <c r="F20" i="4" a="1"/>
  <c r="F20" i="4" s="1"/>
  <c r="F21" i="4" a="1"/>
  <c r="F21" i="4" s="1"/>
  <c r="F2" i="4" a="1"/>
  <c r="F2" i="4" s="1"/>
  <c r="D8" i="4" a="1"/>
  <c r="D8" i="4" s="1"/>
  <c r="D9" i="4" a="1"/>
  <c r="D9" i="4" s="1"/>
  <c r="R9" i="4" s="1"/>
  <c r="D10" i="4" a="1"/>
  <c r="D10" i="4" s="1"/>
  <c r="D11" i="4" a="1"/>
  <c r="D11" i="4"/>
  <c r="R11" i="4" s="1"/>
  <c r="D12" i="4" a="1"/>
  <c r="D12" i="4"/>
  <c r="R12" i="4" s="1"/>
  <c r="D13" i="4" a="1"/>
  <c r="D13" i="4" s="1"/>
  <c r="D14" i="4" a="1"/>
  <c r="D14" i="4"/>
  <c r="R14" i="4" s="1"/>
  <c r="D15" i="4" a="1"/>
  <c r="D15" i="4" s="1"/>
  <c r="D16" i="4" a="1"/>
  <c r="D16" i="4" s="1"/>
  <c r="D17" i="4" a="1"/>
  <c r="D17" i="4" s="1"/>
  <c r="D18" i="4" a="1"/>
  <c r="D18" i="4" s="1"/>
  <c r="D19" i="4" a="1"/>
  <c r="D19" i="4" s="1"/>
  <c r="R19" i="4" s="1"/>
  <c r="D20" i="4" a="1"/>
  <c r="D20" i="4" s="1"/>
  <c r="R20" i="4" s="1"/>
  <c r="D21" i="4" a="1"/>
  <c r="D21" i="4" s="1"/>
  <c r="D3" i="4" a="1"/>
  <c r="D3" i="4" s="1"/>
  <c r="R3" i="4" s="1"/>
  <c r="D4" i="4" a="1"/>
  <c r="D4" i="4" s="1"/>
  <c r="D5" i="4" a="1"/>
  <c r="D5" i="4" s="1"/>
  <c r="D6" i="4" a="1"/>
  <c r="D6" i="4"/>
  <c r="D7" i="4" a="1"/>
  <c r="D7" i="4" s="1"/>
  <c r="D2" i="4" a="1"/>
  <c r="D2" i="4" s="1"/>
  <c r="I3" i="4" a="1"/>
  <c r="I3" i="4"/>
  <c r="I4" i="4" a="1"/>
  <c r="I4" i="4" s="1"/>
  <c r="I5" i="4" a="1"/>
  <c r="I5" i="4" s="1"/>
  <c r="I6" i="4" a="1"/>
  <c r="I6" i="4" s="1"/>
  <c r="I7" i="4" a="1"/>
  <c r="I7" i="4" s="1"/>
  <c r="I8" i="4" a="1"/>
  <c r="I8" i="4"/>
  <c r="I9" i="4" a="1"/>
  <c r="I9" i="4" s="1"/>
  <c r="I10" i="4" a="1"/>
  <c r="I10" i="4" s="1"/>
  <c r="I11" i="4" a="1"/>
  <c r="I11" i="4"/>
  <c r="I12" i="4" a="1"/>
  <c r="I12" i="4" s="1"/>
  <c r="I13" i="4" a="1"/>
  <c r="I13" i="4" s="1"/>
  <c r="I14" i="4" a="1"/>
  <c r="I14" i="4" s="1"/>
  <c r="I15" i="4" a="1"/>
  <c r="I15" i="4" s="1"/>
  <c r="I16" i="4" a="1"/>
  <c r="I16" i="4" s="1"/>
  <c r="I17" i="4" a="1"/>
  <c r="I17" i="4" s="1"/>
  <c r="I18" i="4" a="1"/>
  <c r="I18" i="4" s="1"/>
  <c r="I19" i="4" a="1"/>
  <c r="I19" i="4"/>
  <c r="I20" i="4" a="1"/>
  <c r="I20" i="4" s="1"/>
  <c r="I21" i="4" a="1"/>
  <c r="I21" i="4" s="1"/>
  <c r="I2" i="4" a="1"/>
  <c r="I2" i="4" s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T14" i="4" l="1" a="1"/>
  <c r="T14" i="4" s="1"/>
  <c r="U14" i="4" a="1"/>
  <c r="U14" i="4" s="1"/>
  <c r="R10" i="4"/>
  <c r="U9" i="4" a="1"/>
  <c r="U9" i="4" s="1"/>
  <c r="T9" i="4" a="1"/>
  <c r="T9" i="4" s="1"/>
  <c r="T6" i="4" a="1"/>
  <c r="T6" i="4" s="1"/>
  <c r="U6" i="4" a="1"/>
  <c r="U6" i="4" s="1"/>
  <c r="U4" i="4" a="1"/>
  <c r="U4" i="4" s="1"/>
  <c r="T4" i="4" a="1"/>
  <c r="T4" i="4" s="1"/>
  <c r="U3" i="4" a="1"/>
  <c r="U3" i="4" s="1"/>
  <c r="T3" i="4" a="1"/>
  <c r="T3" i="4" s="1"/>
  <c r="R13" i="4"/>
  <c r="T12" i="4" a="1"/>
  <c r="T12" i="4" s="1"/>
  <c r="U12" i="4" a="1"/>
  <c r="U12" i="4" s="1"/>
  <c r="T11" i="4" a="1"/>
  <c r="T11" i="4" s="1"/>
  <c r="U11" i="4" a="1"/>
  <c r="U11" i="4" s="1"/>
  <c r="R2" i="4"/>
  <c r="R7" i="4"/>
  <c r="R17" i="4"/>
  <c r="U20" i="4" a="1"/>
  <c r="U20" i="4" s="1"/>
  <c r="T20" i="4" a="1"/>
  <c r="T20" i="4" s="1"/>
  <c r="U15" i="4" a="1"/>
  <c r="U15" i="4" s="1"/>
  <c r="T15" i="4" a="1"/>
  <c r="T15" i="4" s="1"/>
  <c r="R5" i="4"/>
  <c r="R8" i="4"/>
  <c r="R21" i="4"/>
  <c r="U19" i="4" a="1"/>
  <c r="U19" i="4" s="1"/>
  <c r="T19" i="4" a="1"/>
  <c r="T19" i="4" s="1"/>
  <c r="R18" i="4"/>
  <c r="R16" i="4"/>
  <c r="T13" i="4" l="1" a="1"/>
  <c r="T13" i="4" s="1"/>
  <c r="U13" i="4" a="1"/>
  <c r="U13" i="4" s="1"/>
  <c r="U21" i="4" a="1"/>
  <c r="U21" i="4" s="1"/>
  <c r="T21" i="4" a="1"/>
  <c r="T21" i="4" s="1"/>
  <c r="T10" i="4" a="1"/>
  <c r="T10" i="4" s="1"/>
  <c r="U10" i="4" a="1"/>
  <c r="U10" i="4" s="1"/>
  <c r="T16" i="4" a="1"/>
  <c r="T16" i="4" s="1"/>
  <c r="U16" i="4" a="1"/>
  <c r="U16" i="4" s="1"/>
  <c r="T8" i="4" a="1"/>
  <c r="T8" i="4" s="1"/>
  <c r="U8" i="4" a="1"/>
  <c r="U8" i="4" s="1"/>
  <c r="U5" i="4" a="1"/>
  <c r="U5" i="4" s="1"/>
  <c r="T5" i="4" a="1"/>
  <c r="T5" i="4" s="1"/>
  <c r="U17" i="4" a="1"/>
  <c r="U17" i="4" s="1"/>
  <c r="T17" i="4" a="1"/>
  <c r="T17" i="4" s="1"/>
  <c r="T7" i="4" a="1"/>
  <c r="T7" i="4" s="1"/>
  <c r="U7" i="4" a="1"/>
  <c r="U7" i="4" s="1"/>
  <c r="U2" i="4" a="1"/>
  <c r="U2" i="4" s="1"/>
  <c r="T2" i="4" a="1"/>
  <c r="T2" i="4" s="1"/>
  <c r="U18" i="4" a="1"/>
  <c r="U18" i="4" s="1"/>
  <c r="T18" i="4" a="1"/>
  <c r="T1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<sst xmlns="http://schemas.openxmlformats.org/spreadsheetml/2006/main" count="963" uniqueCount="358">
  <si>
    <t>Total Score Scale: 0-1000 Points | 10-Tier Rating System (AAA to D)</t>
  </si>
  <si>
    <t>FACTOR 1: AGE RANGES</t>
  </si>
  <si>
    <t>Total Weight: 150 points (15%)</t>
  </si>
  <si>
    <t>Min Age</t>
  </si>
  <si>
    <t>Max Age</t>
  </si>
  <si>
    <t>Points</t>
  </si>
  <si>
    <t>Description</t>
  </si>
  <si>
    <t>Formula</t>
  </si>
  <si>
    <t>Young, limited credit history</t>
  </si>
  <si>
    <t>YEAR(TODAY())-YEAR(Birth Date)</t>
  </si>
  <si>
    <t>Establishing financial stability</t>
  </si>
  <si>
    <t>Peak earning and stability</t>
  </si>
  <si>
    <t>Near retirement, stable</t>
  </si>
  <si>
    <t>Retired, higher risk</t>
  </si>
  <si>
    <t>FACTOR 2: MEDIAN INCOME (Last 3 Months, Spike Excluded)</t>
  </si>
  <si>
    <t>Min Income</t>
  </si>
  <si>
    <t>Max Income</t>
  </si>
  <si>
    <t>Below minimum threshold</t>
  </si>
  <si>
    <t>MEDIAN(Last 3 months) - Exclude if spike &gt;30%</t>
  </si>
  <si>
    <t>Low income</t>
  </si>
  <si>
    <t>Medium income</t>
  </si>
  <si>
    <t>High income</t>
  </si>
  <si>
    <t>Min Amount</t>
  </si>
  <si>
    <t>Max Amount</t>
  </si>
  <si>
    <t>Very low debt (0-500/month avg)</t>
  </si>
  <si>
    <t>Low debt (501-1,000/month avg)</t>
  </si>
  <si>
    <t>Moderate debt (1,001-1,500/month avg)</t>
  </si>
  <si>
    <t>High debt (1,501-3,000/month avg)</t>
  </si>
  <si>
    <t>Very high debt (3,001-5,000/month avg)</t>
  </si>
  <si>
    <t>Excessive debt (&gt;5,000/month avg)</t>
  </si>
  <si>
    <t>FACTOR 4: SURPLUS RATIO</t>
  </si>
  <si>
    <t>Min Ratio</t>
  </si>
  <si>
    <t>Max Ratio</t>
  </si>
  <si>
    <t>Spending more than earning</t>
  </si>
  <si>
    <t>(Avg Income - Avg Expenses) / Avg Income</t>
  </si>
  <si>
    <t>Minimal surplus (1-10%)</t>
  </si>
  <si>
    <t>Moderate surplus (11-20%)</t>
  </si>
  <si>
    <t>Good surplus (21-30%)</t>
  </si>
  <si>
    <t>Excellent surplus (&gt;30%)</t>
  </si>
  <si>
    <t>Min Salary</t>
  </si>
  <si>
    <t>Max Salary</t>
  </si>
  <si>
    <t>Risk Category</t>
  </si>
  <si>
    <t>High Risk</t>
  </si>
  <si>
    <t>Salary range categorization</t>
  </si>
  <si>
    <t>Medium Risk</t>
  </si>
  <si>
    <t>Low Risk</t>
  </si>
  <si>
    <t>FACTOR 6: CASH FLOW</t>
  </si>
  <si>
    <t>Min Cash Flow</t>
  </si>
  <si>
    <t>Max Cash Flow</t>
  </si>
  <si>
    <t>Negative cash flow</t>
  </si>
  <si>
    <t>Avg Income - Avg Expenses</t>
  </si>
  <si>
    <t>Minimal positive</t>
  </si>
  <si>
    <t>Moderate positive</t>
  </si>
  <si>
    <t>Strong positive</t>
  </si>
  <si>
    <t>FACTOR 7: ACCOUNT DPR (Debt Payment Ratio)</t>
  </si>
  <si>
    <t>Total Weight: 100 points (10%)</t>
  </si>
  <si>
    <t>Min DPR %</t>
  </si>
  <si>
    <t>Max DPR %</t>
  </si>
  <si>
    <t>Excellent (0-10%)</t>
  </si>
  <si>
    <t>Avg Loan Payment / Median Income</t>
  </si>
  <si>
    <t>Good (11-25%)</t>
  </si>
  <si>
    <t>Moderate (26-40%)</t>
  </si>
  <si>
    <t>High (41-60%)</t>
  </si>
  <si>
    <t>Very High (&gt;60%)</t>
  </si>
  <si>
    <t>Class</t>
  </si>
  <si>
    <t>Name</t>
  </si>
  <si>
    <t>Approval</t>
  </si>
  <si>
    <t>AAA</t>
  </si>
  <si>
    <t>Excellent</t>
  </si>
  <si>
    <t>Very High</t>
  </si>
  <si>
    <t>AA</t>
  </si>
  <si>
    <t>Very Good</t>
  </si>
  <si>
    <t>High</t>
  </si>
  <si>
    <t>A</t>
  </si>
  <si>
    <t>Good</t>
  </si>
  <si>
    <t>BBB</t>
  </si>
  <si>
    <t>Above Average</t>
  </si>
  <si>
    <t>Moderate</t>
  </si>
  <si>
    <t>BB</t>
  </si>
  <si>
    <t>Average</t>
  </si>
  <si>
    <t>B</t>
  </si>
  <si>
    <t>Below Average</t>
  </si>
  <si>
    <t>Low</t>
  </si>
  <si>
    <t>CCC</t>
  </si>
  <si>
    <t>Poor</t>
  </si>
  <si>
    <t>Very Low</t>
  </si>
  <si>
    <t>CC</t>
  </si>
  <si>
    <t>Very Poor</t>
  </si>
  <si>
    <t>Unlikely</t>
  </si>
  <si>
    <t>C</t>
  </si>
  <si>
    <t>Extremely Poor</t>
  </si>
  <si>
    <t>Declined</t>
  </si>
  <si>
    <t>D</t>
  </si>
  <si>
    <t>Default Risk</t>
  </si>
  <si>
    <t>Employee ID</t>
  </si>
  <si>
    <t>Gender</t>
  </si>
  <si>
    <t>Birth Date</t>
  </si>
  <si>
    <t>Age</t>
  </si>
  <si>
    <t>Employment Type</t>
  </si>
  <si>
    <t>Base Salary</t>
  </si>
  <si>
    <t>Account Opening Date</t>
  </si>
  <si>
    <t>EMP001</t>
  </si>
  <si>
    <t>Ahmed Al-Hassan</t>
  </si>
  <si>
    <t>M</t>
  </si>
  <si>
    <t>2002-03-15</t>
  </si>
  <si>
    <t>Full-time</t>
  </si>
  <si>
    <t>2024-01-01</t>
  </si>
  <si>
    <t>EMP002</t>
  </si>
  <si>
    <t>Fatima Al-Rashid</t>
  </si>
  <si>
    <t>F</t>
  </si>
  <si>
    <t>1999-06-22</t>
  </si>
  <si>
    <t>2024-02-01</t>
  </si>
  <si>
    <t>EMP003</t>
  </si>
  <si>
    <t>Mohammed Al-Saud</t>
  </si>
  <si>
    <t>1994-11-08</t>
  </si>
  <si>
    <t>2023-06-15</t>
  </si>
  <si>
    <t>EMP004</t>
  </si>
  <si>
    <t>Sarah Al-Mansour</t>
  </si>
  <si>
    <t>1990-04-17</t>
  </si>
  <si>
    <t>2023-03-20</t>
  </si>
  <si>
    <t>EMP005</t>
  </si>
  <si>
    <t>Khalid Al-Faisal</t>
  </si>
  <si>
    <t>1987-09-30</t>
  </si>
  <si>
    <t>2022-01-10</t>
  </si>
  <si>
    <t>EMP006</t>
  </si>
  <si>
    <t>Noura Al-Otaibi</t>
  </si>
  <si>
    <t>1985-12-05</t>
  </si>
  <si>
    <t>2021-08-15</t>
  </si>
  <si>
    <t>EMP007</t>
  </si>
  <si>
    <t>Abdullah Al-Qahtani</t>
  </si>
  <si>
    <t>1971-07-20</t>
  </si>
  <si>
    <t>2020-05-01</t>
  </si>
  <si>
    <t>EMP008</t>
  </si>
  <si>
    <t>Maryam Al-Harbi</t>
  </si>
  <si>
    <t>1963-02-14</t>
  </si>
  <si>
    <t>Retired</t>
  </si>
  <si>
    <t>2019-11-20</t>
  </si>
  <si>
    <t>EMP009</t>
  </si>
  <si>
    <t>Youssef Al-Mutairi</t>
  </si>
  <si>
    <t>1997-08-12</t>
  </si>
  <si>
    <t>Part-time</t>
  </si>
  <si>
    <t>2024-03-01</t>
  </si>
  <si>
    <t>EMP010</t>
  </si>
  <si>
    <t>Layla Al-Shammari</t>
  </si>
  <si>
    <t>1988-05-28</t>
  </si>
  <si>
    <t>2022-09-15</t>
  </si>
  <si>
    <t>EMP011</t>
  </si>
  <si>
    <t>Omar Al-Dosari</t>
  </si>
  <si>
    <t>2000-01-10</t>
  </si>
  <si>
    <t>2024-04-01</t>
  </si>
  <si>
    <t>EMP012</t>
  </si>
  <si>
    <t>Aisha Al-Ghamdi</t>
  </si>
  <si>
    <t>1992-09-25</t>
  </si>
  <si>
    <t>2023-07-10</t>
  </si>
  <si>
    <t>EMP013</t>
  </si>
  <si>
    <t>Faisal Al-Zahrani</t>
  </si>
  <si>
    <t>1983-03-18</t>
  </si>
  <si>
    <t>2022-02-20</t>
  </si>
  <si>
    <t>EMP014</t>
  </si>
  <si>
    <t>Hanan Al-Balawi</t>
  </si>
  <si>
    <t>1995-11-30</t>
  </si>
  <si>
    <t>2023-09-05</t>
  </si>
  <si>
    <t>EMP015</t>
  </si>
  <si>
    <t>Sultan Al-Ahmadi</t>
  </si>
  <si>
    <t>1978-06-14</t>
  </si>
  <si>
    <t>2021-11-15</t>
  </si>
  <si>
    <t>EMP016</t>
  </si>
  <si>
    <t>Reem Al-Juhani</t>
  </si>
  <si>
    <t>1968-04-22</t>
  </si>
  <si>
    <t>2020-08-20</t>
  </si>
  <si>
    <t>EMP017</t>
  </si>
  <si>
    <t>Saad Al-Malki</t>
  </si>
  <si>
    <t>2001-12-08</t>
  </si>
  <si>
    <t>2024-05-01</t>
  </si>
  <si>
    <t>EMP018</t>
  </si>
  <si>
    <t>Nora Al-Subaie</t>
  </si>
  <si>
    <t>1986-07-15</t>
  </si>
  <si>
    <t>2022-12-10</t>
  </si>
  <si>
    <t>EMP019</t>
  </si>
  <si>
    <t>Turki Al-Harbi</t>
  </si>
  <si>
    <t>1975-10-05</t>
  </si>
  <si>
    <t>2021-06-25</t>
  </si>
  <si>
    <t>EMP020</t>
  </si>
  <si>
    <t>Lulwa Al-Rasheed</t>
  </si>
  <si>
    <t>1960-08-30</t>
  </si>
  <si>
    <t>2019-10-15</t>
  </si>
  <si>
    <t>Month</t>
  </si>
  <si>
    <t>Income</t>
  </si>
  <si>
    <t>Expenses</t>
  </si>
  <si>
    <t>Loan Payment</t>
  </si>
  <si>
    <t>Loan Type</t>
  </si>
  <si>
    <t>Cash In</t>
  </si>
  <si>
    <t>Cash Out</t>
  </si>
  <si>
    <t>2024-08</t>
  </si>
  <si>
    <t>Credit Card</t>
  </si>
  <si>
    <t>2024-09</t>
  </si>
  <si>
    <t>2024-10</t>
  </si>
  <si>
    <t>2024-11</t>
  </si>
  <si>
    <t>2024-12</t>
  </si>
  <si>
    <t>2025-01</t>
  </si>
  <si>
    <t>None</t>
  </si>
  <si>
    <t>Car Loan</t>
  </si>
  <si>
    <t>Mortgage</t>
  </si>
  <si>
    <t>Multiple Loans</t>
  </si>
  <si>
    <t>Personal Loan</t>
  </si>
  <si>
    <t>Age Score</t>
  </si>
  <si>
    <t>Median Income (L3M)</t>
  </si>
  <si>
    <t>Income Score</t>
  </si>
  <si>
    <t>Loan Score</t>
  </si>
  <si>
    <t>Surplus Ratio</t>
  </si>
  <si>
    <t>Surplus Score</t>
  </si>
  <si>
    <t>Salary Range</t>
  </si>
  <si>
    <t>Salary Score</t>
  </si>
  <si>
    <t>Cash Flow</t>
  </si>
  <si>
    <t>CashFlow Score</t>
  </si>
  <si>
    <t>Account DPR</t>
  </si>
  <si>
    <t>DPR Score</t>
  </si>
  <si>
    <t>Total Score</t>
  </si>
  <si>
    <t>Credit Class</t>
  </si>
  <si>
    <t>Class Name</t>
  </si>
  <si>
    <t>Credit Scoring Summary Dashboard</t>
  </si>
  <si>
    <t>Distribution by Credit Class (1000-Point Scale)</t>
  </si>
  <si>
    <t>Overall Statistics</t>
  </si>
  <si>
    <t>Count</t>
  </si>
  <si>
    <t>Percentage</t>
  </si>
  <si>
    <t>Score Range</t>
  </si>
  <si>
    <t>Total Employees</t>
  </si>
  <si>
    <t>AAA - Excellent</t>
  </si>
  <si>
    <t>900-1000</t>
  </si>
  <si>
    <t>Average Score</t>
  </si>
  <si>
    <t>AA - Very Good</t>
  </si>
  <si>
    <t>800-899</t>
  </si>
  <si>
    <t>Median Score</t>
  </si>
  <si>
    <t>A - Good</t>
  </si>
  <si>
    <t>700-799</t>
  </si>
  <si>
    <t>Highest Score</t>
  </si>
  <si>
    <t>BBB - Above Average</t>
  </si>
  <si>
    <t>600-699</t>
  </si>
  <si>
    <t>Lowest Score</t>
  </si>
  <si>
    <t>BB - Average</t>
  </si>
  <si>
    <t>500-599</t>
  </si>
  <si>
    <t>Std Deviation</t>
  </si>
  <si>
    <t>B - Below Average</t>
  </si>
  <si>
    <t>400-499</t>
  </si>
  <si>
    <t>CCC - Poor</t>
  </si>
  <si>
    <t>300-399</t>
  </si>
  <si>
    <t>Salary Risk Distribution</t>
  </si>
  <si>
    <t>CC - Very Poor</t>
  </si>
  <si>
    <t>200-299</t>
  </si>
  <si>
    <t>Low Risk (&gt;15K)</t>
  </si>
  <si>
    <t>C - Extremely Poor</t>
  </si>
  <si>
    <t>100-199</t>
  </si>
  <si>
    <t>Medium Risk (5-15K)</t>
  </si>
  <si>
    <t>D - Default Risk</t>
  </si>
  <si>
    <t>0-99</t>
  </si>
  <si>
    <t>High Risk (&lt;5K)</t>
  </si>
  <si>
    <t>Gender Distribution</t>
  </si>
  <si>
    <t>Male Average Score</t>
  </si>
  <si>
    <t>Female Average Score</t>
  </si>
  <si>
    <t>Male Count</t>
  </si>
  <si>
    <t>Female Count</t>
  </si>
  <si>
    <t>Credit Rating Bands Reference (1000-Point Scale)</t>
  </si>
  <si>
    <t>Outstanding creditworthiness with minimal risk</t>
  </si>
  <si>
    <t>More than 899</t>
  </si>
  <si>
    <t>Very strong capacity to meet financial commitments</t>
  </si>
  <si>
    <t>More than 799</t>
  </si>
  <si>
    <t>Strong capacity to meet financial commitments</t>
  </si>
  <si>
    <t>More than 699</t>
  </si>
  <si>
    <t>Adequate capacity to meet financial commitments</t>
  </si>
  <si>
    <t>More than 599</t>
  </si>
  <si>
    <t>Faces ongoing uncertainties to adverse conditions</t>
  </si>
  <si>
    <t>More than 499</t>
  </si>
  <si>
    <t>Vulnerable to adverse financial conditions</t>
  </si>
  <si>
    <t>More than 399</t>
  </si>
  <si>
    <t>Currently vulnerable with dependency on favorable conditions</t>
  </si>
  <si>
    <t>More than 299</t>
  </si>
  <si>
    <t>Highly vulnerable with limited margin of safety</t>
  </si>
  <si>
    <t>More than 199</t>
  </si>
  <si>
    <t>Approaching or in default with little prospect for recovery</t>
  </si>
  <si>
    <t>More than 99</t>
  </si>
  <si>
    <t>In default or expected to default</t>
  </si>
  <si>
    <t>Less than 100</t>
  </si>
  <si>
    <t>CREDIT SCORING FORMULAS REFERENCE</t>
  </si>
  <si>
    <t>This sheet documents all formulas used in credit score calculation</t>
  </si>
  <si>
    <t>150 points (15%)</t>
  </si>
  <si>
    <t>Calculate age: YEAR(TODAY()) - YEAR(Birth Date)</t>
  </si>
  <si>
    <t>Example:</t>
  </si>
  <si>
    <t>Measures percentage of income remaining after expenses</t>
  </si>
  <si>
    <t>Cash Flow = Avg Income - Avg Expenses</t>
  </si>
  <si>
    <t>100 points (10%)</t>
  </si>
  <si>
    <t>TOTAL SCORE CALCULATION</t>
  </si>
  <si>
    <t>Formula:</t>
  </si>
  <si>
    <t>Range:</t>
  </si>
  <si>
    <t>0 to 1000 points</t>
  </si>
  <si>
    <t>150 + 100 + 150 + 150 + 90 + 150 + 100 = 890 points → Class AA (Very Good)</t>
  </si>
  <si>
    <t>CREDIT CLASS ASSIGNMENT</t>
  </si>
  <si>
    <t>Logic:</t>
  </si>
  <si>
    <t>Compare Total Score against 10-tier rating bands in Configuration (rows 67-76)</t>
  </si>
  <si>
    <t>Last month Loan payment Amount</t>
  </si>
  <si>
    <t>FACTOR 3: LOAN PAYMENT (Sum of Last Month Loan Payment)</t>
  </si>
  <si>
    <t>Sum Loan (LM)</t>
  </si>
  <si>
    <t>FACTOR 5: SALARY CATEGORY</t>
  </si>
  <si>
    <t>Risk Factor</t>
  </si>
  <si>
    <t>AGE RANGES</t>
  </si>
  <si>
    <t>MEDIAN INCOME (Last 3 Months, Spike Excluded)</t>
  </si>
  <si>
    <t>LOAN PAYMENT (Sum of Last Month)</t>
  </si>
  <si>
    <t>SURPLUS RATIO</t>
  </si>
  <si>
    <t>CASH FLOW</t>
  </si>
  <si>
    <t>SALARY CATEGORY</t>
  </si>
  <si>
    <r>
      <t xml:space="preserve">Evaluates debt burden based on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of last month loan payments</t>
    </r>
  </si>
  <si>
    <t>Categorizes salary amount into risk levels</t>
  </si>
  <si>
    <t>Default  Weight</t>
  </si>
  <si>
    <t>Total Score = Age Score + Income Score + Loan Score + Surplus Score + Salary Score + Cashflow Score + DPR Score</t>
  </si>
  <si>
    <t>CREDIT SCORING CONFIGURATION (Per Client)</t>
  </si>
  <si>
    <t>Metric</t>
  </si>
  <si>
    <t>Value</t>
  </si>
  <si>
    <t>Industry Standard</t>
  </si>
  <si>
    <t>Debt-to-Income Ratio</t>
  </si>
  <si>
    <t>&lt; 35%</t>
  </si>
  <si>
    <t>Savings Rate</t>
  </si>
  <si>
    <t>&gt; 15%</t>
  </si>
  <si>
    <t>&gt; 20%</t>
  </si>
  <si>
    <t>Monthly Cash Flow</t>
  </si>
  <si>
    <t>SAR 4,200</t>
  </si>
  <si>
    <t>Positive</t>
  </si>
  <si>
    <t>Emergency Fund</t>
  </si>
  <si>
    <t>4.5 Months</t>
  </si>
  <si>
    <t>&gt; 3 Months</t>
  </si>
  <si>
    <t>Avg Balance (6M)</t>
  </si>
  <si>
    <t>SAR 38,500</t>
  </si>
  <si>
    <t>Stable</t>
  </si>
  <si>
    <t>Negative Balance Days</t>
  </si>
  <si>
    <t>0 Days</t>
  </si>
  <si>
    <t>Salary Regularity</t>
  </si>
  <si>
    <t>&gt; 90%</t>
  </si>
  <si>
    <t>The client should configure the Industry Standard for the given matrix</t>
  </si>
  <si>
    <t>Total Monthly Debt Payments ÷ Total Monthly Income</t>
  </si>
  <si>
    <t>Total Monthly Savings ÷ Total Monthly Income</t>
  </si>
  <si>
    <t>(Monthly Income − Monthly Expenses) ÷ Monthly Income</t>
  </si>
  <si>
    <t>Monthly Cash Flow = Total Monthly Income − Total Monthly Expenses</t>
  </si>
  <si>
    <t>Emergency Fund (Months) =
Total Savings Balance ÷ Average Monthly Expenses</t>
  </si>
  <si>
    <t>Sum of Daily Account Balances over 6 Months ÷ Number of Days</t>
  </si>
  <si>
    <t>Count of Days with Account Balance &lt; 0 during last x Months</t>
  </si>
  <si>
    <t>Salary Regularity =
(Number of Months with Salary Received on Time ÷ Total Months Observed) × 100</t>
  </si>
  <si>
    <t>Calculates median Income from last 3 months, excluding spikes &gt;30%</t>
  </si>
  <si>
    <t>Salary, Ejar</t>
  </si>
  <si>
    <t>Recurring loan amount within last 6 months upon pattren</t>
  </si>
  <si>
    <t>(Credit - Debit) / Credit</t>
  </si>
  <si>
    <t>Salary, راتب</t>
  </si>
  <si>
    <t>Credit - Debit</t>
  </si>
  <si>
    <t xml:space="preserve">ACCOUNT DPR </t>
  </si>
  <si>
    <t xml:space="preserve">Other Metric </t>
  </si>
  <si>
    <t>DPR = Total Loan Payment / Median Income</t>
  </si>
  <si>
    <t>if recurring for continuos 3 months</t>
  </si>
  <si>
    <t>min amount stable within the account</t>
  </si>
  <si>
    <t>Comments</t>
  </si>
  <si>
    <t>(total Credit − total Debit) ÷ total Credit</t>
  </si>
  <si>
    <t xml:space="preserve">Need to be checked if working proparly in prod with real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</si>
</sst>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3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0000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2"/>
      <name val="Calibri"/>
    </font>
    <font>
      <b/>
      <sz val="14"/>
      <name val="Calibri"/>
    </font>
    <font>
      <i/>
      <sz val="10"/>
      <name val="Calibri"/>
    </font>
    <font>
      <sz val="9"/>
      <name val="Courier New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DE350B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B4C7E7"/>
        <bgColor rgb="FFB4C7E7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6600"/>
        <bgColor rgb="FFFF66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366092"/>
      </patternFill>
    </fill>
    <fill>
      <patternFill patternType="solid">
        <fgColor theme="9" tint="-0.249977111117893"/>
        <bgColor rgb="FF366092"/>
      </patternFill>
    </fill>
    <fill>
      <patternFill patternType="solid">
        <fgColor theme="6" tint="-0.249977111117893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6" borderId="0" xfId="0" applyFont="1" applyFill="1"/>
    <xf numFmtId="0" fontId="4" fillId="4" borderId="0" xfId="0" applyFont="1" applyFill="1"/>
    <xf numFmtId="0" fontId="0" fillId="5" borderId="0" xfId="0" applyFill="1"/>
    <xf numFmtId="0" fontId="5" fillId="5" borderId="0" xfId="0" applyFont="1" applyFill="1"/>
    <xf numFmtId="0" fontId="4" fillId="0" borderId="0" xfId="0" applyFont="1"/>
    <xf numFmtId="0" fontId="4" fillId="7" borderId="0" xfId="0" applyFont="1" applyFill="1"/>
    <xf numFmtId="0" fontId="6" fillId="8" borderId="0" xfId="0" applyFont="1" applyFill="1" applyAlignment="1">
      <alignment horizontal="center"/>
    </xf>
    <xf numFmtId="164" fontId="0" fillId="0" borderId="0" xfId="0" applyNumberFormat="1"/>
    <xf numFmtId="0" fontId="8" fillId="0" borderId="0" xfId="0" applyFont="1"/>
    <xf numFmtId="3" fontId="7" fillId="0" borderId="0" xfId="0" applyNumberFormat="1" applyFont="1"/>
    <xf numFmtId="0" fontId="6" fillId="8" borderId="0" xfId="0" applyFont="1" applyFill="1" applyAlignment="1">
      <alignment horizontal="center" wrapText="1"/>
    </xf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0" fontId="4" fillId="10" borderId="0" xfId="0" applyFont="1" applyFill="1"/>
    <xf numFmtId="0" fontId="4" fillId="11" borderId="0" xfId="0" applyFont="1" applyFill="1" applyAlignment="1">
      <alignment vertical="top" wrapText="1"/>
    </xf>
    <xf numFmtId="0" fontId="0" fillId="11" borderId="0" xfId="0" applyFill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0" fillId="13" borderId="0" xfId="0" applyFill="1" applyAlignment="1">
      <alignment vertical="top" wrapText="1"/>
    </xf>
    <xf numFmtId="0" fontId="4" fillId="14" borderId="0" xfId="0" applyFont="1" applyFill="1" applyAlignment="1">
      <alignment vertical="top" wrapText="1"/>
    </xf>
    <xf numFmtId="0" fontId="0" fillId="14" borderId="0" xfId="0" applyFill="1" applyAlignment="1">
      <alignment vertical="top" wrapText="1"/>
    </xf>
    <xf numFmtId="0" fontId="4" fillId="15" borderId="0" xfId="0" applyFont="1" applyFill="1" applyAlignment="1">
      <alignment vertical="top" wrapText="1"/>
    </xf>
    <xf numFmtId="0" fontId="0" fillId="15" borderId="0" xfId="0" applyFill="1" applyAlignment="1">
      <alignment vertical="top" wrapText="1"/>
    </xf>
    <xf numFmtId="0" fontId="4" fillId="16" borderId="0" xfId="0" applyFont="1" applyFill="1" applyAlignment="1">
      <alignment vertical="top" wrapText="1"/>
    </xf>
    <xf numFmtId="0" fontId="0" fillId="16" borderId="0" xfId="0" applyFill="1" applyAlignment="1">
      <alignment vertical="top" wrapText="1"/>
    </xf>
    <xf numFmtId="0" fontId="4" fillId="17" borderId="0" xfId="0" applyFont="1" applyFill="1" applyAlignment="1">
      <alignment vertical="top" wrapText="1"/>
    </xf>
    <xf numFmtId="0" fontId="0" fillId="17" borderId="0" xfId="0" applyFill="1" applyAlignment="1">
      <alignment vertical="top" wrapText="1"/>
    </xf>
    <xf numFmtId="0" fontId="4" fillId="18" borderId="0" xfId="0" applyFont="1" applyFill="1" applyAlignment="1">
      <alignment vertical="top" wrapText="1"/>
    </xf>
    <xf numFmtId="0" fontId="0" fillId="18" borderId="0" xfId="0" applyFill="1" applyAlignment="1">
      <alignment vertical="top" wrapText="1"/>
    </xf>
    <xf numFmtId="0" fontId="4" fillId="19" borderId="0" xfId="0" applyFont="1" applyFill="1" applyAlignment="1">
      <alignment vertical="top" wrapText="1"/>
    </xf>
    <xf numFmtId="0" fontId="0" fillId="19" borderId="0" xfId="0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wrapText="1"/>
    </xf>
    <xf numFmtId="0" fontId="13" fillId="0" borderId="0" xfId="0" applyFont="1"/>
    <xf numFmtId="0" fontId="13" fillId="5" borderId="0" xfId="0" applyFont="1" applyFill="1"/>
    <xf numFmtId="0" fontId="0" fillId="0" borderId="0" xfId="0"/>
    <xf numFmtId="0" fontId="3" fillId="3" borderId="0" xfId="0" applyFont="1" applyFill="1" applyAlignment="1">
      <alignment horizontal="center"/>
    </xf>
    <xf numFmtId="0" fontId="6" fillId="21" borderId="0" xfId="0" applyFont="1" applyFill="1" applyAlignment="1">
      <alignment horizontal="center" wrapText="1"/>
    </xf>
    <xf numFmtId="0" fontId="15" fillId="8" borderId="0" xfId="0" applyFont="1" applyFill="1" applyAlignment="1">
      <alignment horizontal="center" wrapText="1"/>
    </xf>
    <xf numFmtId="0" fontId="4" fillId="11" borderId="0" xfId="0" applyFont="1" applyFill="1" applyAlignment="1">
      <alignment vertical="top"/>
    </xf>
    <xf numFmtId="0" fontId="0" fillId="11" borderId="0" xfId="0" applyFill="1" applyAlignment="1">
      <alignment vertical="top"/>
    </xf>
    <xf numFmtId="0" fontId="4" fillId="12" borderId="0" xfId="0" applyFont="1" applyFill="1" applyAlignment="1">
      <alignment vertical="top"/>
    </xf>
    <xf numFmtId="0" fontId="0" fillId="12" borderId="0" xfId="0" applyFill="1" applyAlignment="1">
      <alignment vertical="top"/>
    </xf>
    <xf numFmtId="0" fontId="4" fillId="13" borderId="0" xfId="0" applyFont="1" applyFill="1" applyAlignment="1">
      <alignment vertical="top"/>
    </xf>
    <xf numFmtId="0" fontId="0" fillId="13" borderId="0" xfId="0" applyFill="1" applyAlignment="1">
      <alignment vertical="top"/>
    </xf>
    <xf numFmtId="0" fontId="4" fillId="14" borderId="0" xfId="0" applyFont="1" applyFill="1" applyAlignment="1">
      <alignment vertical="top"/>
    </xf>
    <xf numFmtId="0" fontId="0" fillId="14" borderId="0" xfId="0" applyFill="1" applyAlignment="1">
      <alignment vertical="top"/>
    </xf>
    <xf numFmtId="0" fontId="4" fillId="15" borderId="0" xfId="0" applyFont="1" applyFill="1" applyAlignment="1">
      <alignment vertical="top"/>
    </xf>
    <xf numFmtId="0" fontId="0" fillId="15" borderId="0" xfId="0" applyFill="1" applyAlignment="1">
      <alignment vertical="top"/>
    </xf>
    <xf numFmtId="0" fontId="4" fillId="16" borderId="0" xfId="0" applyFont="1" applyFill="1" applyAlignment="1">
      <alignment vertical="top"/>
    </xf>
    <xf numFmtId="0" fontId="0" fillId="16" borderId="0" xfId="0" applyFill="1" applyAlignment="1">
      <alignment vertical="top"/>
    </xf>
    <xf numFmtId="0" fontId="4" fillId="17" borderId="0" xfId="0" applyFont="1" applyFill="1" applyAlignment="1">
      <alignment vertical="top"/>
    </xf>
    <xf numFmtId="0" fontId="0" fillId="17" borderId="0" xfId="0" applyFill="1" applyAlignment="1">
      <alignment vertical="top"/>
    </xf>
    <xf numFmtId="0" fontId="4" fillId="18" borderId="0" xfId="0" applyFont="1" applyFill="1" applyAlignment="1">
      <alignment vertical="top"/>
    </xf>
    <xf numFmtId="0" fontId="0" fillId="18" borderId="0" xfId="0" applyFill="1" applyAlignment="1">
      <alignment vertical="top"/>
    </xf>
    <xf numFmtId="0" fontId="4" fillId="19" borderId="0" xfId="0" applyFont="1" applyFill="1" applyAlignment="1">
      <alignment vertical="top"/>
    </xf>
    <xf numFmtId="0" fontId="0" fillId="19" borderId="0" xfId="0" applyFill="1" applyAlignment="1">
      <alignment vertical="top"/>
    </xf>
    <xf numFmtId="0" fontId="4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/>
    <xf numFmtId="3" fontId="16" fillId="0" borderId="0" xfId="0" applyNumberFormat="1" applyFont="1"/>
    <xf numFmtId="0" fontId="6" fillId="22" borderId="0" xfId="0" applyFont="1" applyFill="1" applyAlignment="1">
      <alignment horizontal="center" wrapText="1"/>
    </xf>
    <xf numFmtId="0" fontId="3" fillId="3" borderId="0" xfId="0" applyFont="1" applyFill="1" applyAlignment="1"/>
    <xf numFmtId="0" fontId="3" fillId="23" borderId="0" xfId="0" applyFont="1" applyFill="1" applyAlignment="1"/>
    <xf numFmtId="0" fontId="17" fillId="23" borderId="0" xfId="0" applyFont="1" applyFill="1" applyAlignment="1"/>
    <xf numFmtId="0" fontId="18" fillId="6" borderId="0" xfId="0" applyFont="1" applyFill="1"/>
    <xf numFmtId="0" fontId="17" fillId="3" borderId="0" xfId="0" applyFont="1" applyFill="1" applyAlignme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vertical="center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23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3" fillId="25" borderId="0" xfId="0" applyFont="1" applyFill="1" applyAlignment="1"/>
    <xf numFmtId="0" fontId="0" fillId="24" borderId="0" xfId="0" applyFill="1" applyAlignment="1">
      <alignment horizontal="center" vertical="center" wrapText="1"/>
    </xf>
    <xf numFmtId="0" fontId="0" fillId="24" borderId="0" xfId="0" applyFill="1" applyAlignment="1"/>
    <xf numFmtId="0" fontId="22" fillId="0" borderId="0" xfId="0" applyFont="1" applyFill="1" applyAlignment="1">
      <alignment horizontal="center" vertical="center" wrapText="1"/>
    </xf>
    <xf numFmtId="0" fontId="22" fillId="0" borderId="0" xfId="0" applyFont="1" applyFill="1" applyAlignment="1"/>
    <xf numFmtId="0" fontId="20" fillId="2" borderId="0" xfId="0" applyFont="1" applyFill="1"/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2" fillId="0" borderId="0" xfId="0" applyFont="1"/>
    <xf numFmtId="0" fontId="1" fillId="2" borderId="0" xfId="0" applyFont="1" applyFill="1"/>
    <xf numFmtId="0" fontId="0" fillId="20" borderId="0" xfId="0" applyFill="1"/>
    <xf numFmtId="0" fontId="11" fillId="0" borderId="0" xfId="0" applyFont="1"/>
    <xf numFmtId="0" fontId="12" fillId="0" borderId="0" xfId="0" applyFont="1" applyAlignment="1">
      <alignment wrapText="1"/>
    </xf>
    <xf numFmtId="0" fontId="9" fillId="9" borderId="0" xfId="0" applyFont="1" applyFill="1"/>
    <xf numFmtId="0" fontId="1" fillId="8" borderId="0" xfId="0" applyFont="1" applyFill="1" applyAlignment="1">
      <alignment horizontal="center"/>
    </xf>
    <xf numFmtId="0" fontId="10" fillId="0" borderId="0" xfId="0" applyFont="1"/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vertical="top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64" workbookViewId="0">
      <selection activeCell="B62" sqref="B62"/>
    </sheetView>
  </sheetViews>
  <sheetFormatPr defaultRowHeight="14.5"/>
  <cols>
    <col min="1" max="1" width="21.453125" bestFit="1" customWidth="1"/>
    <col min="2" max="2" width="13.36328125" bestFit="1" customWidth="1"/>
    <col min="3" max="3" width="17.26953125" bestFit="1" customWidth="1"/>
    <col min="4" max="4" width="50.1796875" customWidth="1"/>
    <col min="5" max="5" width="40" customWidth="1"/>
    <col min="6" max="6" width="30" customWidth="1"/>
  </cols>
  <sheetData>
    <row r="1" spans="1:8" ht="30" customHeight="1">
      <c r="A1" s="84" t="s">
        <v>313</v>
      </c>
      <c r="B1" s="85"/>
      <c r="C1" s="85"/>
      <c r="D1" s="85"/>
      <c r="E1" s="85"/>
      <c r="F1" s="85"/>
      <c r="G1" s="85"/>
      <c r="H1" s="85"/>
    </row>
    <row r="2" spans="1:8">
      <c r="A2" s="91" t="s">
        <v>0</v>
      </c>
      <c r="B2" s="85"/>
      <c r="C2" s="85"/>
      <c r="D2" s="85"/>
      <c r="E2" s="85"/>
      <c r="F2" s="85"/>
      <c r="G2" s="85"/>
      <c r="H2" s="85"/>
    </row>
    <row r="4" spans="1:8" ht="15.5">
      <c r="A4" s="86" t="s">
        <v>1</v>
      </c>
      <c r="B4" s="87"/>
      <c r="C4" s="87"/>
      <c r="D4" s="87"/>
      <c r="E4" s="87"/>
      <c r="F4" s="69" t="s">
        <v>2</v>
      </c>
    </row>
    <row r="5" spans="1: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8">
      <c r="A6" s="3">
        <v>18</v>
      </c>
      <c r="B6" s="3">
        <v>25</v>
      </c>
      <c r="C6" s="4">
        <v>30</v>
      </c>
      <c r="D6" s="3" t="s">
        <v>8</v>
      </c>
      <c r="E6" s="3" t="s">
        <v>9</v>
      </c>
    </row>
    <row r="7" spans="1:8">
      <c r="A7" s="3">
        <v>26</v>
      </c>
      <c r="B7" s="3">
        <v>35</v>
      </c>
      <c r="C7" s="4">
        <v>80</v>
      </c>
      <c r="D7" s="3" t="s">
        <v>10</v>
      </c>
      <c r="E7" s="3"/>
    </row>
    <row r="8" spans="1:8">
      <c r="A8" s="3">
        <v>36</v>
      </c>
      <c r="B8" s="3">
        <v>50</v>
      </c>
      <c r="C8" s="4">
        <v>150</v>
      </c>
      <c r="D8" s="3" t="s">
        <v>11</v>
      </c>
      <c r="E8" s="3"/>
    </row>
    <row r="9" spans="1:8">
      <c r="A9" s="3">
        <v>51</v>
      </c>
      <c r="B9" s="3">
        <v>60</v>
      </c>
      <c r="C9" s="4">
        <v>100</v>
      </c>
      <c r="D9" s="3" t="s">
        <v>12</v>
      </c>
      <c r="E9" s="3"/>
    </row>
    <row r="10" spans="1:8">
      <c r="A10" s="3">
        <v>61</v>
      </c>
      <c r="B10" s="3">
        <v>120</v>
      </c>
      <c r="C10" s="4">
        <v>0</v>
      </c>
      <c r="D10" s="3" t="s">
        <v>13</v>
      </c>
      <c r="E10" s="3"/>
    </row>
    <row r="12" spans="1:8" ht="15.5">
      <c r="A12" s="88" t="s">
        <v>14</v>
      </c>
      <c r="B12" s="89"/>
      <c r="C12" s="89"/>
      <c r="D12" s="89"/>
      <c r="E12" s="89"/>
      <c r="F12" s="1" t="s">
        <v>2</v>
      </c>
    </row>
    <row r="13" spans="1:8">
      <c r="A13" s="2" t="s">
        <v>15</v>
      </c>
      <c r="B13" s="2" t="s">
        <v>16</v>
      </c>
      <c r="C13" s="2" t="s">
        <v>5</v>
      </c>
      <c r="D13" s="2" t="s">
        <v>6</v>
      </c>
      <c r="E13" s="2" t="s">
        <v>7</v>
      </c>
    </row>
    <row r="14" spans="1:8">
      <c r="A14" s="3">
        <v>0</v>
      </c>
      <c r="B14" s="3">
        <v>5000</v>
      </c>
      <c r="C14" s="4">
        <v>0</v>
      </c>
      <c r="D14" s="3" t="s">
        <v>17</v>
      </c>
      <c r="E14" s="3" t="s">
        <v>18</v>
      </c>
    </row>
    <row r="15" spans="1:8">
      <c r="A15" s="3">
        <v>5001</v>
      </c>
      <c r="B15" s="3">
        <v>10000</v>
      </c>
      <c r="C15" s="4">
        <v>50</v>
      </c>
      <c r="D15" s="3" t="s">
        <v>19</v>
      </c>
      <c r="E15" s="3"/>
    </row>
    <row r="16" spans="1:8">
      <c r="A16" s="3">
        <v>10001</v>
      </c>
      <c r="B16" s="3">
        <v>15000</v>
      </c>
      <c r="C16" s="4">
        <v>100</v>
      </c>
      <c r="D16" s="3" t="s">
        <v>20</v>
      </c>
      <c r="E16" s="3"/>
    </row>
    <row r="17" spans="1:6">
      <c r="A17" s="3">
        <v>15001</v>
      </c>
      <c r="B17" s="3">
        <v>999999</v>
      </c>
      <c r="C17" s="4">
        <v>150</v>
      </c>
      <c r="D17" s="3" t="s">
        <v>21</v>
      </c>
      <c r="E17" s="3"/>
    </row>
    <row r="19" spans="1:6" ht="15.5">
      <c r="A19" s="88" t="s">
        <v>299</v>
      </c>
      <c r="B19" s="89"/>
      <c r="C19" s="89"/>
      <c r="D19" s="89"/>
      <c r="E19" s="89"/>
      <c r="F19" s="1" t="s">
        <v>2</v>
      </c>
    </row>
    <row r="20" spans="1:6">
      <c r="A20" s="2" t="s">
        <v>22</v>
      </c>
      <c r="B20" s="2" t="s">
        <v>23</v>
      </c>
      <c r="C20" s="2" t="s">
        <v>5</v>
      </c>
      <c r="D20" s="2" t="s">
        <v>6</v>
      </c>
      <c r="E20" s="2" t="s">
        <v>7</v>
      </c>
      <c r="F20" s="37"/>
    </row>
    <row r="21" spans="1:6">
      <c r="A21" s="38">
        <v>0</v>
      </c>
      <c r="B21" s="38">
        <v>1500</v>
      </c>
      <c r="C21" s="4">
        <v>150</v>
      </c>
      <c r="D21" s="38" t="s">
        <v>24</v>
      </c>
      <c r="E21" s="38" t="s">
        <v>298</v>
      </c>
      <c r="F21" s="37"/>
    </row>
    <row r="22" spans="1:6">
      <c r="A22" s="38">
        <v>1501</v>
      </c>
      <c r="B22" s="38">
        <v>3000</v>
      </c>
      <c r="C22" s="4">
        <v>130</v>
      </c>
      <c r="D22" s="38" t="s">
        <v>25</v>
      </c>
      <c r="E22" s="38"/>
      <c r="F22" s="37"/>
    </row>
    <row r="23" spans="1:6">
      <c r="A23" s="38">
        <v>3001</v>
      </c>
      <c r="B23" s="38">
        <v>4500</v>
      </c>
      <c r="C23" s="4">
        <v>110</v>
      </c>
      <c r="D23" s="38" t="s">
        <v>26</v>
      </c>
      <c r="E23" s="38"/>
      <c r="F23" s="37"/>
    </row>
    <row r="24" spans="1:6">
      <c r="A24" s="38">
        <v>4501</v>
      </c>
      <c r="B24" s="38">
        <v>9000</v>
      </c>
      <c r="C24" s="4">
        <v>80</v>
      </c>
      <c r="D24" s="38" t="s">
        <v>27</v>
      </c>
      <c r="E24" s="38"/>
      <c r="F24" s="37"/>
    </row>
    <row r="25" spans="1:6">
      <c r="A25" s="38">
        <v>9001</v>
      </c>
      <c r="B25" s="38">
        <v>15000</v>
      </c>
      <c r="C25" s="4">
        <v>40</v>
      </c>
      <c r="D25" s="38" t="s">
        <v>28</v>
      </c>
      <c r="E25" s="38"/>
      <c r="F25" s="37"/>
    </row>
    <row r="26" spans="1:6">
      <c r="A26" s="38">
        <v>15001</v>
      </c>
      <c r="B26" s="38">
        <v>999999</v>
      </c>
      <c r="C26" s="4">
        <v>0</v>
      </c>
      <c r="D26" s="38" t="s">
        <v>29</v>
      </c>
      <c r="E26" s="38"/>
      <c r="F26" s="37"/>
    </row>
    <row r="27" spans="1:6">
      <c r="A27" s="37"/>
      <c r="B27" s="37"/>
      <c r="C27" s="37"/>
      <c r="D27" s="37"/>
      <c r="E27" s="37"/>
      <c r="F27" s="37"/>
    </row>
    <row r="28" spans="1:6">
      <c r="A28" s="37"/>
      <c r="B28" s="37"/>
      <c r="C28" s="37"/>
      <c r="D28" s="37"/>
      <c r="E28" s="37"/>
      <c r="F28" s="37"/>
    </row>
    <row r="30" spans="1:6" ht="15.5">
      <c r="A30" s="86" t="s">
        <v>30</v>
      </c>
      <c r="B30" s="87"/>
      <c r="C30" s="87"/>
      <c r="D30" s="87"/>
      <c r="E30" s="87"/>
      <c r="F30" s="1" t="s">
        <v>2</v>
      </c>
    </row>
    <row r="31" spans="1:6">
      <c r="A31" s="2" t="s">
        <v>31</v>
      </c>
      <c r="B31" s="2" t="s">
        <v>32</v>
      </c>
      <c r="C31" s="2" t="s">
        <v>5</v>
      </c>
      <c r="D31" s="2" t="s">
        <v>6</v>
      </c>
      <c r="E31" s="2" t="s">
        <v>7</v>
      </c>
    </row>
    <row r="32" spans="1:6">
      <c r="A32" s="3">
        <v>-1</v>
      </c>
      <c r="B32" s="3">
        <v>0</v>
      </c>
      <c r="C32" s="4">
        <v>0</v>
      </c>
      <c r="D32" s="3" t="s">
        <v>33</v>
      </c>
      <c r="E32" s="3" t="s">
        <v>34</v>
      </c>
    </row>
    <row r="33" spans="1:6">
      <c r="A33" s="3">
        <v>0.01</v>
      </c>
      <c r="B33" s="3">
        <v>0.1</v>
      </c>
      <c r="C33" s="4">
        <v>50</v>
      </c>
      <c r="D33" s="3" t="s">
        <v>35</v>
      </c>
      <c r="E33" s="3"/>
    </row>
    <row r="34" spans="1:6">
      <c r="A34" s="3">
        <v>0.11</v>
      </c>
      <c r="B34" s="3">
        <v>0.2</v>
      </c>
      <c r="C34" s="4">
        <v>100</v>
      </c>
      <c r="D34" s="3" t="s">
        <v>36</v>
      </c>
      <c r="E34" s="3"/>
    </row>
    <row r="35" spans="1:6">
      <c r="A35" s="3">
        <v>0.21</v>
      </c>
      <c r="B35" s="3">
        <v>0.3</v>
      </c>
      <c r="C35" s="4">
        <v>130</v>
      </c>
      <c r="D35" s="3" t="s">
        <v>37</v>
      </c>
      <c r="E35" s="3"/>
    </row>
    <row r="36" spans="1:6">
      <c r="A36" s="3">
        <v>0.31</v>
      </c>
      <c r="B36" s="3">
        <v>1</v>
      </c>
      <c r="C36" s="4">
        <v>150</v>
      </c>
      <c r="D36" s="3" t="s">
        <v>38</v>
      </c>
      <c r="E36" s="3"/>
    </row>
    <row r="38" spans="1:6" ht="15.5">
      <c r="A38" s="86" t="s">
        <v>301</v>
      </c>
      <c r="B38" s="87"/>
      <c r="C38" s="87"/>
      <c r="D38" s="87"/>
      <c r="E38" s="87"/>
      <c r="F38" s="1" t="s">
        <v>2</v>
      </c>
    </row>
    <row r="39" spans="1:6">
      <c r="A39" s="2" t="s">
        <v>39</v>
      </c>
      <c r="B39" s="2" t="s">
        <v>40</v>
      </c>
      <c r="C39" s="2" t="s">
        <v>5</v>
      </c>
      <c r="D39" s="2" t="s">
        <v>41</v>
      </c>
      <c r="E39" s="2" t="s">
        <v>7</v>
      </c>
    </row>
    <row r="40" spans="1:6">
      <c r="A40" s="3">
        <v>0</v>
      </c>
      <c r="B40" s="3">
        <v>5000</v>
      </c>
      <c r="C40" s="4">
        <v>30</v>
      </c>
      <c r="D40" s="3" t="s">
        <v>42</v>
      </c>
      <c r="E40" s="3" t="s">
        <v>43</v>
      </c>
    </row>
    <row r="41" spans="1:6">
      <c r="A41" s="3">
        <v>5001</v>
      </c>
      <c r="B41" s="3">
        <v>15000</v>
      </c>
      <c r="C41" s="4">
        <v>90</v>
      </c>
      <c r="D41" s="3" t="s">
        <v>44</v>
      </c>
      <c r="E41" s="3"/>
    </row>
    <row r="42" spans="1:6">
      <c r="A42" s="3">
        <v>15001</v>
      </c>
      <c r="B42" s="3">
        <v>999999</v>
      </c>
      <c r="C42" s="4">
        <v>150</v>
      </c>
      <c r="D42" s="3" t="s">
        <v>45</v>
      </c>
      <c r="E42" s="3"/>
    </row>
    <row r="44" spans="1:6" ht="15.5">
      <c r="A44" s="86" t="s">
        <v>46</v>
      </c>
      <c r="B44" s="87"/>
      <c r="C44" s="87"/>
      <c r="D44" s="87"/>
      <c r="E44" s="87"/>
      <c r="F44" s="1" t="s">
        <v>2</v>
      </c>
    </row>
    <row r="45" spans="1:6">
      <c r="A45" s="2" t="s">
        <v>47</v>
      </c>
      <c r="B45" s="2" t="s">
        <v>48</v>
      </c>
      <c r="C45" s="2" t="s">
        <v>5</v>
      </c>
      <c r="D45" s="2" t="s">
        <v>6</v>
      </c>
      <c r="E45" s="2" t="s">
        <v>7</v>
      </c>
    </row>
    <row r="46" spans="1:6">
      <c r="A46" s="3">
        <v>-999999</v>
      </c>
      <c r="B46" s="3">
        <v>-1</v>
      </c>
      <c r="C46" s="4">
        <v>0</v>
      </c>
      <c r="D46" s="3" t="s">
        <v>49</v>
      </c>
      <c r="E46" s="3" t="s">
        <v>50</v>
      </c>
    </row>
    <row r="47" spans="1:6">
      <c r="A47" s="3">
        <v>0</v>
      </c>
      <c r="B47" s="3">
        <v>1000</v>
      </c>
      <c r="C47" s="4">
        <v>50</v>
      </c>
      <c r="D47" s="3" t="s">
        <v>51</v>
      </c>
      <c r="E47" s="3"/>
    </row>
    <row r="48" spans="1:6">
      <c r="A48" s="3">
        <v>1001</v>
      </c>
      <c r="B48" s="3">
        <v>3000</v>
      </c>
      <c r="C48" s="4">
        <v>100</v>
      </c>
      <c r="D48" s="3" t="s">
        <v>52</v>
      </c>
      <c r="E48" s="3"/>
    </row>
    <row r="49" spans="1:6">
      <c r="A49" s="3">
        <v>3001</v>
      </c>
      <c r="B49" s="3">
        <v>999999</v>
      </c>
      <c r="C49" s="4">
        <v>150</v>
      </c>
      <c r="D49" s="3" t="s">
        <v>53</v>
      </c>
      <c r="E49" s="3"/>
    </row>
    <row r="51" spans="1:6" ht="15.5">
      <c r="A51" s="86" t="s">
        <v>54</v>
      </c>
      <c r="B51" s="87"/>
      <c r="C51" s="87"/>
      <c r="D51" s="87"/>
      <c r="E51" s="87"/>
      <c r="F51" s="1" t="s">
        <v>55</v>
      </c>
    </row>
    <row r="52" spans="1:6">
      <c r="A52" s="2" t="s">
        <v>56</v>
      </c>
      <c r="B52" s="2" t="s">
        <v>57</v>
      </c>
      <c r="C52" s="2" t="s">
        <v>5</v>
      </c>
      <c r="D52" s="2" t="s">
        <v>6</v>
      </c>
      <c r="E52" s="2" t="s">
        <v>7</v>
      </c>
    </row>
    <row r="53" spans="1:6">
      <c r="A53" s="3">
        <v>0</v>
      </c>
      <c r="B53" s="3">
        <v>0.1</v>
      </c>
      <c r="C53" s="4">
        <v>100</v>
      </c>
      <c r="D53" s="3" t="s">
        <v>58</v>
      </c>
      <c r="E53" s="3" t="s">
        <v>59</v>
      </c>
    </row>
    <row r="54" spans="1:6">
      <c r="A54" s="3">
        <v>0.11</v>
      </c>
      <c r="B54" s="3">
        <v>0.25</v>
      </c>
      <c r="C54" s="4">
        <v>70</v>
      </c>
      <c r="D54" s="3" t="s">
        <v>60</v>
      </c>
      <c r="E54" s="3"/>
    </row>
    <row r="55" spans="1:6">
      <c r="A55" s="3">
        <v>0.26</v>
      </c>
      <c r="B55" s="3">
        <v>0.4</v>
      </c>
      <c r="C55" s="4">
        <v>40</v>
      </c>
      <c r="D55" s="3" t="s">
        <v>61</v>
      </c>
      <c r="E55" s="3"/>
    </row>
    <row r="56" spans="1:6">
      <c r="A56" s="3">
        <v>0.41</v>
      </c>
      <c r="B56" s="3">
        <v>0.6</v>
      </c>
      <c r="C56" s="4">
        <v>20</v>
      </c>
      <c r="D56" s="3" t="s">
        <v>62</v>
      </c>
      <c r="E56" s="3"/>
    </row>
    <row r="57" spans="1:6">
      <c r="A57" s="3">
        <v>0.61</v>
      </c>
      <c r="B57" s="3">
        <v>1</v>
      </c>
      <c r="C57" s="4">
        <v>0</v>
      </c>
      <c r="D57" s="3" t="s">
        <v>63</v>
      </c>
      <c r="E57" s="3"/>
    </row>
    <row r="60" spans="1:6" ht="15.5">
      <c r="A60" s="90" t="s">
        <v>351</v>
      </c>
      <c r="B60" s="85"/>
      <c r="C60" s="85"/>
      <c r="D60" s="85"/>
      <c r="E60" s="85"/>
      <c r="F60" s="85"/>
    </row>
    <row r="61" spans="1:6" ht="15.5">
      <c r="A61" s="71" t="s">
        <v>314</v>
      </c>
      <c r="B61" s="71" t="s">
        <v>315</v>
      </c>
      <c r="C61" s="71" t="s">
        <v>316</v>
      </c>
      <c r="D61" s="71" t="s">
        <v>7</v>
      </c>
      <c r="E61" s="76" t="s">
        <v>355</v>
      </c>
      <c r="F61" s="63"/>
    </row>
    <row r="62" spans="1:6" ht="15.5">
      <c r="A62" s="67" t="s">
        <v>317</v>
      </c>
      <c r="B62" s="74">
        <v>0.28499999999999998</v>
      </c>
      <c r="C62" s="72" t="s">
        <v>318</v>
      </c>
      <c r="D62" s="63" t="s">
        <v>336</v>
      </c>
      <c r="E62" s="63"/>
      <c r="F62" s="63"/>
    </row>
    <row r="63" spans="1:6" ht="15.5">
      <c r="A63" s="67" t="s">
        <v>319</v>
      </c>
      <c r="B63" s="74">
        <v>0.182</v>
      </c>
      <c r="C63" s="72" t="s">
        <v>320</v>
      </c>
      <c r="D63" s="63" t="s">
        <v>337</v>
      </c>
      <c r="E63" s="63" t="s">
        <v>354</v>
      </c>
      <c r="F63" s="63"/>
    </row>
    <row r="64" spans="1:6" ht="15.5">
      <c r="A64" s="67" t="s">
        <v>209</v>
      </c>
      <c r="B64" s="74">
        <v>0.27</v>
      </c>
      <c r="C64" s="72" t="s">
        <v>321</v>
      </c>
      <c r="D64" s="63" t="s">
        <v>356</v>
      </c>
      <c r="E64" s="63"/>
      <c r="F64" s="63"/>
    </row>
    <row r="65" spans="1:6" ht="15.5">
      <c r="A65" s="67" t="s">
        <v>213</v>
      </c>
      <c r="B65" s="82" t="s">
        <v>323</v>
      </c>
      <c r="C65" s="82" t="s">
        <v>324</v>
      </c>
      <c r="D65" s="83" t="s">
        <v>339</v>
      </c>
      <c r="E65" s="63" t="s">
        <v>357</v>
      </c>
      <c r="F65" s="63"/>
    </row>
    <row r="66" spans="1:6" ht="15.5">
      <c r="A66" s="79" t="s">
        <v>325</v>
      </c>
      <c r="B66" s="80" t="s">
        <v>326</v>
      </c>
      <c r="C66" s="80" t="s">
        <v>327</v>
      </c>
      <c r="D66" s="81" t="s">
        <v>340</v>
      </c>
      <c r="E66" s="63"/>
      <c r="F66" s="63"/>
    </row>
    <row r="67" spans="1:6" ht="15.5">
      <c r="A67" s="67" t="s">
        <v>328</v>
      </c>
      <c r="B67" s="72" t="s">
        <v>329</v>
      </c>
      <c r="C67" s="72" t="s">
        <v>330</v>
      </c>
      <c r="D67" s="63" t="s">
        <v>341</v>
      </c>
      <c r="E67" s="63"/>
      <c r="F67" s="63"/>
    </row>
    <row r="68" spans="1:6" ht="15.5">
      <c r="A68" s="67" t="s">
        <v>331</v>
      </c>
      <c r="B68" s="72" t="s">
        <v>332</v>
      </c>
      <c r="C68" s="72" t="s">
        <v>332</v>
      </c>
      <c r="D68" s="63" t="s">
        <v>342</v>
      </c>
      <c r="E68" s="63"/>
      <c r="F68" s="63"/>
    </row>
    <row r="69" spans="1:6" ht="15.5">
      <c r="A69" s="67" t="s">
        <v>333</v>
      </c>
      <c r="B69" s="75">
        <v>1</v>
      </c>
      <c r="C69" s="72" t="s">
        <v>334</v>
      </c>
      <c r="D69" s="63" t="s">
        <v>343</v>
      </c>
      <c r="E69" s="63"/>
      <c r="F69" s="63"/>
    </row>
  </sheetData>
  <mergeCells count="10">
    <mergeCell ref="A1:H1"/>
    <mergeCell ref="A44:E44"/>
    <mergeCell ref="A12:E12"/>
    <mergeCell ref="A4:E4"/>
    <mergeCell ref="A60:F60"/>
    <mergeCell ref="A51:E51"/>
    <mergeCell ref="A38:E38"/>
    <mergeCell ref="A2:H2"/>
    <mergeCell ref="A19:E19"/>
    <mergeCell ref="A30:E30"/>
  </mergeCells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"/>
  <sheetViews>
    <sheetView workbookViewId="0">
      <selection activeCell="B31" sqref="B31"/>
    </sheetView>
  </sheetViews>
  <sheetFormatPr defaultRowHeight="14.5"/>
  <cols>
    <col min="1" max="1" width="47.26953125" customWidth="1"/>
    <col min="2" max="2" width="56.453125" customWidth="1"/>
    <col min="3" max="3" width="24.54296875" customWidth="1"/>
    <col min="4" max="4" width="23.6328125" customWidth="1"/>
    <col min="5" max="6" width="15" customWidth="1"/>
  </cols>
  <sheetData>
    <row r="1" spans="1:9" ht="30" customHeight="1">
      <c r="A1" s="92" t="s">
        <v>282</v>
      </c>
      <c r="B1" s="85"/>
      <c r="C1" s="85"/>
      <c r="D1" s="85"/>
      <c r="E1" s="85"/>
      <c r="F1" s="85"/>
    </row>
    <row r="2" spans="1:9">
      <c r="A2" s="94" t="s">
        <v>283</v>
      </c>
      <c r="B2" s="85"/>
      <c r="C2" s="85"/>
      <c r="D2" s="85"/>
      <c r="E2" s="85"/>
      <c r="F2" s="85"/>
    </row>
    <row r="3" spans="1:9" ht="15.5">
      <c r="A3" s="66" t="s">
        <v>302</v>
      </c>
      <c r="B3" s="66" t="s">
        <v>7</v>
      </c>
      <c r="C3" s="70" t="s">
        <v>311</v>
      </c>
    </row>
    <row r="4" spans="1:9" ht="15.5" customHeight="1">
      <c r="A4" s="67" t="s">
        <v>303</v>
      </c>
      <c r="B4" s="36" t="s">
        <v>285</v>
      </c>
      <c r="C4" s="63" t="s">
        <v>284</v>
      </c>
      <c r="D4" s="63"/>
      <c r="E4" s="63"/>
      <c r="F4" s="63"/>
      <c r="G4" s="63"/>
      <c r="H4" s="63"/>
      <c r="I4" s="63"/>
    </row>
    <row r="5" spans="1:9" ht="15.5">
      <c r="A5" s="67" t="s">
        <v>304</v>
      </c>
      <c r="B5" s="63" t="s">
        <v>344</v>
      </c>
      <c r="C5" s="63" t="s">
        <v>284</v>
      </c>
      <c r="D5" s="63" t="s">
        <v>345</v>
      </c>
      <c r="E5" s="63"/>
      <c r="F5" s="63"/>
    </row>
    <row r="6" spans="1:9" s="36" customFormat="1" ht="16" customHeight="1">
      <c r="A6" s="77" t="s">
        <v>305</v>
      </c>
      <c r="B6" s="36" t="s">
        <v>309</v>
      </c>
      <c r="C6" s="36" t="s">
        <v>284</v>
      </c>
      <c r="D6" s="36" t="s">
        <v>346</v>
      </c>
    </row>
    <row r="7" spans="1:9" ht="15.5">
      <c r="A7" s="67" t="s">
        <v>306</v>
      </c>
      <c r="B7" t="s">
        <v>287</v>
      </c>
      <c r="C7" s="63" t="s">
        <v>284</v>
      </c>
      <c r="D7" t="s">
        <v>347</v>
      </c>
    </row>
    <row r="8" spans="1:9" ht="15.5">
      <c r="A8" s="68" t="s">
        <v>308</v>
      </c>
      <c r="B8" s="36" t="s">
        <v>310</v>
      </c>
      <c r="C8" s="63" t="s">
        <v>284</v>
      </c>
      <c r="D8" s="63" t="s">
        <v>348</v>
      </c>
      <c r="E8" s="63"/>
      <c r="F8" s="63"/>
    </row>
    <row r="9" spans="1:9" ht="15.5">
      <c r="A9" s="67" t="s">
        <v>307</v>
      </c>
      <c r="B9" s="36" t="s">
        <v>288</v>
      </c>
      <c r="C9" s="63" t="s">
        <v>284</v>
      </c>
      <c r="D9" s="63" t="s">
        <v>349</v>
      </c>
      <c r="E9" s="63"/>
      <c r="F9" s="63"/>
    </row>
    <row r="10" spans="1:9" ht="18" customHeight="1">
      <c r="A10" s="67" t="s">
        <v>350</v>
      </c>
      <c r="B10" s="78" t="s">
        <v>352</v>
      </c>
      <c r="C10" s="63" t="s">
        <v>289</v>
      </c>
      <c r="D10" s="63" t="s">
        <v>353</v>
      </c>
      <c r="E10" s="63"/>
      <c r="F10" s="63"/>
    </row>
    <row r="11" spans="1:9" s="39" customFormat="1" ht="15.5">
      <c r="A11" s="90" t="s">
        <v>290</v>
      </c>
      <c r="B11" s="85"/>
      <c r="C11" s="85"/>
      <c r="D11" s="85"/>
      <c r="E11" s="85"/>
      <c r="F11" s="85"/>
      <c r="G11" s="73" t="s">
        <v>335</v>
      </c>
    </row>
    <row r="12" spans="1:9" s="39" customFormat="1" ht="15.5">
      <c r="A12" s="40" t="s">
        <v>314</v>
      </c>
      <c r="B12" s="40" t="s">
        <v>315</v>
      </c>
      <c r="C12" s="40" t="s">
        <v>316</v>
      </c>
      <c r="D12" s="40" t="s">
        <v>7</v>
      </c>
      <c r="E12" s="63"/>
      <c r="F12" s="63"/>
    </row>
    <row r="13" spans="1:9" s="39" customFormat="1" ht="15.5">
      <c r="A13" s="67" t="s">
        <v>317</v>
      </c>
      <c r="B13" s="74">
        <v>0.28499999999999998</v>
      </c>
      <c r="C13" s="72" t="s">
        <v>318</v>
      </c>
      <c r="D13" s="63" t="s">
        <v>336</v>
      </c>
      <c r="E13" s="63"/>
      <c r="F13" s="63"/>
    </row>
    <row r="14" spans="1:9" s="39" customFormat="1" ht="15.5">
      <c r="A14" s="67" t="s">
        <v>319</v>
      </c>
      <c r="B14" s="74">
        <v>0.182</v>
      </c>
      <c r="C14" s="72" t="s">
        <v>320</v>
      </c>
      <c r="D14" s="63" t="s">
        <v>337</v>
      </c>
      <c r="E14" s="63"/>
      <c r="F14" s="63"/>
    </row>
    <row r="15" spans="1:9" s="39" customFormat="1" ht="15.5">
      <c r="A15" s="67" t="s">
        <v>209</v>
      </c>
      <c r="B15" s="74">
        <v>0.27</v>
      </c>
      <c r="C15" s="72" t="s">
        <v>321</v>
      </c>
      <c r="D15" s="63" t="s">
        <v>338</v>
      </c>
      <c r="E15" s="63"/>
      <c r="F15" s="63"/>
    </row>
    <row r="16" spans="1:9" s="39" customFormat="1" ht="15.5">
      <c r="A16" s="67" t="s">
        <v>322</v>
      </c>
      <c r="B16" s="72" t="s">
        <v>323</v>
      </c>
      <c r="C16" s="72" t="s">
        <v>324</v>
      </c>
      <c r="D16" s="63" t="s">
        <v>339</v>
      </c>
      <c r="E16" s="63"/>
      <c r="F16" s="63"/>
    </row>
    <row r="17" spans="1:6" s="39" customFormat="1" ht="15.5">
      <c r="A17" s="67" t="s">
        <v>325</v>
      </c>
      <c r="B17" s="72" t="s">
        <v>326</v>
      </c>
      <c r="C17" s="72" t="s">
        <v>327</v>
      </c>
      <c r="D17" s="63" t="s">
        <v>340</v>
      </c>
      <c r="E17" s="63"/>
      <c r="F17" s="63"/>
    </row>
    <row r="18" spans="1:6" s="39" customFormat="1" ht="15.5">
      <c r="A18" s="67" t="s">
        <v>328</v>
      </c>
      <c r="B18" s="72" t="s">
        <v>329</v>
      </c>
      <c r="C18" s="72" t="s">
        <v>330</v>
      </c>
      <c r="D18" s="63" t="s">
        <v>341</v>
      </c>
      <c r="E18" s="63"/>
      <c r="F18" s="63"/>
    </row>
    <row r="19" spans="1:6" s="39" customFormat="1" ht="15.5">
      <c r="A19" s="67" t="s">
        <v>331</v>
      </c>
      <c r="B19" s="72" t="s">
        <v>332</v>
      </c>
      <c r="C19" s="72" t="s">
        <v>332</v>
      </c>
      <c r="D19" s="63" t="s">
        <v>342</v>
      </c>
      <c r="E19" s="63"/>
      <c r="F19" s="63"/>
    </row>
    <row r="20" spans="1:6" s="39" customFormat="1" ht="15.5">
      <c r="A20" s="67" t="s">
        <v>333</v>
      </c>
      <c r="B20" s="75">
        <v>1</v>
      </c>
      <c r="C20" s="72" t="s">
        <v>334</v>
      </c>
      <c r="D20" s="63" t="s">
        <v>343</v>
      </c>
      <c r="E20" s="63"/>
      <c r="F20" s="63"/>
    </row>
    <row r="21" spans="1:6">
      <c r="A21" s="5"/>
      <c r="B21" s="95"/>
      <c r="C21" s="85"/>
      <c r="D21" s="85"/>
      <c r="E21" s="85"/>
      <c r="F21" s="85"/>
    </row>
    <row r="23" spans="1:6" ht="15.5">
      <c r="A23" s="90" t="s">
        <v>290</v>
      </c>
      <c r="B23" s="85"/>
      <c r="C23" s="85"/>
      <c r="D23" s="85"/>
      <c r="E23" s="85"/>
      <c r="F23" s="85"/>
    </row>
    <row r="24" spans="1:6">
      <c r="A24" s="5" t="s">
        <v>291</v>
      </c>
      <c r="B24" s="85" t="s">
        <v>312</v>
      </c>
      <c r="C24" s="85"/>
      <c r="D24" s="85"/>
      <c r="E24" s="85"/>
      <c r="F24" s="85"/>
    </row>
    <row r="25" spans="1:6">
      <c r="A25" s="5" t="s">
        <v>292</v>
      </c>
      <c r="B25" s="85" t="s">
        <v>293</v>
      </c>
      <c r="C25" s="85"/>
      <c r="D25" s="85"/>
      <c r="E25" s="85"/>
      <c r="F25" s="85"/>
    </row>
    <row r="26" spans="1:6">
      <c r="A26" s="5" t="s">
        <v>286</v>
      </c>
      <c r="B26" s="93" t="s">
        <v>294</v>
      </c>
      <c r="C26" s="85"/>
      <c r="D26" s="85"/>
      <c r="E26" s="85"/>
      <c r="F26" s="85"/>
    </row>
    <row r="28" spans="1:6" ht="15.5">
      <c r="A28" s="101" t="s">
        <v>295</v>
      </c>
      <c r="B28" s="101"/>
      <c r="C28" s="101"/>
      <c r="D28" s="101"/>
      <c r="E28" s="101"/>
      <c r="F28" s="63"/>
    </row>
    <row r="29" spans="1:6">
      <c r="A29" s="5" t="s">
        <v>296</v>
      </c>
      <c r="B29" s="85" t="s">
        <v>297</v>
      </c>
      <c r="C29" s="85"/>
      <c r="D29" s="85"/>
      <c r="E29" s="85"/>
      <c r="F29" s="85"/>
    </row>
    <row r="30" spans="1:6">
      <c r="A30" s="7" t="s">
        <v>64</v>
      </c>
      <c r="B30" s="7" t="s">
        <v>219</v>
      </c>
      <c r="C30" s="7" t="s">
        <v>6</v>
      </c>
      <c r="D30" s="7" t="s">
        <v>5</v>
      </c>
      <c r="E30" s="7" t="s">
        <v>225</v>
      </c>
      <c r="F30" s="99"/>
    </row>
    <row r="31" spans="1:6">
      <c r="A31" s="43" t="s">
        <v>67</v>
      </c>
      <c r="B31" s="43" t="s">
        <v>68</v>
      </c>
      <c r="C31" s="44" t="s">
        <v>262</v>
      </c>
      <c r="D31" s="44" t="s">
        <v>263</v>
      </c>
      <c r="E31" s="44" t="s">
        <v>228</v>
      </c>
      <c r="F31" s="100"/>
    </row>
    <row r="32" spans="1:6">
      <c r="A32" s="45" t="s">
        <v>70</v>
      </c>
      <c r="B32" s="45" t="s">
        <v>71</v>
      </c>
      <c r="C32" s="46" t="s">
        <v>264</v>
      </c>
      <c r="D32" s="46" t="s">
        <v>265</v>
      </c>
      <c r="E32" s="46" t="s">
        <v>231</v>
      </c>
      <c r="F32" s="100"/>
    </row>
    <row r="33" spans="1:6">
      <c r="A33" s="47" t="s">
        <v>73</v>
      </c>
      <c r="B33" s="47" t="s">
        <v>74</v>
      </c>
      <c r="C33" s="48" t="s">
        <v>266</v>
      </c>
      <c r="D33" s="48" t="s">
        <v>267</v>
      </c>
      <c r="E33" s="48" t="s">
        <v>234</v>
      </c>
      <c r="F33" s="100"/>
    </row>
    <row r="34" spans="1:6">
      <c r="A34" s="49" t="s">
        <v>75</v>
      </c>
      <c r="B34" s="49" t="s">
        <v>76</v>
      </c>
      <c r="C34" s="50" t="s">
        <v>268</v>
      </c>
      <c r="D34" s="50" t="s">
        <v>269</v>
      </c>
      <c r="E34" s="50" t="s">
        <v>237</v>
      </c>
      <c r="F34" s="100"/>
    </row>
    <row r="35" spans="1:6">
      <c r="A35" s="51" t="s">
        <v>78</v>
      </c>
      <c r="B35" s="51" t="s">
        <v>79</v>
      </c>
      <c r="C35" s="52" t="s">
        <v>270</v>
      </c>
      <c r="D35" s="52" t="s">
        <v>271</v>
      </c>
      <c r="E35" s="52" t="s">
        <v>240</v>
      </c>
      <c r="F35" s="100"/>
    </row>
    <row r="36" spans="1:6">
      <c r="A36" s="53" t="s">
        <v>80</v>
      </c>
      <c r="B36" s="53" t="s">
        <v>81</v>
      </c>
      <c r="C36" s="54" t="s">
        <v>272</v>
      </c>
      <c r="D36" s="54" t="s">
        <v>273</v>
      </c>
      <c r="E36" s="54" t="s">
        <v>243</v>
      </c>
      <c r="F36" s="100"/>
    </row>
    <row r="37" spans="1:6">
      <c r="A37" s="55" t="s">
        <v>83</v>
      </c>
      <c r="B37" s="55" t="s">
        <v>84</v>
      </c>
      <c r="C37" s="56" t="s">
        <v>274</v>
      </c>
      <c r="D37" s="56" t="s">
        <v>275</v>
      </c>
      <c r="E37" s="56" t="s">
        <v>245</v>
      </c>
      <c r="F37" s="100"/>
    </row>
    <row r="38" spans="1:6">
      <c r="A38" s="57" t="s">
        <v>86</v>
      </c>
      <c r="B38" s="57" t="s">
        <v>87</v>
      </c>
      <c r="C38" s="58" t="s">
        <v>276</v>
      </c>
      <c r="D38" s="58" t="s">
        <v>277</v>
      </c>
      <c r="E38" s="58" t="s">
        <v>248</v>
      </c>
      <c r="F38" s="100"/>
    </row>
    <row r="39" spans="1:6">
      <c r="A39" s="59" t="s">
        <v>89</v>
      </c>
      <c r="B39" s="59" t="s">
        <v>90</v>
      </c>
      <c r="C39" s="60" t="s">
        <v>278</v>
      </c>
      <c r="D39" s="60" t="s">
        <v>279</v>
      </c>
      <c r="E39" s="60" t="s">
        <v>251</v>
      </c>
      <c r="F39" s="100"/>
    </row>
    <row r="40" spans="1:6">
      <c r="A40" s="61" t="s">
        <v>92</v>
      </c>
      <c r="B40" s="61" t="s">
        <v>93</v>
      </c>
      <c r="C40" s="62" t="s">
        <v>280</v>
      </c>
      <c r="D40" s="62" t="s">
        <v>281</v>
      </c>
      <c r="E40" s="62" t="s">
        <v>254</v>
      </c>
      <c r="F40" s="100"/>
    </row>
  </sheetData>
  <mergeCells count="10">
    <mergeCell ref="A1:F1"/>
    <mergeCell ref="B26:F26"/>
    <mergeCell ref="A2:F2"/>
    <mergeCell ref="A11:F11"/>
    <mergeCell ref="B29:F29"/>
    <mergeCell ref="A23:F23"/>
    <mergeCell ref="B21:F21"/>
    <mergeCell ref="B25:F25"/>
    <mergeCell ref="B24:F24"/>
    <mergeCell ref="A28:E28"/>
  </mergeCells>
  <phoneticPr fontId="19" type="noConversion"/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F2" sqref="F2:F21"/>
    </sheetView>
  </sheetViews>
  <sheetFormatPr defaultRowHeight="14.5"/>
  <cols>
    <col min="1" max="1" width="12" customWidth="1"/>
    <col min="2" max="2" width="20" customWidth="1"/>
    <col min="3" max="3" width="8" customWidth="1"/>
    <col min="4" max="4" width="12" customWidth="1"/>
    <col min="5" max="5" width="6" customWidth="1"/>
    <col min="6" max="6" width="15" customWidth="1"/>
    <col min="7" max="7" width="12" customWidth="1"/>
    <col min="8" max="8" width="18" customWidth="1"/>
  </cols>
  <sheetData>
    <row r="1" spans="1:8">
      <c r="A1" s="7" t="s">
        <v>94</v>
      </c>
      <c r="B1" s="7" t="s">
        <v>65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</row>
    <row r="2" spans="1:8">
      <c r="A2" t="s">
        <v>101</v>
      </c>
      <c r="B2" t="s">
        <v>102</v>
      </c>
      <c r="C2" t="s">
        <v>103</v>
      </c>
      <c r="D2" s="8" t="s">
        <v>104</v>
      </c>
      <c r="E2" s="9">
        <f t="shared" ref="E2:E21" ca="1" si="0">YEAR(TODAY())-YEAR(D2)</f>
        <v>24</v>
      </c>
      <c r="F2" t="s">
        <v>105</v>
      </c>
      <c r="G2" s="10">
        <v>3500</v>
      </c>
      <c r="H2" s="8" t="s">
        <v>106</v>
      </c>
    </row>
    <row r="3" spans="1:8">
      <c r="A3" t="s">
        <v>107</v>
      </c>
      <c r="B3" t="s">
        <v>108</v>
      </c>
      <c r="C3" t="s">
        <v>109</v>
      </c>
      <c r="D3" s="8" t="s">
        <v>110</v>
      </c>
      <c r="E3" s="9">
        <f t="shared" ca="1" si="0"/>
        <v>27</v>
      </c>
      <c r="F3" t="s">
        <v>105</v>
      </c>
      <c r="G3" s="10">
        <v>4800</v>
      </c>
      <c r="H3" s="8" t="s">
        <v>111</v>
      </c>
    </row>
    <row r="4" spans="1:8">
      <c r="A4" t="s">
        <v>112</v>
      </c>
      <c r="B4" t="s">
        <v>113</v>
      </c>
      <c r="C4" t="s">
        <v>103</v>
      </c>
      <c r="D4" s="8" t="s">
        <v>114</v>
      </c>
      <c r="E4" s="9">
        <f t="shared" ca="1" si="0"/>
        <v>32</v>
      </c>
      <c r="F4" t="s">
        <v>105</v>
      </c>
      <c r="G4" s="10">
        <v>8500</v>
      </c>
      <c r="H4" s="8" t="s">
        <v>115</v>
      </c>
    </row>
    <row r="5" spans="1:8">
      <c r="A5" t="s">
        <v>116</v>
      </c>
      <c r="B5" t="s">
        <v>117</v>
      </c>
      <c r="C5" t="s">
        <v>109</v>
      </c>
      <c r="D5" s="8" t="s">
        <v>118</v>
      </c>
      <c r="E5" s="9">
        <f t="shared" ca="1" si="0"/>
        <v>36</v>
      </c>
      <c r="F5" t="s">
        <v>105</v>
      </c>
      <c r="G5" s="10">
        <v>12000</v>
      </c>
      <c r="H5" s="8" t="s">
        <v>119</v>
      </c>
    </row>
    <row r="6" spans="1:8">
      <c r="A6" t="s">
        <v>120</v>
      </c>
      <c r="B6" t="s">
        <v>121</v>
      </c>
      <c r="C6" t="s">
        <v>103</v>
      </c>
      <c r="D6" s="8" t="s">
        <v>122</v>
      </c>
      <c r="E6" s="9">
        <f t="shared" ca="1" si="0"/>
        <v>39</v>
      </c>
      <c r="F6" t="s">
        <v>105</v>
      </c>
      <c r="G6" s="10">
        <v>18000</v>
      </c>
      <c r="H6" s="8" t="s">
        <v>123</v>
      </c>
    </row>
    <row r="7" spans="1:8">
      <c r="A7" t="s">
        <v>124</v>
      </c>
      <c r="B7" t="s">
        <v>125</v>
      </c>
      <c r="C7" t="s">
        <v>109</v>
      </c>
      <c r="D7" s="8" t="s">
        <v>126</v>
      </c>
      <c r="E7" s="9">
        <f t="shared" ca="1" si="0"/>
        <v>41</v>
      </c>
      <c r="F7" t="s">
        <v>105</v>
      </c>
      <c r="G7" s="10">
        <v>22000</v>
      </c>
      <c r="H7" s="8" t="s">
        <v>127</v>
      </c>
    </row>
    <row r="8" spans="1:8">
      <c r="A8" t="s">
        <v>128</v>
      </c>
      <c r="B8" t="s">
        <v>129</v>
      </c>
      <c r="C8" t="s">
        <v>103</v>
      </c>
      <c r="D8" s="8" t="s">
        <v>130</v>
      </c>
      <c r="E8" s="9">
        <f t="shared" ca="1" si="0"/>
        <v>55</v>
      </c>
      <c r="F8" t="s">
        <v>105</v>
      </c>
      <c r="G8" s="10">
        <v>15000</v>
      </c>
      <c r="H8" s="8" t="s">
        <v>131</v>
      </c>
    </row>
    <row r="9" spans="1:8">
      <c r="A9" t="s">
        <v>132</v>
      </c>
      <c r="B9" t="s">
        <v>133</v>
      </c>
      <c r="C9" t="s">
        <v>109</v>
      </c>
      <c r="D9" s="8" t="s">
        <v>134</v>
      </c>
      <c r="E9" s="9">
        <f t="shared" ca="1" si="0"/>
        <v>63</v>
      </c>
      <c r="F9" t="s">
        <v>135</v>
      </c>
      <c r="G9" s="10">
        <v>8000</v>
      </c>
      <c r="H9" s="8" t="s">
        <v>136</v>
      </c>
    </row>
    <row r="10" spans="1:8">
      <c r="A10" t="s">
        <v>137</v>
      </c>
      <c r="B10" t="s">
        <v>138</v>
      </c>
      <c r="C10" t="s">
        <v>103</v>
      </c>
      <c r="D10" s="8" t="s">
        <v>139</v>
      </c>
      <c r="E10" s="9">
        <f t="shared" ca="1" si="0"/>
        <v>29</v>
      </c>
      <c r="F10" t="s">
        <v>140</v>
      </c>
      <c r="G10" s="10">
        <v>3200</v>
      </c>
      <c r="H10" s="8" t="s">
        <v>141</v>
      </c>
    </row>
    <row r="11" spans="1:8">
      <c r="A11" t="s">
        <v>142</v>
      </c>
      <c r="B11" t="s">
        <v>143</v>
      </c>
      <c r="C11" t="s">
        <v>109</v>
      </c>
      <c r="D11" s="8" t="s">
        <v>144</v>
      </c>
      <c r="E11" s="9">
        <f t="shared" ca="1" si="0"/>
        <v>38</v>
      </c>
      <c r="F11" t="s">
        <v>105</v>
      </c>
      <c r="G11" s="10">
        <v>20000</v>
      </c>
      <c r="H11" s="8" t="s">
        <v>145</v>
      </c>
    </row>
    <row r="12" spans="1:8">
      <c r="A12" t="s">
        <v>146</v>
      </c>
      <c r="B12" t="s">
        <v>147</v>
      </c>
      <c r="C12" t="s">
        <v>103</v>
      </c>
      <c r="D12" s="8" t="s">
        <v>148</v>
      </c>
      <c r="E12" s="9">
        <f t="shared" ca="1" si="0"/>
        <v>26</v>
      </c>
      <c r="F12" t="s">
        <v>105</v>
      </c>
      <c r="G12" s="10">
        <v>4200</v>
      </c>
      <c r="H12" s="8" t="s">
        <v>149</v>
      </c>
    </row>
    <row r="13" spans="1:8">
      <c r="A13" t="s">
        <v>150</v>
      </c>
      <c r="B13" t="s">
        <v>151</v>
      </c>
      <c r="C13" t="s">
        <v>109</v>
      </c>
      <c r="D13" s="8" t="s">
        <v>152</v>
      </c>
      <c r="E13" s="9">
        <f t="shared" ca="1" si="0"/>
        <v>34</v>
      </c>
      <c r="F13" t="s">
        <v>105</v>
      </c>
      <c r="G13" s="10">
        <v>9500</v>
      </c>
      <c r="H13" s="8" t="s">
        <v>153</v>
      </c>
    </row>
    <row r="14" spans="1:8">
      <c r="A14" t="s">
        <v>154</v>
      </c>
      <c r="B14" t="s">
        <v>155</v>
      </c>
      <c r="C14" t="s">
        <v>103</v>
      </c>
      <c r="D14" s="8" t="s">
        <v>156</v>
      </c>
      <c r="E14" s="9">
        <f t="shared" ca="1" si="0"/>
        <v>43</v>
      </c>
      <c r="F14" t="s">
        <v>105</v>
      </c>
      <c r="G14" s="10">
        <v>16000</v>
      </c>
      <c r="H14" s="8" t="s">
        <v>157</v>
      </c>
    </row>
    <row r="15" spans="1:8">
      <c r="A15" t="s">
        <v>158</v>
      </c>
      <c r="B15" t="s">
        <v>159</v>
      </c>
      <c r="C15" t="s">
        <v>109</v>
      </c>
      <c r="D15" s="8" t="s">
        <v>160</v>
      </c>
      <c r="E15" s="9">
        <f t="shared" ca="1" si="0"/>
        <v>31</v>
      </c>
      <c r="F15" t="s">
        <v>105</v>
      </c>
      <c r="G15" s="10">
        <v>7800</v>
      </c>
      <c r="H15" s="8" t="s">
        <v>161</v>
      </c>
    </row>
    <row r="16" spans="1:8">
      <c r="A16" t="s">
        <v>162</v>
      </c>
      <c r="B16" t="s">
        <v>163</v>
      </c>
      <c r="C16" t="s">
        <v>103</v>
      </c>
      <c r="D16" s="8" t="s">
        <v>164</v>
      </c>
      <c r="E16" s="9">
        <f t="shared" ca="1" si="0"/>
        <v>48</v>
      </c>
      <c r="F16" t="s">
        <v>105</v>
      </c>
      <c r="G16" s="10">
        <v>19000</v>
      </c>
      <c r="H16" s="8" t="s">
        <v>165</v>
      </c>
    </row>
    <row r="17" spans="1:8">
      <c r="A17" t="s">
        <v>166</v>
      </c>
      <c r="B17" t="s">
        <v>167</v>
      </c>
      <c r="C17" t="s">
        <v>109</v>
      </c>
      <c r="D17" s="8" t="s">
        <v>168</v>
      </c>
      <c r="E17" s="9">
        <f t="shared" ca="1" si="0"/>
        <v>58</v>
      </c>
      <c r="F17" t="s">
        <v>105</v>
      </c>
      <c r="G17" s="10">
        <v>14000</v>
      </c>
      <c r="H17" s="8" t="s">
        <v>169</v>
      </c>
    </row>
    <row r="18" spans="1:8">
      <c r="A18" t="s">
        <v>170</v>
      </c>
      <c r="B18" t="s">
        <v>171</v>
      </c>
      <c r="C18" t="s">
        <v>103</v>
      </c>
      <c r="D18" s="8" t="s">
        <v>172</v>
      </c>
      <c r="E18" s="9">
        <f t="shared" ca="1" si="0"/>
        <v>25</v>
      </c>
      <c r="F18" t="s">
        <v>140</v>
      </c>
      <c r="G18" s="10">
        <v>2800</v>
      </c>
      <c r="H18" s="8" t="s">
        <v>173</v>
      </c>
    </row>
    <row r="19" spans="1:8">
      <c r="A19" t="s">
        <v>174</v>
      </c>
      <c r="B19" t="s">
        <v>175</v>
      </c>
      <c r="C19" t="s">
        <v>109</v>
      </c>
      <c r="D19" s="8" t="s">
        <v>176</v>
      </c>
      <c r="E19" s="9">
        <f t="shared" ca="1" si="0"/>
        <v>40</v>
      </c>
      <c r="F19" t="s">
        <v>105</v>
      </c>
      <c r="G19" s="10">
        <v>11000</v>
      </c>
      <c r="H19" s="8" t="s">
        <v>177</v>
      </c>
    </row>
    <row r="20" spans="1:8">
      <c r="A20" t="s">
        <v>178</v>
      </c>
      <c r="B20" t="s">
        <v>179</v>
      </c>
      <c r="C20" t="s">
        <v>103</v>
      </c>
      <c r="D20" s="8" t="s">
        <v>180</v>
      </c>
      <c r="E20" s="9">
        <f t="shared" ca="1" si="0"/>
        <v>51</v>
      </c>
      <c r="F20" t="s">
        <v>105</v>
      </c>
      <c r="G20" s="10">
        <v>17500</v>
      </c>
      <c r="H20" s="8" t="s">
        <v>181</v>
      </c>
    </row>
    <row r="21" spans="1:8">
      <c r="A21" t="s">
        <v>182</v>
      </c>
      <c r="B21" t="s">
        <v>183</v>
      </c>
      <c r="C21" t="s">
        <v>109</v>
      </c>
      <c r="D21" s="8" t="s">
        <v>184</v>
      </c>
      <c r="E21" s="9">
        <f t="shared" ca="1" si="0"/>
        <v>66</v>
      </c>
      <c r="F21" t="s">
        <v>135</v>
      </c>
      <c r="G21" s="10">
        <v>7500</v>
      </c>
      <c r="H21" s="8" t="s">
        <v>185</v>
      </c>
    </row>
  </sheetData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"/>
  <sheetViews>
    <sheetView topLeftCell="E1" workbookViewId="0">
      <selection activeCell="S2" sqref="S2:S14"/>
    </sheetView>
  </sheetViews>
  <sheetFormatPr defaultRowHeight="14.5"/>
  <cols>
    <col min="1" max="1" width="12" customWidth="1"/>
    <col min="2" max="2" width="18" customWidth="1"/>
    <col min="3" max="3" width="6" customWidth="1"/>
    <col min="4" max="4" width="9" customWidth="1"/>
    <col min="5" max="5" width="15" customWidth="1"/>
    <col min="6" max="6" width="11" customWidth="1"/>
    <col min="7" max="7" width="15" customWidth="1"/>
    <col min="8" max="8" width="12" hidden="1" customWidth="1"/>
    <col min="9" max="9" width="10" customWidth="1"/>
    <col min="10" max="10" width="12" customWidth="1"/>
    <col min="11" max="11" width="7.1796875" customWidth="1"/>
    <col min="12" max="12" width="13" customWidth="1"/>
    <col min="13" max="14" width="11" customWidth="1"/>
    <col min="15" max="15" width="12" customWidth="1"/>
    <col min="16" max="16" width="11" customWidth="1"/>
    <col min="17" max="17" width="9" customWidth="1"/>
    <col min="18" max="19" width="11" customWidth="1"/>
    <col min="20" max="20" width="13" customWidth="1"/>
  </cols>
  <sheetData>
    <row r="1" spans="1:21" ht="29">
      <c r="A1" s="11" t="s">
        <v>94</v>
      </c>
      <c r="B1" s="11" t="s">
        <v>65</v>
      </c>
      <c r="C1" s="11" t="s">
        <v>97</v>
      </c>
      <c r="D1" s="41" t="s">
        <v>205</v>
      </c>
      <c r="E1" s="11" t="s">
        <v>206</v>
      </c>
      <c r="F1" s="41" t="s">
        <v>207</v>
      </c>
      <c r="G1" s="42" t="s">
        <v>300</v>
      </c>
      <c r="H1" s="11" t="s">
        <v>190</v>
      </c>
      <c r="I1" s="41" t="s">
        <v>208</v>
      </c>
      <c r="J1" s="11" t="s">
        <v>209</v>
      </c>
      <c r="K1" s="41" t="s">
        <v>210</v>
      </c>
      <c r="L1" s="11" t="s">
        <v>211</v>
      </c>
      <c r="M1" s="41" t="s">
        <v>212</v>
      </c>
      <c r="N1" s="11" t="s">
        <v>213</v>
      </c>
      <c r="O1" s="41" t="s">
        <v>214</v>
      </c>
      <c r="P1" s="11" t="s">
        <v>215</v>
      </c>
      <c r="Q1" s="41" t="s">
        <v>216</v>
      </c>
      <c r="R1" s="65" t="s">
        <v>217</v>
      </c>
      <c r="S1" s="65" t="s">
        <v>218</v>
      </c>
      <c r="T1" s="65" t="s">
        <v>219</v>
      </c>
      <c r="U1" s="65" t="s">
        <v>66</v>
      </c>
    </row>
    <row r="2" spans="1:21">
      <c r="A2" t="s">
        <v>101</v>
      </c>
      <c r="B2" t="s">
        <v>102</v>
      </c>
      <c r="C2">
        <v>24</v>
      </c>
      <c r="D2" cm="1">
        <f t="array" ref="D2">_xlfn.IFS(
C2&lt;=25,30,
C2&lt;=35,80,
C2&lt;=50,150,
C2&lt;=60,100,
C2&lt;=120,0
)</f>
        <v>30</v>
      </c>
      <c r="E2" s="12">
        <v>3473</v>
      </c>
      <c r="F2" cm="1">
        <f t="array" ref="F2">_xlfn.IFS(
E2&lt;=5000,0,
E2&lt;=10000,50,
E2&lt;=15000,100,
E2&gt;15000,150
)</f>
        <v>0</v>
      </c>
      <c r="G2" s="12">
        <v>3000</v>
      </c>
      <c r="H2" t="s">
        <v>194</v>
      </c>
      <c r="I2" cm="1">
        <f t="array" ref="I2">_xlfn.IFS(
G2&lt;=1500,150,
G2&lt;=3000,130,
G2&lt;=4500,110,
G2&lt;=9000,80,
G2&lt;=15000,40,
G2&gt;15000,0
)</f>
        <v>130</v>
      </c>
      <c r="J2" s="13">
        <v>3.6828278003343692E-2</v>
      </c>
      <c r="K2" cm="1">
        <f t="array" ref="K2">_xlfn.IFS(
J2&lt;=0,0,
J2&lt;=0.1,50,
J2&lt;=0.2,100,
J2&lt;=0.3,130,
J2&lt;=1,150
)</f>
        <v>50</v>
      </c>
      <c r="L2">
        <v>3558</v>
      </c>
      <c r="M2" cm="1">
        <f t="array" ref="M2">_xlfn.IFS(
L2&lt;=5000,30,
L2&lt;=15000,90,
L2&gt;15000,150
)</f>
        <v>30</v>
      </c>
      <c r="N2" s="12">
        <v>128.5</v>
      </c>
      <c r="O2" cm="1">
        <f t="array" ref="O2">_xlfn.IFS(
N2&lt;0,0,
N2&lt;=1000,50,
N2&lt;=3000,100,
N2&gt;3000,150
)</f>
        <v>50</v>
      </c>
      <c r="P2" s="13">
        <v>0.28793550244745181</v>
      </c>
      <c r="Q2" cm="1">
        <f t="array" ref="Q2">_xlfn.IFS(
P2&lt;=0.1,100,
P2&lt;=0.25,70,
P2&lt;=0.4,40,
P2&lt;=0.6,20,
P2&lt;=1,0
)</f>
        <v>40</v>
      </c>
      <c r="R2" s="14">
        <f>D2+F2+I2+K2+M2+O2+Q2</f>
        <v>330</v>
      </c>
      <c r="S2" s="55" t="s">
        <v>83</v>
      </c>
      <c r="T2" t="str" cm="1">
        <f t="array" ref="T2">_xlfn.IFS(
R2&gt;=900,"Excellent",
R2&gt;=800,"Very Good",
R2&gt;=700,"Good",
R2&gt;=600,"Above Average",
R2&gt;=500,"Average",
R2&gt;=400,"Below Average",
R2&gt;=300,"Poor",
R2&gt;=200,"Very Poor",
R2&gt;=100,"Extremely Poor",
R2&lt;100,"Default Risk"
)</f>
        <v>Poor</v>
      </c>
      <c r="U2" t="str" cm="1">
        <f t="array" ref="U2">_xlfn.IFS(
R2&gt;=900,"Very High",
R2&gt;=700,"High",
R2&gt;=500,"Moderate",
R2&gt;=400,"Low",
R2&gt;=300,"Very Low",
R2&gt;=200,"Unlikely",
TRUE,"Declined"
)</f>
        <v>Very Low</v>
      </c>
    </row>
    <row r="3" spans="1:21">
      <c r="A3" t="s">
        <v>107</v>
      </c>
      <c r="B3" t="s">
        <v>108</v>
      </c>
      <c r="C3">
        <v>27</v>
      </c>
      <c r="D3" cm="1">
        <f t="array" ref="D3">_xlfn.IFS(
C3&lt;=25,30,
C3&lt;=35,80,
C3&lt;=50,150,
C3&lt;=60,100,
C3&lt;=120,0
)</f>
        <v>80</v>
      </c>
      <c r="E3" s="12">
        <v>4679</v>
      </c>
      <c r="F3" cm="1">
        <f t="array" ref="F3">_xlfn.IFS(
E3&lt;=5000,0,
E3&lt;=10000,50,
E3&lt;=15000,100,
E3&gt;15000,150
)</f>
        <v>0</v>
      </c>
      <c r="G3" s="12">
        <v>0</v>
      </c>
      <c r="H3" t="s">
        <v>200</v>
      </c>
      <c r="I3" cm="1">
        <f t="array" ref="I3">_xlfn.IFS(
G3&lt;=1500,150,
G3&lt;=3000,130,
G3&lt;=4500,110,
G3&lt;=9000,80,
G3&lt;=15000,40,
G3&gt;15000,0
)</f>
        <v>150</v>
      </c>
      <c r="J3" s="13">
        <v>0.28986053524312089</v>
      </c>
      <c r="K3" cm="1">
        <f t="array" ref="K3">_xlfn.IFS(
J3&lt;=0,0,
J3&lt;=0.1,50,
J3&lt;=0.2,100,
J3&lt;=0.3,130,
J3&lt;=1,150
)</f>
        <v>130</v>
      </c>
      <c r="L3">
        <v>4679</v>
      </c>
      <c r="M3" cm="1">
        <f t="array" ref="M3">_xlfn.IFS(
L3&lt;=5000,30,
L3&lt;=15000,90,
L3&gt;15000,150
)</f>
        <v>30</v>
      </c>
      <c r="N3" s="12">
        <v>1409.833333333333</v>
      </c>
      <c r="O3" cm="1">
        <f t="array" ref="O3">_xlfn.IFS(
N3&lt;0,0,
N3&lt;=1000,50,
N3&lt;=3000,100,
N3&gt;3000,150
)</f>
        <v>100</v>
      </c>
      <c r="P3" s="13">
        <v>0</v>
      </c>
      <c r="Q3" cm="1">
        <f t="array" ref="Q3">_xlfn.IFS(
P3&lt;=0.1,100,
P3&lt;=0.25,70,
P3&lt;=0.4,40,
P3&lt;=0.6,20,
P3&lt;=1,0
)</f>
        <v>100</v>
      </c>
      <c r="R3" s="14">
        <f t="shared" ref="R3:R21" si="0">D3+F3+I3+K3+M3+O3+Q3</f>
        <v>590</v>
      </c>
      <c r="S3" s="51" t="s">
        <v>78</v>
      </c>
      <c r="T3" t="str" cm="1">
        <f t="array" ref="T3">_xlfn.IFS(
R3&gt;=900,"Excellent",
R3&gt;=800,"Very Good",
R3&gt;=700,"Good",
R3&gt;=600,"Above Average",
R3&gt;=500,"Average",
R3&gt;=400,"Below Average",
R3&gt;=300,"Poor",
R3&gt;=200,"Very Poor",
R3&gt;=100,"Extremely Poor",
R3&lt;100,"Default Risk"
)</f>
        <v>Average</v>
      </c>
      <c r="U3" t="str" cm="1">
        <f t="array" ref="U3">_xlfn.IFS(
R3&gt;=900,"Very High",
R3&gt;=700,"High",
R3&gt;=500,"Moderate",
R3&gt;=400,"Low",
R3&gt;=300,"Very Low",
R3&gt;=200,"Unlikely",
TRUE,"Declined"
)</f>
        <v>Moderate</v>
      </c>
    </row>
    <row r="4" spans="1:21">
      <c r="A4" t="s">
        <v>112</v>
      </c>
      <c r="B4" t="s">
        <v>113</v>
      </c>
      <c r="C4">
        <v>32</v>
      </c>
      <c r="D4" cm="1">
        <f t="array" ref="D4">_xlfn.IFS(
C4&lt;=25,30,
C4&lt;=35,80,
C4&lt;=50,150,
C4&lt;=60,100,
C4&lt;=120,0
)</f>
        <v>80</v>
      </c>
      <c r="E4" s="12">
        <v>8538</v>
      </c>
      <c r="F4" cm="1">
        <f t="array" ref="F4">_xlfn.IFS(
E4&lt;=5000,0,
E4&lt;=10000,50,
E4&lt;=15000,100,
E4&gt;15000,150
)</f>
        <v>50</v>
      </c>
      <c r="G4" s="12">
        <v>2400</v>
      </c>
      <c r="H4" t="s">
        <v>201</v>
      </c>
      <c r="I4" cm="1">
        <f t="array" ref="I4">_xlfn.IFS(
G4&lt;=1500,150,
G4&lt;=3000,130,
G4&lt;=4500,110,
G4&lt;=9000,80,
G4&lt;=15000,40,
G4&gt;15000,0
)</f>
        <v>130</v>
      </c>
      <c r="J4" s="13">
        <v>0.23572387647105281</v>
      </c>
      <c r="K4" cm="1">
        <f t="array" ref="K4">_xlfn.IFS(
J4&lt;=0,0,
J4&lt;=0.1,50,
J4&lt;=0.2,100,
J4&lt;=0.3,130,
J4&lt;=1,150
)</f>
        <v>130</v>
      </c>
      <c r="L4">
        <v>8538</v>
      </c>
      <c r="M4" cm="1">
        <f t="array" ref="M4">_xlfn.IFS(
L4&lt;=5000,30,
L4&lt;=15000,90,
L4&gt;15000,150
)</f>
        <v>90</v>
      </c>
      <c r="N4" s="12">
        <v>1989.6666666666661</v>
      </c>
      <c r="O4" cm="1">
        <f t="array" ref="O4">_xlfn.IFS(
N4&lt;0,0,
N4&lt;=1000,50,
N4&lt;=3000,100,
N4&gt;3000,150
)</f>
        <v>100</v>
      </c>
      <c r="P4" s="13">
        <v>9.3698758491449985E-2</v>
      </c>
      <c r="Q4" cm="1">
        <f t="array" ref="Q4">_xlfn.IFS(
P4&lt;=0.1,100,
P4&lt;=0.25,70,
P4&lt;=0.4,40,
P4&lt;=0.6,20,
P4&lt;=1,0
)</f>
        <v>100</v>
      </c>
      <c r="R4" s="14">
        <f t="shared" si="0"/>
        <v>680</v>
      </c>
      <c r="S4" s="49" t="s">
        <v>75</v>
      </c>
      <c r="T4" t="str" cm="1">
        <f t="array" ref="T4">_xlfn.IFS(
R4&gt;=900,"Excellent",
R4&gt;=800,"Very Good",
R4&gt;=700,"Good",
R4&gt;=600,"Above Average",
R4&gt;=500,"Average",
R4&gt;=400,"Below Average",
R4&gt;=300,"Poor",
R4&gt;=200,"Very Poor",
R4&gt;=100,"Extremely Poor",
R4&lt;100,"Default Risk"
)</f>
        <v>Above Average</v>
      </c>
      <c r="U4" t="str" cm="1">
        <f t="array" ref="U4">_xlfn.IFS(
R4&gt;=900,"Very High",
R4&gt;=700,"High",
R4&gt;=500,"Moderate",
R4&gt;=400,"Low",
R4&gt;=300,"Very Low",
R4&gt;=200,"Unlikely",
TRUE,"Declined"
)</f>
        <v>Moderate</v>
      </c>
    </row>
    <row r="5" spans="1:21">
      <c r="A5" t="s">
        <v>116</v>
      </c>
      <c r="B5" t="s">
        <v>117</v>
      </c>
      <c r="C5">
        <v>36</v>
      </c>
      <c r="D5" cm="1">
        <f t="array" ref="D5">_xlfn.IFS(
C5&lt;=25,30,
C5&lt;=35,80,
C5&lt;=50,150,
C5&lt;=60,100,
C5&lt;=120,0
)</f>
        <v>150</v>
      </c>
      <c r="E5" s="12">
        <v>11491</v>
      </c>
      <c r="F5" cm="1">
        <f t="array" ref="F5">_xlfn.IFS(
E5&lt;=5000,0,
E5&lt;=10000,50,
E5&lt;=15000,100,
E5&gt;15000,150
)</f>
        <v>100</v>
      </c>
      <c r="G5" s="12">
        <v>3000</v>
      </c>
      <c r="H5" t="s">
        <v>202</v>
      </c>
      <c r="I5" cm="1">
        <f t="array" ref="I5">_xlfn.IFS(
G5&lt;=1500,150,
G5&lt;=3000,130,
G5&lt;=4500,110,
G5&lt;=9000,80,
G5&lt;=15000,40,
G5&gt;15000,0
)</f>
        <v>130</v>
      </c>
      <c r="J5" s="13">
        <v>0.34081938012112578</v>
      </c>
      <c r="K5" cm="1">
        <f t="array" ref="K5">_xlfn.IFS(
J5&lt;=0,0,
J5&lt;=0.1,50,
J5&lt;=0.2,100,
J5&lt;=0.3,130,
J5&lt;=1,150
)</f>
        <v>150</v>
      </c>
      <c r="L5">
        <v>12152</v>
      </c>
      <c r="M5" cm="1">
        <f t="array" ref="M5">_xlfn.IFS(
L5&lt;=5000,30,
L5&lt;=15000,90,
L5&gt;15000,150
)</f>
        <v>90</v>
      </c>
      <c r="N5" s="12">
        <v>3986.166666666667</v>
      </c>
      <c r="O5" cm="1">
        <f t="array" ref="O5">_xlfn.IFS(
N5&lt;0,0,
N5&lt;=1000,50,
N5&lt;=3000,100,
N5&gt;3000,150
)</f>
        <v>150</v>
      </c>
      <c r="P5" s="13">
        <v>8.7024627969715426E-2</v>
      </c>
      <c r="Q5" cm="1">
        <f t="array" ref="Q5">_xlfn.IFS(
P5&lt;=0.1,100,
P5&lt;=0.25,70,
P5&lt;=0.4,40,
P5&lt;=0.6,20,
P5&lt;=1,0
)</f>
        <v>100</v>
      </c>
      <c r="R5" s="14">
        <f t="shared" si="0"/>
        <v>870</v>
      </c>
      <c r="S5" s="45" t="s">
        <v>70</v>
      </c>
      <c r="T5" t="str" cm="1">
        <f t="array" ref="T5">_xlfn.IFS(
R5&gt;=900,"Excellent",
R5&gt;=800,"Very Good",
R5&gt;=700,"Good",
R5&gt;=600,"Above Average",
R5&gt;=500,"Average",
R5&gt;=400,"Below Average",
R5&gt;=300,"Poor",
R5&gt;=200,"Very Poor",
R5&gt;=100,"Extremely Poor",
R5&lt;100,"Default Risk"
)</f>
        <v>Very Good</v>
      </c>
      <c r="U5" t="str" cm="1">
        <f t="array" ref="U5">_xlfn.IFS(
R5&gt;=900,"Very High",
R5&gt;=700,"High",
R5&gt;=500,"Moderate",
R5&gt;=400,"Low",
R5&gt;=300,"Very Low",
R5&gt;=200,"Unlikely",
TRUE,"Declined"
)</f>
        <v>High</v>
      </c>
    </row>
    <row r="6" spans="1:21">
      <c r="A6" t="s">
        <v>120</v>
      </c>
      <c r="B6" t="s">
        <v>121</v>
      </c>
      <c r="C6">
        <v>39</v>
      </c>
      <c r="D6" cm="1">
        <f t="array" ref="D6">_xlfn.IFS(
C6&lt;=25,30,
C6&lt;=35,80,
C6&lt;=50,150,
C6&lt;=60,100,
C6&lt;=120,0
)</f>
        <v>150</v>
      </c>
      <c r="E6" s="12">
        <v>17970</v>
      </c>
      <c r="F6" cm="1">
        <f t="array" ref="F6">_xlfn.IFS(
E6&lt;=5000,0,
E6&lt;=10000,50,
E6&lt;=15000,100,
E6&gt;15000,150
)</f>
        <v>150</v>
      </c>
      <c r="G6" s="12">
        <v>4000</v>
      </c>
      <c r="H6" t="s">
        <v>202</v>
      </c>
      <c r="I6" cm="1">
        <f t="array" ref="I6">_xlfn.IFS(
G6&lt;=1500,150,
G6&lt;=3000,130,
G6&lt;=4500,110,
G6&lt;=9000,80,
G6&lt;=15000,40,
G6&gt;15000,0
)</f>
        <v>110</v>
      </c>
      <c r="J6" s="13">
        <v>0.3746264602010323</v>
      </c>
      <c r="K6" cm="1">
        <f t="array" ref="K6">_xlfn.IFS(
J6&lt;=0,0,
J6&lt;=0.1,50,
J6&lt;=0.2,100,
J6&lt;=0.3,130,
J6&lt;=1,150
)</f>
        <v>150</v>
      </c>
      <c r="L6">
        <v>18803</v>
      </c>
      <c r="M6" cm="1">
        <f t="array" ref="M6">_xlfn.IFS(
L6&lt;=5000,30,
L6&lt;=15000,90,
L6&gt;15000,150
)</f>
        <v>150</v>
      </c>
      <c r="N6" s="12">
        <v>6665.1666666666661</v>
      </c>
      <c r="O6" cm="1">
        <f t="array" ref="O6">_xlfn.IFS(
N6&lt;0,0,
N6&lt;=1000,50,
N6&lt;=3000,100,
N6&gt;3000,150
)</f>
        <v>150</v>
      </c>
      <c r="P6" s="13">
        <v>0.1112966054535337</v>
      </c>
      <c r="Q6" cm="1">
        <f t="array" ref="Q6">_xlfn.IFS(
P6&lt;=0.1,100,
P6&lt;=0.25,70,
P6&lt;=0.4,40,
P6&lt;=0.6,20,
P6&lt;=1,0
)</f>
        <v>70</v>
      </c>
      <c r="R6" s="14">
        <f t="shared" si="0"/>
        <v>930</v>
      </c>
      <c r="S6" s="43" t="s">
        <v>67</v>
      </c>
      <c r="T6" t="str" cm="1">
        <f t="array" ref="T6">_xlfn.IFS(
R6&gt;=900,"Excellent",
R6&gt;=800,"Very Good",
R6&gt;=700,"Good",
R6&gt;=600,"Above Average",
R6&gt;=500,"Average",
R6&gt;=400,"Below Average",
R6&gt;=300,"Poor",
R6&gt;=200,"Very Poor",
R6&gt;=100,"Extremely Poor",
R6&lt;100,"Default Risk"
)</f>
        <v>Excellent</v>
      </c>
      <c r="U6" t="str" cm="1">
        <f t="array" ref="U6">_xlfn.IFS(
R6&gt;=900,"Very High",
R6&gt;=700,"High",
R6&gt;=500,"Moderate",
R6&gt;=400,"Low",
R6&gt;=300,"Very Low",
R6&gt;=200,"Unlikely",
TRUE,"Declined"
)</f>
        <v>Very High</v>
      </c>
    </row>
    <row r="7" spans="1:21">
      <c r="A7" t="s">
        <v>124</v>
      </c>
      <c r="B7" t="s">
        <v>125</v>
      </c>
      <c r="C7">
        <v>41</v>
      </c>
      <c r="D7" cm="1">
        <f t="array" ref="D7">_xlfn.IFS(
C7&lt;=25,30,
C7&lt;=35,80,
C7&lt;=50,150,
C7&lt;=60,100,
C7&lt;=120,0
)</f>
        <v>150</v>
      </c>
      <c r="E7" s="12">
        <v>21419</v>
      </c>
      <c r="F7" cm="1">
        <f t="array" ref="F7">_xlfn.IFS(
E7&lt;=5000,0,
E7&lt;=10000,50,
E7&lt;=15000,100,
E7&gt;15000,150
)</f>
        <v>150</v>
      </c>
      <c r="G7" s="12">
        <v>4500</v>
      </c>
      <c r="H7" t="s">
        <v>202</v>
      </c>
      <c r="I7" cm="1">
        <f t="array" ref="I7">_xlfn.IFS(
G7&lt;=1500,150,
G7&lt;=3000,130,
G7&lt;=4500,110,
G7&lt;=9000,80,
G7&lt;=15000,40,
G7&gt;15000,0
)</f>
        <v>110</v>
      </c>
      <c r="J7" s="13">
        <v>0.40729308518686641</v>
      </c>
      <c r="K7" cm="1">
        <f t="array" ref="K7">_xlfn.IFS(
J7&lt;=0,0,
J7&lt;=0.1,50,
J7&lt;=0.2,100,
J7&lt;=0.3,130,
J7&lt;=1,150
)</f>
        <v>150</v>
      </c>
      <c r="L7">
        <v>21419</v>
      </c>
      <c r="M7" cm="1">
        <f t="array" ref="M7">_xlfn.IFS(
L7&lt;=5000,30,
L7&lt;=15000,90,
L7&gt;15000,150
)</f>
        <v>150</v>
      </c>
      <c r="N7" s="12">
        <v>8972.6666666666661</v>
      </c>
      <c r="O7" cm="1">
        <f t="array" ref="O7">_xlfn.IFS(
N7&lt;0,0,
N7&lt;=1000,50,
N7&lt;=3000,100,
N7&gt;3000,150
)</f>
        <v>150</v>
      </c>
      <c r="P7" s="13">
        <v>7.0031280638685273E-2</v>
      </c>
      <c r="Q7" cm="1">
        <f t="array" ref="Q7">_xlfn.IFS(
P7&lt;=0.1,100,
P7&lt;=0.25,70,
P7&lt;=0.4,40,
P7&lt;=0.6,20,
P7&lt;=1,0
)</f>
        <v>100</v>
      </c>
      <c r="R7" s="14">
        <f t="shared" si="0"/>
        <v>960</v>
      </c>
      <c r="S7" s="43" t="s">
        <v>67</v>
      </c>
      <c r="T7" t="str" cm="1">
        <f t="array" ref="T7">_xlfn.IFS(
R7&gt;=900,"Excellent",
R7&gt;=800,"Very Good",
R7&gt;=700,"Good",
R7&gt;=600,"Above Average",
R7&gt;=500,"Average",
R7&gt;=400,"Below Average",
R7&gt;=300,"Poor",
R7&gt;=200,"Very Poor",
R7&gt;=100,"Extremely Poor",
R7&lt;100,"Default Risk"
)</f>
        <v>Excellent</v>
      </c>
      <c r="U7" t="str" cm="1">
        <f t="array" ref="U7">_xlfn.IFS(
R7&gt;=900,"Very High",
R7&gt;=700,"High",
R7&gt;=500,"Moderate",
R7&gt;=400,"Low",
R7&gt;=300,"Very Low",
R7&gt;=200,"Unlikely",
TRUE,"Declined"
)</f>
        <v>Very High</v>
      </c>
    </row>
    <row r="8" spans="1:21">
      <c r="A8" t="s">
        <v>128</v>
      </c>
      <c r="B8" t="s">
        <v>129</v>
      </c>
      <c r="C8">
        <v>55</v>
      </c>
      <c r="D8" cm="1">
        <f t="array" ref="D8">_xlfn.IFS(
C8&lt;=25,30,
C8&lt;=35,80,
C8&lt;=50,150,
C8&lt;=60,100,
C8&lt;=120,0
)</f>
        <v>100</v>
      </c>
      <c r="E8" s="12">
        <v>14530</v>
      </c>
      <c r="F8" cm="1">
        <f t="array" ref="F8">_xlfn.IFS(
E8&lt;=5000,0,
E8&lt;=10000,50,
E8&lt;=15000,100,
E8&gt;15000,150
)</f>
        <v>100</v>
      </c>
      <c r="G8" s="12">
        <v>1500</v>
      </c>
      <c r="H8" t="s">
        <v>201</v>
      </c>
      <c r="I8" cm="1">
        <f t="array" ref="I8">_xlfn.IFS(
G8&lt;=1500,150,
G8&lt;=3000,130,
G8&lt;=4500,110,
G8&lt;=9000,80,
G8&lt;=15000,40,
G8&gt;15000,0
)</f>
        <v>150</v>
      </c>
      <c r="J8" s="13">
        <v>0.33588123386329671</v>
      </c>
      <c r="K8" cm="1">
        <f t="array" ref="K8">_xlfn.IFS(
J8&lt;=0,0,
J8&lt;=0.1,50,
J8&lt;=0.2,100,
J8&lt;=0.3,130,
J8&lt;=1,150
)</f>
        <v>150</v>
      </c>
      <c r="L8" s="10">
        <v>14530</v>
      </c>
      <c r="M8" cm="1">
        <f t="array" ref="M8">_xlfn.IFS(
L8&lt;=5000,30,
L8&lt;=15000,90,
L8&gt;15000,150
)</f>
        <v>90</v>
      </c>
      <c r="N8" s="12">
        <v>4943.5</v>
      </c>
      <c r="O8" cm="1">
        <f t="array" ref="O8">_xlfn.IFS(
N8&lt;0,0,
N8&lt;=1000,50,
N8&lt;=3000,100,
N8&gt;3000,150
)</f>
        <v>150</v>
      </c>
      <c r="P8" s="13">
        <v>3.4411562284927727E-2</v>
      </c>
      <c r="Q8" cm="1">
        <f t="array" ref="Q8">_xlfn.IFS(
P8&lt;=0.1,100,
P8&lt;=0.25,70,
P8&lt;=0.4,40,
P8&lt;=0.6,20,
P8&lt;=1,0
)</f>
        <v>100</v>
      </c>
      <c r="R8" s="14">
        <f t="shared" si="0"/>
        <v>840</v>
      </c>
      <c r="S8" s="45" t="s">
        <v>70</v>
      </c>
      <c r="T8" t="str" cm="1">
        <f t="array" ref="T8">_xlfn.IFS(
R8&gt;=900,"Excellent",
R8&gt;=800,"Very Good",
R8&gt;=700,"Good",
R8&gt;=600,"Above Average",
R8&gt;=500,"Average",
R8&gt;=400,"Below Average",
R8&gt;=300,"Poor",
R8&gt;=200,"Very Poor",
R8&gt;=100,"Extremely Poor",
R8&lt;100,"Default Risk"
)</f>
        <v>Very Good</v>
      </c>
      <c r="U8" t="str" cm="1">
        <f t="array" ref="U8">_xlfn.IFS(
R8&gt;=900,"Very High",
R8&gt;=700,"High",
R8&gt;=500,"Moderate",
R8&gt;=400,"Low",
R8&gt;=300,"Very Low",
R8&gt;=200,"Unlikely",
TRUE,"Declined"
)</f>
        <v>High</v>
      </c>
    </row>
    <row r="9" spans="1:21">
      <c r="A9" t="s">
        <v>132</v>
      </c>
      <c r="B9" t="s">
        <v>133</v>
      </c>
      <c r="C9">
        <v>63</v>
      </c>
      <c r="D9" cm="1">
        <f t="array" ref="D9">_xlfn.IFS(
C9&lt;=25,30,
C9&lt;=35,80,
C9&lt;=50,150,
C9&lt;=60,100,
C9&lt;=120,0
)</f>
        <v>0</v>
      </c>
      <c r="E9" s="12">
        <v>8041</v>
      </c>
      <c r="F9" cm="1">
        <f t="array" ref="F9">_xlfn.IFS(
E9&lt;=5000,0,
E9&lt;=10000,50,
E9&lt;=15000,100,
E9&gt;15000,150
)</f>
        <v>50</v>
      </c>
      <c r="G9" s="12">
        <v>0</v>
      </c>
      <c r="H9" t="s">
        <v>200</v>
      </c>
      <c r="I9" cm="1">
        <f t="array" ref="I9">_xlfn.IFS(
G9&lt;=1500,150,
G9&lt;=3000,130,
G9&lt;=4500,110,
G9&lt;=9000,80,
G9&lt;=15000,40,
G9&gt;15000,0
)</f>
        <v>150</v>
      </c>
      <c r="J9" s="13">
        <v>0.2489376770538243</v>
      </c>
      <c r="K9" cm="1">
        <f t="array" ref="K9">_xlfn.IFS(
J9&lt;=0,0,
J9&lt;=0.1,50,
J9&lt;=0.2,100,
J9&lt;=0.3,130,
J9&lt;=1,150
)</f>
        <v>130</v>
      </c>
      <c r="L9">
        <v>8259</v>
      </c>
      <c r="M9" cm="1">
        <f t="array" ref="M9">_xlfn.IFS(
L9&lt;=5000,30,
L9&lt;=15000,90,
L9&gt;15000,150
)</f>
        <v>90</v>
      </c>
      <c r="N9" s="12">
        <v>1991.833333333333</v>
      </c>
      <c r="O9" cm="1">
        <f t="array" ref="O9">_xlfn.IFS(
N9&lt;0,0,
N9&lt;=1000,50,
N9&lt;=3000,100,
N9&gt;3000,150
)</f>
        <v>100</v>
      </c>
      <c r="P9" s="13">
        <v>0</v>
      </c>
      <c r="Q9" cm="1">
        <f t="array" ref="Q9">_xlfn.IFS(
P9&lt;=0.1,100,
P9&lt;=0.25,70,
P9&lt;=0.4,40,
P9&lt;=0.6,20,
P9&lt;=1,0
)</f>
        <v>100</v>
      </c>
      <c r="R9" s="14">
        <f t="shared" si="0"/>
        <v>620</v>
      </c>
      <c r="S9" s="49" t="s">
        <v>75</v>
      </c>
      <c r="T9" t="str" cm="1">
        <f t="array" ref="T9">_xlfn.IFS(
R9&gt;=900,"Excellent",
R9&gt;=800,"Very Good",
R9&gt;=700,"Good",
R9&gt;=600,"Above Average",
R9&gt;=500,"Average",
R9&gt;=400,"Below Average",
R9&gt;=300,"Poor",
R9&gt;=200,"Very Poor",
R9&gt;=100,"Extremely Poor",
R9&lt;100,"Default Risk"
)</f>
        <v>Above Average</v>
      </c>
      <c r="U9" t="str" cm="1">
        <f t="array" ref="U9">_xlfn.IFS(
R9&gt;=900,"Very High",
R9&gt;=700,"High",
R9&gt;=500,"Moderate",
R9&gt;=400,"Low",
R9&gt;=300,"Very Low",
R9&gt;=200,"Unlikely",
TRUE,"Declined"
)</f>
        <v>Moderate</v>
      </c>
    </row>
    <row r="10" spans="1:21">
      <c r="A10" t="s">
        <v>137</v>
      </c>
      <c r="B10" t="s">
        <v>138</v>
      </c>
      <c r="C10">
        <v>29</v>
      </c>
      <c r="D10" cm="1">
        <f t="array" ref="D10">_xlfn.IFS(
C10&lt;=25,30,
C10&lt;=35,80,
C10&lt;=50,150,
C10&lt;=60,100,
C10&lt;=120,0
)</f>
        <v>80</v>
      </c>
      <c r="E10" s="12">
        <v>3249</v>
      </c>
      <c r="F10" cm="1">
        <f t="array" ref="F10">_xlfn.IFS(
E10&lt;=5000,0,
E10&lt;=10000,50,
E10&lt;=15000,100,
E10&gt;15000,150
)</f>
        <v>0</v>
      </c>
      <c r="G10" s="12">
        <v>600</v>
      </c>
      <c r="H10" t="s">
        <v>194</v>
      </c>
      <c r="I10" cm="1">
        <f t="array" ref="I10">_xlfn.IFS(
G10&lt;=1500,150,
G10&lt;=3000,130,
G10&lt;=4500,110,
G10&lt;=9000,80,
G10&lt;=15000,40,
G10&gt;15000,0
)</f>
        <v>150</v>
      </c>
      <c r="J10" s="13">
        <v>-8.2391957715825474E-3</v>
      </c>
      <c r="K10" cm="1">
        <f t="array" ref="K10">_xlfn.IFS(
J10&lt;=0,0,
J10&lt;=0.1,50,
J10&lt;=0.2,100,
J10&lt;=0.3,130,
J10&lt;=1,150
)</f>
        <v>0</v>
      </c>
      <c r="L10">
        <v>3135</v>
      </c>
      <c r="M10" cm="1">
        <f t="array" ref="M10">_xlfn.IFS(
L10&lt;=5000,30,
L10&lt;=15000,90,
L10&gt;15000,150
)</f>
        <v>30</v>
      </c>
      <c r="N10" s="12">
        <v>-26.5</v>
      </c>
      <c r="O10" cm="1">
        <f t="array" ref="O10">_xlfn.IFS(
N10&lt;0,0,
N10&lt;=1000,50,
N10&lt;=3000,100,
N10&gt;3000,150
)</f>
        <v>0</v>
      </c>
      <c r="P10" s="13">
        <v>0.18467220683287169</v>
      </c>
      <c r="Q10" cm="1">
        <f t="array" ref="Q10">_xlfn.IFS(
P10&lt;=0.1,100,
P10&lt;=0.25,70,
P10&lt;=0.4,40,
P10&lt;=0.6,20,
P10&lt;=1,0
)</f>
        <v>70</v>
      </c>
      <c r="R10" s="14">
        <f t="shared" si="0"/>
        <v>330</v>
      </c>
      <c r="S10" s="55" t="s">
        <v>83</v>
      </c>
      <c r="T10" t="str" cm="1">
        <f t="array" ref="T10">_xlfn.IFS(
R10&gt;=900,"Excellent",
R10&gt;=800,"Very Good",
R10&gt;=700,"Good",
R10&gt;=600,"Above Average",
R10&gt;=500,"Average",
R10&gt;=400,"Below Average",
R10&gt;=300,"Poor",
R10&gt;=200,"Very Poor",
R10&gt;=100,"Extremely Poor",
R10&lt;100,"Default Risk"
)</f>
        <v>Poor</v>
      </c>
      <c r="U10" t="str" cm="1">
        <f t="array" ref="U10">_xlfn.IFS(
R10&gt;=900,"Very High",
R10&gt;=700,"High",
R10&gt;=500,"Moderate",
R10&gt;=400,"Low",
R10&gt;=300,"Very Low",
R10&gt;=200,"Unlikely",
TRUE,"Declined"
)</f>
        <v>Very Low</v>
      </c>
    </row>
    <row r="11" spans="1:21">
      <c r="A11" t="s">
        <v>142</v>
      </c>
      <c r="B11" t="s">
        <v>143</v>
      </c>
      <c r="C11">
        <v>38</v>
      </c>
      <c r="D11" cm="1">
        <f t="array" ref="D11">_xlfn.IFS(
C11&lt;=25,30,
C11&lt;=35,80,
C11&lt;=50,150,
C11&lt;=60,100,
C11&lt;=120,0
)</f>
        <v>150</v>
      </c>
      <c r="E11" s="12">
        <v>19820</v>
      </c>
      <c r="F11" cm="1">
        <f t="array" ref="F11">_xlfn.IFS(
E11&lt;=5000,0,
E11&lt;=10000,50,
E11&lt;=15000,100,
E11&gt;15000,150
)</f>
        <v>150</v>
      </c>
      <c r="G11" s="12">
        <v>12000</v>
      </c>
      <c r="H11" t="s">
        <v>203</v>
      </c>
      <c r="I11" cm="1">
        <f t="array" ref="I11">_xlfn.IFS(
G11&lt;=1500,150,
G11&lt;=3000,130,
G11&lt;=4500,110,
G11&lt;=9000,80,
G11&lt;=15000,40,
G11&gt;15000,0
)</f>
        <v>40</v>
      </c>
      <c r="J11" s="13">
        <v>0.32505146998270601</v>
      </c>
      <c r="K11" cm="1">
        <f t="array" ref="K11">_xlfn.IFS(
J11&lt;=0,0,
J11&lt;=0.1,50,
J11&lt;=0.2,100,
J11&lt;=0.3,130,
J11&lt;=1,150
)</f>
        <v>150</v>
      </c>
      <c r="L11">
        <v>19820</v>
      </c>
      <c r="M11" cm="1">
        <f t="array" ref="M11">_xlfn.IFS(
L11&lt;=5000,30,
L11&lt;=15000,90,
L11&gt;15000,150
)</f>
        <v>150</v>
      </c>
      <c r="N11" s="12">
        <v>6578.4999999999982</v>
      </c>
      <c r="O11" cm="1">
        <f t="array" ref="O11">_xlfn.IFS(
N11&lt;0,0,
N11&lt;=1000,50,
N11&lt;=3000,100,
N11&gt;3000,150
)</f>
        <v>150</v>
      </c>
      <c r="P11" s="13">
        <v>0.20181634712411711</v>
      </c>
      <c r="Q11" cm="1">
        <f t="array" ref="Q11">_xlfn.IFS(
P11&lt;=0.1,100,
P11&lt;=0.25,70,
P11&lt;=0.4,40,
P11&lt;=0.6,20,
P11&lt;=1,0
)</f>
        <v>70</v>
      </c>
      <c r="R11" s="14">
        <f t="shared" si="0"/>
        <v>860</v>
      </c>
      <c r="S11" s="45" t="s">
        <v>70</v>
      </c>
      <c r="T11" t="str" cm="1">
        <f t="array" ref="T11">_xlfn.IFS(
R11&gt;=900,"Excellent",
R11&gt;=800,"Very Good",
R11&gt;=700,"Good",
R11&gt;=600,"Above Average",
R11&gt;=500,"Average",
R11&gt;=400,"Below Average",
R11&gt;=300,"Poor",
R11&gt;=200,"Very Poor",
R11&gt;=100,"Extremely Poor",
R11&lt;100,"Default Risk"
)</f>
        <v>Very Good</v>
      </c>
      <c r="U11" t="str" cm="1">
        <f t="array" ref="U11">_xlfn.IFS(
R11&gt;=900,"Very High",
R11&gt;=700,"High",
R11&gt;=500,"Moderate",
R11&gt;=400,"Low",
R11&gt;=300,"Very Low",
R11&gt;=200,"Unlikely",
TRUE,"Declined"
)</f>
        <v>High</v>
      </c>
    </row>
    <row r="12" spans="1:21">
      <c r="A12" t="s">
        <v>146</v>
      </c>
      <c r="B12" t="s">
        <v>147</v>
      </c>
      <c r="C12">
        <v>26</v>
      </c>
      <c r="D12" cm="1">
        <f t="array" ref="D12">_xlfn.IFS(
C12&lt;=25,30,
C12&lt;=35,80,
C12&lt;=50,150,
C12&lt;=60,100,
C12&lt;=120,0
)</f>
        <v>80</v>
      </c>
      <c r="E12" s="12">
        <v>4327</v>
      </c>
      <c r="F12" cm="1">
        <f t="array" ref="F12">_xlfn.IFS(
E12&lt;=5000,0,
E12&lt;=10000,50,
E12&lt;=15000,100,
E12&gt;15000,150
)</f>
        <v>0</v>
      </c>
      <c r="G12" s="12">
        <v>2100</v>
      </c>
      <c r="H12" t="s">
        <v>204</v>
      </c>
      <c r="I12" cm="1">
        <f t="array" ref="I12">_xlfn.IFS(
G12&lt;=1500,150,
G12&lt;=3000,130,
G12&lt;=4500,110,
G12&lt;=9000,80,
G12&lt;=15000,40,
G12&gt;15000,0
)</f>
        <v>130</v>
      </c>
      <c r="J12" s="13">
        <v>0.1171213181005674</v>
      </c>
      <c r="K12" cm="1">
        <f t="array" ref="K12">_xlfn.IFS(
J12&lt;=0,0,
J12&lt;=0.1,50,
J12&lt;=0.2,100,
J12&lt;=0.3,130,
J12&lt;=1,150
)</f>
        <v>100</v>
      </c>
      <c r="L12">
        <v>4327</v>
      </c>
      <c r="M12" cm="1">
        <f t="array" ref="M12">_xlfn.IFS(
L12&lt;=5000,30,
L12&lt;=15000,90,
L12&gt;15000,150
)</f>
        <v>30</v>
      </c>
      <c r="N12" s="12">
        <v>502.33333333333348</v>
      </c>
      <c r="O12" cm="1">
        <f t="array" ref="O12">_xlfn.IFS(
N12&lt;0,0,
N12&lt;=1000,50,
N12&lt;=3000,100,
N12&gt;3000,150
)</f>
        <v>50</v>
      </c>
      <c r="P12" s="13">
        <v>0.16177490177952389</v>
      </c>
      <c r="Q12" cm="1">
        <f t="array" ref="Q12">_xlfn.IFS(
P12&lt;=0.1,100,
P12&lt;=0.25,70,
P12&lt;=0.4,40,
P12&lt;=0.6,20,
P12&lt;=1,0
)</f>
        <v>70</v>
      </c>
      <c r="R12" s="14">
        <f>D12+F12+I12+K12+M12+O12+Q12</f>
        <v>460</v>
      </c>
      <c r="S12" s="53" t="s">
        <v>80</v>
      </c>
      <c r="T12" t="str" cm="1">
        <f t="array" ref="T12">_xlfn.IFS(
R12&gt;=900,"Excellent",
R12&gt;=800,"Very Good",
R12&gt;=700,"Good",
R12&gt;=600,"Above Average",
R12&gt;=500,"Average",
R12&gt;=400,"Below Average",
R12&gt;=300,"Poor",
R12&gt;=200,"Very Poor",
R12&gt;=100,"Extremely Poor",
R12&lt;100,"Default Risk"
)</f>
        <v>Below Average</v>
      </c>
      <c r="U12" t="str" cm="1">
        <f t="array" ref="U12">_xlfn.IFS(
R12&gt;=900,"Very High",
R12&gt;=700,"High",
R12&gt;=500,"Moderate",
R12&gt;=400,"Low",
R12&gt;=300,"Very Low",
R12&gt;=200,"Unlikely",
TRUE,"Declined"
)</f>
        <v>Low</v>
      </c>
    </row>
    <row r="13" spans="1:21">
      <c r="A13" t="s">
        <v>150</v>
      </c>
      <c r="B13" t="s">
        <v>151</v>
      </c>
      <c r="C13">
        <v>34</v>
      </c>
      <c r="D13" cm="1">
        <f t="array" ref="D13">_xlfn.IFS(
C13&lt;=25,30,
C13&lt;=35,80,
C13&lt;=50,150,
C13&lt;=60,100,
C13&lt;=120,0
)</f>
        <v>80</v>
      </c>
      <c r="E13" s="12">
        <v>9482</v>
      </c>
      <c r="F13" cm="1">
        <f t="array" ref="F13">_xlfn.IFS(
E13&lt;=5000,0,
E13&lt;=10000,50,
E13&lt;=15000,100,
E13&gt;15000,150
)</f>
        <v>50</v>
      </c>
      <c r="G13" s="12">
        <v>3600</v>
      </c>
      <c r="H13" t="s">
        <v>201</v>
      </c>
      <c r="I13" cm="1">
        <f t="array" ref="I13">_xlfn.IFS(
G13&lt;=1500,150,
G13&lt;=3000,130,
G13&lt;=4500,110,
G13&lt;=9000,80,
G13&lt;=15000,40,
G13&gt;15000,0
)</f>
        <v>110</v>
      </c>
      <c r="J13" s="13">
        <v>0.25547650912164532</v>
      </c>
      <c r="K13" cm="1">
        <f t="array" ref="K13">_xlfn.IFS(
J13&lt;=0,0,
J13&lt;=0.1,50,
J13&lt;=0.2,100,
J13&lt;=0.3,130,
J13&lt;=1,150
)</f>
        <v>130</v>
      </c>
      <c r="L13">
        <v>9441</v>
      </c>
      <c r="M13" cm="1">
        <f t="array" ref="M13">_xlfn.IFS(
L13&lt;=5000,30,
L13&lt;=15000,90,
L13&gt;15000,150
)</f>
        <v>90</v>
      </c>
      <c r="N13" s="12">
        <v>2417.9999999999991</v>
      </c>
      <c r="O13" cm="1">
        <f t="array" ref="O13">_xlfn.IFS(
N13&lt;0,0,
N13&lt;=1000,50,
N13&lt;=3000,100,
N13&gt;3000,150
)</f>
        <v>100</v>
      </c>
      <c r="P13" s="13">
        <v>0.12655557899177389</v>
      </c>
      <c r="Q13" cm="1">
        <f t="array" ref="Q13">_xlfn.IFS(
P13&lt;=0.1,100,
P13&lt;=0.25,70,
P13&lt;=0.4,40,
P13&lt;=0.6,20,
P13&lt;=1,0
)</f>
        <v>70</v>
      </c>
      <c r="R13" s="14">
        <f t="shared" si="0"/>
        <v>630</v>
      </c>
      <c r="S13" s="49" t="s">
        <v>75</v>
      </c>
      <c r="T13" t="str" cm="1">
        <f t="array" ref="T13">_xlfn.IFS(
R13&gt;=900,"Excellent",
R13&gt;=800,"Very Good",
R13&gt;=700,"Good",
R13&gt;=600,"Above Average",
R13&gt;=500,"Average",
R13&gt;=400,"Below Average",
R13&gt;=300,"Poor",
R13&gt;=200,"Very Poor",
R13&gt;=100,"Extremely Poor",
R13&lt;100,"Default Risk"
)</f>
        <v>Above Average</v>
      </c>
      <c r="U13" t="str" cm="1">
        <f t="array" ref="U13">_xlfn.IFS(
R13&gt;=900,"Very High",
R13&gt;=700,"High",
R13&gt;=500,"Moderate",
R13&gt;=400,"Low",
R13&gt;=300,"Very Low",
R13&gt;=200,"Unlikely",
TRUE,"Declined"
)</f>
        <v>Moderate</v>
      </c>
    </row>
    <row r="14" spans="1:21">
      <c r="A14" t="s">
        <v>154</v>
      </c>
      <c r="B14" t="s">
        <v>155</v>
      </c>
      <c r="C14">
        <v>43</v>
      </c>
      <c r="D14" cm="1">
        <f t="array" ref="D14">_xlfn.IFS(
C14&lt;=25,30,
C14&lt;=35,80,
C14&lt;=50,150,
C14&lt;=60,100,
C14&lt;=120,0
)</f>
        <v>150</v>
      </c>
      <c r="E14" s="12">
        <v>15426</v>
      </c>
      <c r="F14" cm="1">
        <f t="array" ref="F14">_xlfn.IFS(
E14&lt;=5000,0,
E14&lt;=10000,50,
E14&lt;=15000,100,
E14&gt;15000,150
)</f>
        <v>150</v>
      </c>
      <c r="G14" s="12">
        <v>1800</v>
      </c>
      <c r="H14" t="s">
        <v>202</v>
      </c>
      <c r="I14" cm="1">
        <f t="array" ref="I14">_xlfn.IFS(
G14&lt;=1500,150,
G14&lt;=3000,130,
G14&lt;=4500,110,
G14&lt;=9000,80,
G14&lt;=15000,40,
G14&gt;15000,0
)</f>
        <v>130</v>
      </c>
      <c r="J14" s="13">
        <v>0.38778654958416009</v>
      </c>
      <c r="K14" cm="1">
        <f t="array" ref="K14">_xlfn.IFS(
J14&lt;=0,0,
J14&lt;=0.1,50,
J14&lt;=0.2,100,
J14&lt;=0.3,130,
J14&lt;=1,150
)</f>
        <v>150</v>
      </c>
      <c r="L14">
        <v>15295</v>
      </c>
      <c r="M14" cm="1">
        <f t="array" ref="M14">_xlfn.IFS(
L14&lt;=5000,30,
L14&lt;=15000,90,
L14&gt;15000,150
)</f>
        <v>150</v>
      </c>
      <c r="N14" s="12">
        <v>6123.6666666666679</v>
      </c>
      <c r="O14" cm="1">
        <f t="array" ref="O14">_xlfn.IFS(
N14&lt;0,0,
N14&lt;=1000,50,
N14&lt;=3000,100,
N14&gt;3000,150
)</f>
        <v>150</v>
      </c>
      <c r="P14" s="13">
        <v>0.1166861143523921</v>
      </c>
      <c r="Q14" cm="1">
        <f t="array" ref="Q14">_xlfn.IFS(
P14&lt;=0.1,100,
P14&lt;=0.25,70,
P14&lt;=0.4,40,
P14&lt;=0.6,20,
P14&lt;=1,0
)</f>
        <v>70</v>
      </c>
      <c r="R14" s="14">
        <f t="shared" si="0"/>
        <v>950</v>
      </c>
      <c r="S14" s="43" t="s">
        <v>67</v>
      </c>
      <c r="T14" t="str" cm="1">
        <f t="array" ref="T14">_xlfn.IFS(
R14&gt;=900,"Excellent",
R14&gt;=800,"Very Good",
R14&gt;=700,"Good",
R14&gt;=600,"Above Average",
R14&gt;=500,"Average",
R14&gt;=400,"Below Average",
R14&gt;=300,"Poor",
R14&gt;=200,"Very Poor",
R14&gt;=100,"Extremely Poor",
R14&lt;100,"Default Risk"
)</f>
        <v>Excellent</v>
      </c>
      <c r="U14" t="str" cm="1">
        <f t="array" ref="U14">_xlfn.IFS(
R14&gt;=900,"Very High",
R14&gt;=700,"High",
R14&gt;=500,"Moderate",
R14&gt;=400,"Low",
R14&gt;=300,"Very Low",
R14&gt;=200,"Unlikely",
TRUE,"Declined"
)</f>
        <v>Very High</v>
      </c>
    </row>
    <row r="15" spans="1:21">
      <c r="A15" t="s">
        <v>158</v>
      </c>
      <c r="B15" t="s">
        <v>159</v>
      </c>
      <c r="C15">
        <v>31</v>
      </c>
      <c r="D15" cm="1">
        <f t="array" ref="D15">_xlfn.IFS(
C15&lt;=25,30,
C15&lt;=35,80,
C15&lt;=50,150,
C15&lt;=60,100,
C15&lt;=120,0
)</f>
        <v>80</v>
      </c>
      <c r="E15" s="12">
        <v>7472</v>
      </c>
      <c r="F15" cm="1">
        <f t="array" ref="F15">_xlfn.IFS(
E15&lt;=5000,0,
E15&lt;=10000,50,
E15&lt;=15000,100,
E15&gt;15000,150
)</f>
        <v>50</v>
      </c>
      <c r="G15" s="12">
        <v>2700</v>
      </c>
      <c r="H15" t="s">
        <v>204</v>
      </c>
      <c r="I15" cm="1">
        <f t="array" ref="I15">_xlfn.IFS(
G15&lt;=1500,150,
G15&lt;=3000,130,
G15&lt;=4500,110,
G15&lt;=9000,80,
G15&lt;=15000,40,
G15&gt;15000,0
)</f>
        <v>130</v>
      </c>
      <c r="J15" s="13">
        <v>0.1869156851261361</v>
      </c>
      <c r="K15" cm="1">
        <f t="array" ref="K15">_xlfn.IFS(
J15&lt;=0,0,
J15&lt;=0.1,50,
J15&lt;=0.2,100,
J15&lt;=0.3,130,
J15&lt;=1,150
)</f>
        <v>100</v>
      </c>
      <c r="L15">
        <v>7472</v>
      </c>
      <c r="M15" cm="1">
        <f t="array" ref="M15">_xlfn.IFS(
L15&lt;=5000,30,
L15&lt;=15000,90,
L15&gt;15000,150
)</f>
        <v>90</v>
      </c>
      <c r="N15" s="12">
        <v>1436.166666666667</v>
      </c>
      <c r="O15" cm="1">
        <f t="array" ref="O15">_xlfn.IFS(
N15&lt;0,0,
N15&lt;=1000,50,
N15&lt;=3000,100,
N15&gt;3000,150
)</f>
        <v>100</v>
      </c>
      <c r="P15" s="13">
        <v>0.1204496788008565</v>
      </c>
      <c r="Q15" cm="1">
        <f t="array" ref="Q15">_xlfn.IFS(
P15&lt;=0.1,100,
P15&lt;=0.25,70,
P15&lt;=0.4,40,
P15&lt;=0.6,20,
P15&lt;=1,0
)</f>
        <v>70</v>
      </c>
      <c r="R15" s="14">
        <f t="shared" si="0"/>
        <v>620</v>
      </c>
      <c r="S15" s="49" t="s">
        <v>75</v>
      </c>
      <c r="T15" t="str" cm="1">
        <f t="array" ref="T15">_xlfn.IFS(
R15&gt;=900,"Excellent",
R15&gt;=800,"Very Good",
R15&gt;=700,"Good",
R15&gt;=600,"Above Average",
R15&gt;=500,"Average",
R15&gt;=400,"Below Average",
R15&gt;=300,"Poor",
R15&gt;=200,"Very Poor",
R15&gt;=100,"Extremely Poor",
R15&lt;100,"Default Risk"
)</f>
        <v>Above Average</v>
      </c>
      <c r="U15" t="str" cm="1">
        <f t="array" ref="U15">_xlfn.IFS(
R15&gt;=900,"Very High",
R15&gt;=700,"High",
R15&gt;=500,"Moderate",
R15&gt;=400,"Low",
R15&gt;=300,"Very Low",
R15&gt;=200,"Unlikely",
TRUE,"Declined"
)</f>
        <v>Moderate</v>
      </c>
    </row>
    <row r="16" spans="1:21">
      <c r="A16" t="s">
        <v>162</v>
      </c>
      <c r="B16" t="s">
        <v>163</v>
      </c>
      <c r="C16">
        <v>48</v>
      </c>
      <c r="D16" cm="1">
        <f t="array" ref="D16">_xlfn.IFS(
C16&lt;=25,30,
C16&lt;=35,80,
C16&lt;=50,150,
C16&lt;=60,100,
C16&lt;=120,0
)</f>
        <v>150</v>
      </c>
      <c r="E16" s="12">
        <v>18897</v>
      </c>
      <c r="F16" cm="1">
        <f t="array" ref="F16">_xlfn.IFS(
E16&lt;=5000,0,
E16&lt;=10000,50,
E16&lt;=15000,100,
E16&gt;15000,150
)</f>
        <v>150</v>
      </c>
      <c r="G16" s="12">
        <v>6600</v>
      </c>
      <c r="H16" t="s">
        <v>202</v>
      </c>
      <c r="I16" cm="1">
        <f t="array" ref="I16">_xlfn.IFS(
G16&lt;=1500,150,
G16&lt;=3000,130,
G16&lt;=4500,110,
G16&lt;=9000,80,
G16&lt;=15000,40,
G16&gt;15000,0
)</f>
        <v>80</v>
      </c>
      <c r="J16" s="13">
        <v>0.34162629420673651</v>
      </c>
      <c r="K16" cm="1">
        <f t="array" ref="K16">_xlfn.IFS(
J16&lt;=0,0,
J16&lt;=0.1,50,
J16&lt;=0.2,100,
J16&lt;=0.3,130,
J16&lt;=1,150
)</f>
        <v>150</v>
      </c>
      <c r="L16">
        <v>18897</v>
      </c>
      <c r="M16" cm="1">
        <f t="array" ref="M16">_xlfn.IFS(
L16&lt;=5000,30,
L16&lt;=15000,90,
L16&gt;15000,150
)</f>
        <v>150</v>
      </c>
      <c r="N16" s="12">
        <v>6428.6666666666661</v>
      </c>
      <c r="O16" cm="1">
        <f t="array" ref="O16">_xlfn.IFS(
N16&lt;0,0,
N16&lt;=1000,50,
N16&lt;=3000,100,
N16&gt;3000,150
)</f>
        <v>150</v>
      </c>
      <c r="P16" s="13">
        <v>0.116420595861777</v>
      </c>
      <c r="Q16" cm="1">
        <f t="array" ref="Q16">_xlfn.IFS(
P16&lt;=0.1,100,
P16&lt;=0.25,70,
P16&lt;=0.4,40,
P16&lt;=0.6,20,
P16&lt;=1,0
)</f>
        <v>70</v>
      </c>
      <c r="R16" s="14">
        <f t="shared" si="0"/>
        <v>900</v>
      </c>
      <c r="S16" s="43" t="s">
        <v>67</v>
      </c>
      <c r="T16" t="str" cm="1">
        <f t="array" ref="T16">_xlfn.IFS(
R16&gt;=900,"Excellent",
R16&gt;=800,"Very Good",
R16&gt;=700,"Good",
R16&gt;=600,"Above Average",
R16&gt;=500,"Average",
R16&gt;=400,"Below Average",
R16&gt;=300,"Poor",
R16&gt;=200,"Very Poor",
R16&gt;=100,"Extremely Poor",
R16&lt;100,"Default Risk"
)</f>
        <v>Excellent</v>
      </c>
      <c r="U16" t="str" cm="1">
        <f t="array" ref="U16">_xlfn.IFS(
R16&gt;=900,"Very High",
R16&gt;=700,"High",
R16&gt;=500,"Moderate",
R16&gt;=400,"Low",
R16&gt;=300,"Very Low",
R16&gt;=200,"Unlikely",
TRUE,"Declined"
)</f>
        <v>Very High</v>
      </c>
    </row>
    <row r="17" spans="1:21">
      <c r="A17" t="s">
        <v>166</v>
      </c>
      <c r="B17" t="s">
        <v>167</v>
      </c>
      <c r="C17">
        <v>58</v>
      </c>
      <c r="D17" cm="1">
        <f t="array" ref="D17">_xlfn.IFS(
C17&lt;=25,30,
C17&lt;=35,80,
C17&lt;=50,150,
C17&lt;=60,100,
C17&lt;=120,0
)</f>
        <v>100</v>
      </c>
      <c r="E17" s="12">
        <v>13639</v>
      </c>
      <c r="F17" cm="1">
        <f t="array" ref="F17">_xlfn.IFS(
E17&lt;=5000,0,
E17&lt;=10000,50,
E17&lt;=15000,100,
E17&gt;15000,150
)</f>
        <v>100</v>
      </c>
      <c r="G17" s="12">
        <v>1800</v>
      </c>
      <c r="H17" t="s">
        <v>201</v>
      </c>
      <c r="I17" cm="1">
        <f t="array" ref="I17">_xlfn.IFS(
G17&lt;=1500,150,
G17&lt;=3000,130,
G17&lt;=4500,110,
G17&lt;=9000,80,
G17&lt;=15000,40,
G17&gt;15000,0
)</f>
        <v>130</v>
      </c>
      <c r="J17" s="13">
        <v>0.36852168057526269</v>
      </c>
      <c r="K17" cm="1">
        <f t="array" ref="K17">_xlfn.IFS(
J17&lt;=0,0,
J17&lt;=0.1,50,
J17&lt;=0.2,100,
J17&lt;=0.3,130,
J17&lt;=1,150
)</f>
        <v>150</v>
      </c>
      <c r="L17">
        <v>13639</v>
      </c>
      <c r="M17" cm="1">
        <f t="array" ref="M17">_xlfn.IFS(
L17&lt;=5000,30,
L17&lt;=15000,90,
L17&gt;15000,150
)</f>
        <v>90</v>
      </c>
      <c r="N17" s="12">
        <v>5107.8333333333339</v>
      </c>
      <c r="O17" cm="1">
        <f t="array" ref="O17">_xlfn.IFS(
N17&lt;0,0,
N17&lt;=1000,50,
N17&lt;=3000,100,
N17&gt;3000,150
)</f>
        <v>150</v>
      </c>
      <c r="P17" s="13">
        <v>4.3991494977637657E-2</v>
      </c>
      <c r="Q17" cm="1">
        <f t="array" ref="Q17">_xlfn.IFS(
P17&lt;=0.1,100,
P17&lt;=0.25,70,
P17&lt;=0.4,40,
P17&lt;=0.6,20,
P17&lt;=1,0
)</f>
        <v>100</v>
      </c>
      <c r="R17" s="14">
        <f t="shared" si="0"/>
        <v>820</v>
      </c>
      <c r="S17" s="45" t="s">
        <v>70</v>
      </c>
      <c r="T17" t="str" cm="1">
        <f t="array" ref="T17">_xlfn.IFS(
R17&gt;=900,"Excellent",
R17&gt;=800,"Very Good",
R17&gt;=700,"Good",
R17&gt;=600,"Above Average",
R17&gt;=500,"Average",
R17&gt;=400,"Below Average",
R17&gt;=300,"Poor",
R17&gt;=200,"Very Poor",
R17&gt;=100,"Extremely Poor",
R17&lt;100,"Default Risk"
)</f>
        <v>Very Good</v>
      </c>
      <c r="U17" t="str" cm="1">
        <f t="array" ref="U17">_xlfn.IFS(
R17&gt;=900,"Very High",
R17&gt;=700,"High",
R17&gt;=500,"Moderate",
R17&gt;=400,"Low",
R17&gt;=300,"Very Low",
R17&gt;=200,"Unlikely",
TRUE,"Declined"
)</f>
        <v>High</v>
      </c>
    </row>
    <row r="18" spans="1:21">
      <c r="A18" t="s">
        <v>170</v>
      </c>
      <c r="B18" t="s">
        <v>171</v>
      </c>
      <c r="C18">
        <v>25</v>
      </c>
      <c r="D18" cm="1">
        <f t="array" ref="D18">_xlfn.IFS(
C18&lt;=25,30,
C18&lt;=35,80,
C18&lt;=50,150,
C18&lt;=60,100,
C18&lt;=120,0
)</f>
        <v>30</v>
      </c>
      <c r="E18" s="12">
        <v>3162</v>
      </c>
      <c r="F18" cm="1">
        <f t="array" ref="F18">_xlfn.IFS(
E18&lt;=5000,0,
E18&lt;=10000,50,
E18&lt;=15000,100,
E18&gt;15000,150
)</f>
        <v>0</v>
      </c>
      <c r="G18" s="12">
        <v>1200</v>
      </c>
      <c r="H18" t="s">
        <v>194</v>
      </c>
      <c r="I18" cm="1">
        <f t="array" ref="I18">_xlfn.IFS(
G18&lt;=1500,150,
G18&lt;=3000,130,
G18&lt;=4500,110,
G18&lt;=9000,80,
G18&lt;=15000,40,
G18&gt;15000,0
)</f>
        <v>150</v>
      </c>
      <c r="J18" s="13">
        <v>8.2473124030593148E-2</v>
      </c>
      <c r="K18" cm="1">
        <f t="array" ref="K18">_xlfn.IFS(
J18&lt;=0,0,
J18&lt;=0.1,50,
J18&lt;=0.2,100,
J18&lt;=0.3,130,
J18&lt;=1,150
)</f>
        <v>50</v>
      </c>
      <c r="L18">
        <v>3325</v>
      </c>
      <c r="M18" cm="1">
        <f t="array" ref="M18">_xlfn.IFS(
L18&lt;=5000,30,
L18&lt;=15000,90,
L18&gt;15000,150
)</f>
        <v>30</v>
      </c>
      <c r="N18" s="12">
        <v>257</v>
      </c>
      <c r="O18" cm="1">
        <f t="array" ref="O18">_xlfn.IFS(
N18&lt;0,0,
N18&lt;=1000,50,
N18&lt;=3000,100,
N18&gt;3000,150
)</f>
        <v>50</v>
      </c>
      <c r="P18" s="13">
        <v>0.1265022137887413</v>
      </c>
      <c r="Q18" cm="1">
        <f t="array" ref="Q18">_xlfn.IFS(
P18&lt;=0.1,100,
P18&lt;=0.25,70,
P18&lt;=0.4,40,
P18&lt;=0.6,20,
P18&lt;=1,0
)</f>
        <v>70</v>
      </c>
      <c r="R18" s="14">
        <f t="shared" si="0"/>
        <v>380</v>
      </c>
      <c r="S18" s="55" t="s">
        <v>83</v>
      </c>
      <c r="T18" t="str" cm="1">
        <f t="array" ref="T18">_xlfn.IFS(
R18&gt;=900,"Excellent",
R18&gt;=800,"Very Good",
R18&gt;=700,"Good",
R18&gt;=600,"Above Average",
R18&gt;=500,"Average",
R18&gt;=400,"Below Average",
R18&gt;=300,"Poor",
R18&gt;=200,"Very Poor",
R18&gt;=100,"Extremely Poor",
R18&lt;100,"Default Risk"
)</f>
        <v>Poor</v>
      </c>
      <c r="U18" t="str" cm="1">
        <f t="array" ref="U18">_xlfn.IFS(
R18&gt;=900,"Very High",
R18&gt;=700,"High",
R18&gt;=500,"Moderate",
R18&gt;=400,"Low",
R18&gt;=300,"Very Low",
R18&gt;=200,"Unlikely",
TRUE,"Declined"
)</f>
        <v>Very Low</v>
      </c>
    </row>
    <row r="19" spans="1:21">
      <c r="A19" t="s">
        <v>174</v>
      </c>
      <c r="B19" t="s">
        <v>175</v>
      </c>
      <c r="C19">
        <v>40</v>
      </c>
      <c r="D19" cm="1">
        <f t="array" ref="D19">_xlfn.IFS(
C19&lt;=25,30,
C19&lt;=35,80,
C19&lt;=50,150,
C19&lt;=60,100,
C19&lt;=120,0
)</f>
        <v>150</v>
      </c>
      <c r="E19" s="12">
        <v>10832</v>
      </c>
      <c r="F19" cm="1">
        <f t="array" ref="F19">_xlfn.IFS(
E19&lt;=5000,0,
E19&lt;=10000,50,
E19&lt;=15000,100,
E19&gt;15000,150
)</f>
        <v>100</v>
      </c>
      <c r="G19" s="12">
        <v>3300</v>
      </c>
      <c r="H19" t="s">
        <v>201</v>
      </c>
      <c r="I19" cm="1">
        <f t="array" ref="I19">_xlfn.IFS(
G19&lt;=1500,150,
G19&lt;=3000,130,
G19&lt;=4500,110,
G19&lt;=9000,80,
G19&lt;=15000,40,
G19&gt;15000,0
)</f>
        <v>110</v>
      </c>
      <c r="J19" s="13">
        <v>0.2744872796336289</v>
      </c>
      <c r="K19" cm="1">
        <f t="array" ref="K19">_xlfn.IFS(
J19&lt;=0,0,
J19&lt;=0.1,50,
J19&lt;=0.2,100,
J19&lt;=0.3,130,
J19&lt;=1,150
)</f>
        <v>130</v>
      </c>
      <c r="L19">
        <v>10832</v>
      </c>
      <c r="M19" cm="1">
        <f t="array" ref="M19">_xlfn.IFS(
L19&lt;=5000,30,
L19&lt;=15000,90,
L19&gt;15000,150
)</f>
        <v>90</v>
      </c>
      <c r="N19" s="12">
        <v>2986.833333333333</v>
      </c>
      <c r="O19" cm="1">
        <f t="array" ref="O19">_xlfn.IFS(
N19&lt;0,0,
N19&lt;=1000,50,
N19&lt;=3000,100,
N19&gt;3000,150
)</f>
        <v>100</v>
      </c>
      <c r="P19" s="13">
        <v>0.1015509601181684</v>
      </c>
      <c r="Q19" cm="1">
        <f t="array" ref="Q19">_xlfn.IFS(
P19&lt;=0.1,100,
P19&lt;=0.25,70,
P19&lt;=0.4,40,
P19&lt;=0.6,20,
P19&lt;=1,0
)</f>
        <v>70</v>
      </c>
      <c r="R19" s="14">
        <f t="shared" si="0"/>
        <v>750</v>
      </c>
      <c r="S19" s="47" t="s">
        <v>73</v>
      </c>
      <c r="T19" t="str" cm="1">
        <f t="array" ref="T19">_xlfn.IFS(
R19&gt;=900,"Excellent",
R19&gt;=800,"Very Good",
R19&gt;=700,"Good",
R19&gt;=600,"Above Average",
R19&gt;=500,"Average",
R19&gt;=400,"Below Average",
R19&gt;=300,"Poor",
R19&gt;=200,"Very Poor",
R19&gt;=100,"Extremely Poor",
R19&lt;100,"Default Risk"
)</f>
        <v>Good</v>
      </c>
      <c r="U19" t="str" cm="1">
        <f t="array" ref="U19">_xlfn.IFS(
R19&gt;=900,"Very High",
R19&gt;=700,"High",
R19&gt;=500,"Moderate",
R19&gt;=400,"Low",
R19&gt;=300,"Very Low",
R19&gt;=200,"Unlikely",
TRUE,"Declined"
)</f>
        <v>High</v>
      </c>
    </row>
    <row r="20" spans="1:21">
      <c r="A20" t="s">
        <v>178</v>
      </c>
      <c r="B20" t="s">
        <v>179</v>
      </c>
      <c r="C20">
        <v>51</v>
      </c>
      <c r="D20" cm="1">
        <f t="array" ref="D20">_xlfn.IFS(
C20&lt;=25,30,
C20&lt;=35,80,
C20&lt;=50,150,
C20&lt;=60,100,
C20&lt;=120,0
)</f>
        <v>100</v>
      </c>
      <c r="E20" s="12">
        <v>16929</v>
      </c>
      <c r="F20" cm="1">
        <f t="array" ref="F20">_xlfn.IFS(
E20&lt;=5000,0,
E20&lt;=10000,50,
E20&lt;=15000,100,
E20&gt;15000,150
)</f>
        <v>150</v>
      </c>
      <c r="G20" s="12">
        <v>4800</v>
      </c>
      <c r="H20" t="s">
        <v>202</v>
      </c>
      <c r="I20" cm="1">
        <f t="array" ref="I20">_xlfn.IFS(
G20&lt;=1500,150,
G20&lt;=3000,130,
G20&lt;=4500,110,
G20&lt;=9000,80,
G20&lt;=15000,40,
G20&gt;15000,0
)</f>
        <v>80</v>
      </c>
      <c r="J20" s="13">
        <v>0.36533978234582842</v>
      </c>
      <c r="K20" cm="1">
        <f t="array" ref="K20">_xlfn.IFS(
J20&lt;=0,0,
J20&lt;=0.1,50,
J20&lt;=0.2,100,
J20&lt;=0.3,130,
J20&lt;=1,150
)</f>
        <v>150</v>
      </c>
      <c r="L20">
        <v>16852</v>
      </c>
      <c r="M20" cm="1">
        <f t="array" ref="M20">_xlfn.IFS(
L20&lt;=5000,30,
L20&lt;=15000,90,
L20&gt;15000,150
)</f>
        <v>150</v>
      </c>
      <c r="N20" s="12">
        <v>6294.5000000000018</v>
      </c>
      <c r="O20" cm="1">
        <f t="array" ref="O20">_xlfn.IFS(
N20&lt;0,0,
N20&lt;=1000,50,
N20&lt;=3000,100,
N20&gt;3000,150
)</f>
        <v>150</v>
      </c>
      <c r="P20" s="13">
        <v>9.4512375214129599E-2</v>
      </c>
      <c r="Q20" cm="1">
        <f t="array" ref="Q20">_xlfn.IFS(
P20&lt;=0.1,100,
P20&lt;=0.25,70,
P20&lt;=0.4,40,
P20&lt;=0.6,20,
P20&lt;=1,0
)</f>
        <v>100</v>
      </c>
      <c r="R20" s="14">
        <f t="shared" si="0"/>
        <v>880</v>
      </c>
      <c r="S20" s="45" t="s">
        <v>70</v>
      </c>
      <c r="T20" t="str" cm="1">
        <f t="array" ref="T20">_xlfn.IFS(
R20&gt;=900,"Excellent",
R20&gt;=800,"Very Good",
R20&gt;=700,"Good",
R20&gt;=600,"Above Average",
R20&gt;=500,"Average",
R20&gt;=400,"Below Average",
R20&gt;=300,"Poor",
R20&gt;=200,"Very Poor",
R20&gt;=100,"Extremely Poor",
R20&lt;100,"Default Risk"
)</f>
        <v>Very Good</v>
      </c>
      <c r="U20" t="str" cm="1">
        <f t="array" ref="U20">_xlfn.IFS(
R20&gt;=900,"Very High",
R20&gt;=700,"High",
R20&gt;=500,"Moderate",
R20&gt;=400,"Low",
R20&gt;=300,"Very Low",
R20&gt;=200,"Unlikely",
TRUE,"Declined"
)</f>
        <v>High</v>
      </c>
    </row>
    <row r="21" spans="1:21">
      <c r="A21" t="s">
        <v>182</v>
      </c>
      <c r="B21" t="s">
        <v>183</v>
      </c>
      <c r="C21">
        <v>66</v>
      </c>
      <c r="D21" cm="1">
        <f t="array" ref="D21">_xlfn.IFS(
C21&lt;=25,30,
C21&lt;=35,80,
C21&lt;=50,150,
C21&lt;=60,100,
C21&lt;=120,0
)</f>
        <v>0</v>
      </c>
      <c r="E21" s="12">
        <v>7416</v>
      </c>
      <c r="F21" cm="1">
        <f t="array" ref="F21">_xlfn.IFS(
E21&lt;=5000,0,
E21&lt;=10000,50,
E21&lt;=15000,100,
E21&gt;15000,150
)</f>
        <v>50</v>
      </c>
      <c r="G21" s="12">
        <v>0</v>
      </c>
      <c r="H21" t="s">
        <v>200</v>
      </c>
      <c r="I21" cm="1">
        <f t="array" ref="I21">_xlfn.IFS(
G21&lt;=1500,150,
G21&lt;=3000,130,
G21&lt;=4500,110,
G21&lt;=9000,80,
G21&lt;=15000,40,
G21&gt;15000,0
)</f>
        <v>150</v>
      </c>
      <c r="J21" s="13">
        <v>0.24808441994891789</v>
      </c>
      <c r="K21" cm="1">
        <f t="array" ref="K21">_xlfn.IFS(
J21&lt;=0,0,
J21&lt;=0.1,50,
J21&lt;=0.2,100,
J21&lt;=0.3,130,
J21&lt;=1,150
)</f>
        <v>130</v>
      </c>
      <c r="L21">
        <v>7416</v>
      </c>
      <c r="M21" cm="1">
        <f t="array" ref="M21">_xlfn.IFS(
L21&lt;=5000,30,
L21&lt;=15000,90,
L21&gt;15000,150
)</f>
        <v>90</v>
      </c>
      <c r="N21" s="12">
        <v>1845.5</v>
      </c>
      <c r="O21" cm="1">
        <f t="array" ref="O21">_xlfn.IFS(
N21&lt;0,0,
N21&lt;=1000,50,
N21&lt;=3000,100,
N21&gt;3000,150
)</f>
        <v>100</v>
      </c>
      <c r="P21" s="13">
        <v>0</v>
      </c>
      <c r="Q21" cm="1">
        <f t="array" ref="Q21">_xlfn.IFS(
P21&lt;=0.1,100,
P21&lt;=0.25,70,
P21&lt;=0.4,40,
P21&lt;=0.6,20,
P21&lt;=1,0
)</f>
        <v>100</v>
      </c>
      <c r="R21" s="14">
        <f t="shared" si="0"/>
        <v>620</v>
      </c>
      <c r="S21" s="49" t="s">
        <v>75</v>
      </c>
      <c r="T21" t="str" cm="1">
        <f t="array" ref="T21">_xlfn.IFS(
R21&gt;=900,"Excellent",
R21&gt;=800,"Very Good",
R21&gt;=700,"Good",
R21&gt;=600,"Above Average",
R21&gt;=500,"Average",
R21&gt;=400,"Below Average",
R21&gt;=300,"Poor",
R21&gt;=200,"Very Poor",
R21&gt;=100,"Extremely Poor",
R21&lt;100,"Default Risk"
)</f>
        <v>Above Average</v>
      </c>
      <c r="U21" t="str" cm="1">
        <f t="array" ref="U21">_xlfn.IFS(
R21&gt;=900,"Very High",
R21&gt;=700,"High",
R21&gt;=500,"Moderate",
R21&gt;=400,"Low",
R21&gt;=300,"Very Low",
R21&gt;=200,"Unlikely",
TRUE,"Declined"
)</f>
        <v>Moderate</v>
      </c>
    </row>
  </sheetData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1"/>
  <sheetViews>
    <sheetView workbookViewId="0">
      <selection activeCell="C41" sqref="C41"/>
    </sheetView>
  </sheetViews>
  <sheetFormatPr defaultRowHeight="14.5"/>
  <cols>
    <col min="1" max="5" width="12" customWidth="1"/>
    <col min="6" max="6" width="15" customWidth="1"/>
    <col min="7" max="8" width="12" customWidth="1"/>
  </cols>
  <sheetData>
    <row r="1" spans="1:8">
      <c r="A1" s="7" t="s">
        <v>94</v>
      </c>
      <c r="B1" s="7" t="s">
        <v>186</v>
      </c>
      <c r="C1" s="7" t="s">
        <v>187</v>
      </c>
      <c r="D1" s="7" t="s">
        <v>188</v>
      </c>
      <c r="E1" s="7" t="s">
        <v>189</v>
      </c>
      <c r="F1" s="7" t="s">
        <v>190</v>
      </c>
      <c r="G1" s="7" t="s">
        <v>191</v>
      </c>
      <c r="H1" s="7" t="s">
        <v>192</v>
      </c>
    </row>
    <row r="2" spans="1:8">
      <c r="A2" t="s">
        <v>101</v>
      </c>
      <c r="B2" t="s">
        <v>193</v>
      </c>
      <c r="C2" s="10">
        <v>3658</v>
      </c>
      <c r="D2" s="10">
        <v>3206</v>
      </c>
      <c r="E2" s="10">
        <v>1000</v>
      </c>
      <c r="F2" t="s">
        <v>194</v>
      </c>
      <c r="G2" s="10">
        <v>3658</v>
      </c>
      <c r="H2" s="10">
        <v>4206</v>
      </c>
    </row>
    <row r="3" spans="1:8">
      <c r="A3" t="s">
        <v>101</v>
      </c>
      <c r="B3" t="s">
        <v>195</v>
      </c>
      <c r="C3" s="10">
        <v>3433</v>
      </c>
      <c r="D3" s="10">
        <v>3479</v>
      </c>
      <c r="E3" s="10">
        <v>1000</v>
      </c>
      <c r="F3" t="s">
        <v>194</v>
      </c>
      <c r="G3" s="10">
        <v>3433</v>
      </c>
      <c r="H3" s="10">
        <v>4479</v>
      </c>
    </row>
    <row r="4" spans="1:8">
      <c r="A4" t="s">
        <v>101</v>
      </c>
      <c r="B4" t="s">
        <v>196</v>
      </c>
      <c r="C4" s="10">
        <v>3427</v>
      </c>
      <c r="D4" s="10">
        <v>3372</v>
      </c>
      <c r="E4" s="10">
        <v>1000</v>
      </c>
      <c r="F4" t="s">
        <v>194</v>
      </c>
      <c r="G4" s="10">
        <v>3427</v>
      </c>
      <c r="H4" s="10">
        <v>4372</v>
      </c>
    </row>
    <row r="5" spans="1:8">
      <c r="A5" t="s">
        <v>101</v>
      </c>
      <c r="B5" t="s">
        <v>197</v>
      </c>
      <c r="C5" s="10">
        <v>3386</v>
      </c>
      <c r="D5" s="10">
        <v>3241</v>
      </c>
      <c r="E5" s="10">
        <v>1000</v>
      </c>
      <c r="F5" t="s">
        <v>194</v>
      </c>
      <c r="G5" s="10">
        <v>3386</v>
      </c>
      <c r="H5" s="10">
        <v>4241</v>
      </c>
    </row>
    <row r="6" spans="1:8">
      <c r="A6" t="s">
        <v>101</v>
      </c>
      <c r="B6" t="s">
        <v>198</v>
      </c>
      <c r="C6" s="10">
        <v>3473</v>
      </c>
      <c r="D6" s="10">
        <v>3485</v>
      </c>
      <c r="E6" s="10">
        <v>1000</v>
      </c>
      <c r="F6" t="s">
        <v>194</v>
      </c>
      <c r="G6" s="10">
        <v>3473</v>
      </c>
      <c r="H6" s="10">
        <v>4485</v>
      </c>
    </row>
    <row r="7" spans="1:8">
      <c r="A7" t="s">
        <v>101</v>
      </c>
      <c r="B7" t="s">
        <v>199</v>
      </c>
      <c r="C7" s="10">
        <v>3558</v>
      </c>
      <c r="D7" s="10">
        <v>3381</v>
      </c>
      <c r="E7" s="10">
        <v>3000</v>
      </c>
      <c r="F7" t="s">
        <v>194</v>
      </c>
      <c r="G7" s="10">
        <v>3558</v>
      </c>
      <c r="H7" s="10">
        <v>4381</v>
      </c>
    </row>
    <row r="8" spans="1:8">
      <c r="A8" t="s">
        <v>107</v>
      </c>
      <c r="B8" t="s">
        <v>193</v>
      </c>
      <c r="C8" s="10">
        <v>5024</v>
      </c>
      <c r="D8" s="10">
        <v>3586</v>
      </c>
      <c r="E8" s="10">
        <v>0</v>
      </c>
      <c r="F8" t="s">
        <v>200</v>
      </c>
      <c r="G8" s="10">
        <v>5024</v>
      </c>
      <c r="H8" s="10">
        <v>3586</v>
      </c>
    </row>
    <row r="9" spans="1:8">
      <c r="A9" t="s">
        <v>107</v>
      </c>
      <c r="B9" t="s">
        <v>195</v>
      </c>
      <c r="C9" s="10">
        <v>5017</v>
      </c>
      <c r="D9" s="10">
        <v>3330</v>
      </c>
      <c r="E9" s="10">
        <v>0</v>
      </c>
      <c r="F9" t="s">
        <v>200</v>
      </c>
      <c r="G9" s="10">
        <v>5017</v>
      </c>
      <c r="H9" s="10">
        <v>3330</v>
      </c>
    </row>
    <row r="10" spans="1:8">
      <c r="A10" t="s">
        <v>107</v>
      </c>
      <c r="B10" t="s">
        <v>196</v>
      </c>
      <c r="C10" s="10">
        <v>4807</v>
      </c>
      <c r="D10" s="10">
        <v>3342</v>
      </c>
      <c r="E10" s="10">
        <v>0</v>
      </c>
      <c r="F10" t="s">
        <v>200</v>
      </c>
      <c r="G10" s="10">
        <v>4807</v>
      </c>
      <c r="H10" s="10">
        <v>3342</v>
      </c>
    </row>
    <row r="11" spans="1:8">
      <c r="A11" t="s">
        <v>107</v>
      </c>
      <c r="B11" t="s">
        <v>197</v>
      </c>
      <c r="C11" s="10">
        <v>4630</v>
      </c>
      <c r="D11" s="10">
        <v>3407</v>
      </c>
      <c r="E11" s="10">
        <v>0</v>
      </c>
      <c r="F11" t="s">
        <v>200</v>
      </c>
      <c r="G11" s="10">
        <v>4630</v>
      </c>
      <c r="H11" s="10">
        <v>3407</v>
      </c>
    </row>
    <row r="12" spans="1:8">
      <c r="A12" t="s">
        <v>107</v>
      </c>
      <c r="B12" t="s">
        <v>198</v>
      </c>
      <c r="C12" s="10">
        <v>5026</v>
      </c>
      <c r="D12" s="10">
        <v>3482</v>
      </c>
      <c r="E12" s="10">
        <v>0</v>
      </c>
      <c r="F12" t="s">
        <v>200</v>
      </c>
      <c r="G12" s="10">
        <v>5026</v>
      </c>
      <c r="H12" s="10">
        <v>3482</v>
      </c>
    </row>
    <row r="13" spans="1:8">
      <c r="A13" t="s">
        <v>107</v>
      </c>
      <c r="B13" t="s">
        <v>199</v>
      </c>
      <c r="C13" s="10">
        <v>4679</v>
      </c>
      <c r="D13" s="10">
        <v>3577</v>
      </c>
      <c r="E13" s="10">
        <v>0</v>
      </c>
      <c r="F13" t="s">
        <v>200</v>
      </c>
      <c r="G13" s="10">
        <v>4679</v>
      </c>
      <c r="H13" s="10">
        <v>3577</v>
      </c>
    </row>
    <row r="14" spans="1:8">
      <c r="A14" t="s">
        <v>112</v>
      </c>
      <c r="B14" t="s">
        <v>193</v>
      </c>
      <c r="C14" s="10">
        <v>8129</v>
      </c>
      <c r="D14" s="10">
        <v>6217</v>
      </c>
      <c r="E14" s="10">
        <v>800</v>
      </c>
      <c r="F14" t="s">
        <v>201</v>
      </c>
      <c r="G14" s="10">
        <v>8129</v>
      </c>
      <c r="H14" s="10">
        <v>7017</v>
      </c>
    </row>
    <row r="15" spans="1:8">
      <c r="A15" t="s">
        <v>112</v>
      </c>
      <c r="B15" t="s">
        <v>195</v>
      </c>
      <c r="C15" s="10">
        <v>8735</v>
      </c>
      <c r="D15" s="10">
        <v>6572</v>
      </c>
      <c r="E15" s="10">
        <v>800</v>
      </c>
      <c r="F15" t="s">
        <v>201</v>
      </c>
      <c r="G15" s="10">
        <v>8735</v>
      </c>
      <c r="H15" s="10">
        <v>7372</v>
      </c>
    </row>
    <row r="16" spans="1:8">
      <c r="A16" t="s">
        <v>112</v>
      </c>
      <c r="B16" t="s">
        <v>196</v>
      </c>
      <c r="C16" s="10">
        <v>8193</v>
      </c>
      <c r="D16" s="10">
        <v>6552</v>
      </c>
      <c r="E16" s="10">
        <v>800</v>
      </c>
      <c r="F16" t="s">
        <v>201</v>
      </c>
      <c r="G16" s="10">
        <v>8193</v>
      </c>
      <c r="H16" s="10">
        <v>7352</v>
      </c>
    </row>
    <row r="17" spans="1:8">
      <c r="A17" t="s">
        <v>112</v>
      </c>
      <c r="B17" t="s">
        <v>197</v>
      </c>
      <c r="C17" s="10">
        <v>8821</v>
      </c>
      <c r="D17" s="10">
        <v>6341</v>
      </c>
      <c r="E17" s="10">
        <v>800</v>
      </c>
      <c r="F17" t="s">
        <v>201</v>
      </c>
      <c r="G17" s="10">
        <v>8821</v>
      </c>
      <c r="H17" s="10">
        <v>7141</v>
      </c>
    </row>
    <row r="18" spans="1:8">
      <c r="A18" t="s">
        <v>112</v>
      </c>
      <c r="B18" t="s">
        <v>198</v>
      </c>
      <c r="C18" s="10">
        <v>8228</v>
      </c>
      <c r="D18" s="10">
        <v>6306</v>
      </c>
      <c r="E18" s="10">
        <v>800</v>
      </c>
      <c r="F18" t="s">
        <v>201</v>
      </c>
      <c r="G18" s="10">
        <v>8228</v>
      </c>
      <c r="H18" s="10">
        <v>7106</v>
      </c>
    </row>
    <row r="19" spans="1:8">
      <c r="A19" t="s">
        <v>112</v>
      </c>
      <c r="B19" t="s">
        <v>199</v>
      </c>
      <c r="C19" s="10">
        <v>8538</v>
      </c>
      <c r="D19" s="10">
        <v>6718</v>
      </c>
      <c r="E19" s="64">
        <f>800*3</f>
        <v>2400</v>
      </c>
      <c r="F19" t="s">
        <v>201</v>
      </c>
      <c r="G19" s="10">
        <v>8538</v>
      </c>
      <c r="H19" s="10">
        <v>7518</v>
      </c>
    </row>
    <row r="20" spans="1:8">
      <c r="A20" t="s">
        <v>116</v>
      </c>
      <c r="B20" t="s">
        <v>193</v>
      </c>
      <c r="C20" s="10">
        <v>11576</v>
      </c>
      <c r="D20" s="10">
        <v>7869</v>
      </c>
      <c r="E20" s="10">
        <v>1000</v>
      </c>
      <c r="F20" t="s">
        <v>202</v>
      </c>
      <c r="G20" s="10">
        <v>11576</v>
      </c>
      <c r="H20" s="10">
        <v>8869</v>
      </c>
    </row>
    <row r="21" spans="1:8">
      <c r="A21" t="s">
        <v>116</v>
      </c>
      <c r="B21" t="s">
        <v>195</v>
      </c>
      <c r="C21" s="10">
        <v>11966</v>
      </c>
      <c r="D21" s="10">
        <v>7642</v>
      </c>
      <c r="E21" s="10">
        <v>1000</v>
      </c>
      <c r="F21" t="s">
        <v>202</v>
      </c>
      <c r="G21" s="10">
        <v>11966</v>
      </c>
      <c r="H21" s="10">
        <v>8642</v>
      </c>
    </row>
    <row r="22" spans="1:8">
      <c r="A22" t="s">
        <v>116</v>
      </c>
      <c r="B22" t="s">
        <v>196</v>
      </c>
      <c r="C22" s="10">
        <v>11546</v>
      </c>
      <c r="D22" s="10">
        <v>7360</v>
      </c>
      <c r="E22" s="10">
        <v>1000</v>
      </c>
      <c r="F22" t="s">
        <v>202</v>
      </c>
      <c r="G22" s="10">
        <v>11546</v>
      </c>
      <c r="H22" s="10">
        <v>8360</v>
      </c>
    </row>
    <row r="23" spans="1:8">
      <c r="A23" t="s">
        <v>116</v>
      </c>
      <c r="B23" t="s">
        <v>197</v>
      </c>
      <c r="C23" s="10">
        <v>11491</v>
      </c>
      <c r="D23" s="10">
        <v>7875</v>
      </c>
      <c r="E23" s="10">
        <v>1000</v>
      </c>
      <c r="F23" t="s">
        <v>202</v>
      </c>
      <c r="G23" s="10">
        <v>11491</v>
      </c>
      <c r="H23" s="10">
        <v>8875</v>
      </c>
    </row>
    <row r="24" spans="1:8">
      <c r="A24" t="s">
        <v>116</v>
      </c>
      <c r="B24" t="s">
        <v>198</v>
      </c>
      <c r="C24" s="10">
        <v>11444</v>
      </c>
      <c r="D24" s="10">
        <v>7714</v>
      </c>
      <c r="E24" s="10">
        <v>1000</v>
      </c>
      <c r="F24" t="s">
        <v>202</v>
      </c>
      <c r="G24" s="10">
        <v>11444</v>
      </c>
      <c r="H24" s="10">
        <v>8714</v>
      </c>
    </row>
    <row r="25" spans="1:8">
      <c r="A25" t="s">
        <v>116</v>
      </c>
      <c r="B25" t="s">
        <v>199</v>
      </c>
      <c r="C25" s="10">
        <v>12152</v>
      </c>
      <c r="D25" s="10">
        <v>7798</v>
      </c>
      <c r="E25" s="10">
        <f>1000*3</f>
        <v>3000</v>
      </c>
      <c r="F25" t="s">
        <v>202</v>
      </c>
      <c r="G25" s="10">
        <v>12152</v>
      </c>
      <c r="H25" s="10">
        <v>8798</v>
      </c>
    </row>
    <row r="26" spans="1:8">
      <c r="A26" t="s">
        <v>120</v>
      </c>
      <c r="B26" t="s">
        <v>193</v>
      </c>
      <c r="C26" s="10">
        <v>17310</v>
      </c>
      <c r="D26" s="10">
        <v>11647</v>
      </c>
      <c r="E26" s="10">
        <v>2000</v>
      </c>
      <c r="F26" t="s">
        <v>202</v>
      </c>
      <c r="G26" s="10">
        <v>17310</v>
      </c>
      <c r="H26" s="10">
        <v>13647</v>
      </c>
    </row>
    <row r="27" spans="1:8">
      <c r="A27" t="s">
        <v>120</v>
      </c>
      <c r="B27" t="s">
        <v>195</v>
      </c>
      <c r="C27" s="10">
        <v>17804</v>
      </c>
      <c r="D27" s="10">
        <v>10545</v>
      </c>
      <c r="E27" s="10">
        <v>2000</v>
      </c>
      <c r="F27" t="s">
        <v>202</v>
      </c>
      <c r="G27" s="10">
        <v>17804</v>
      </c>
      <c r="H27" s="10">
        <v>12545</v>
      </c>
    </row>
    <row r="28" spans="1:8">
      <c r="A28" t="s">
        <v>120</v>
      </c>
      <c r="B28" t="s">
        <v>196</v>
      </c>
      <c r="C28" s="10">
        <v>17418</v>
      </c>
      <c r="D28" s="10">
        <v>11604</v>
      </c>
      <c r="E28" s="10">
        <v>2000</v>
      </c>
      <c r="F28" t="s">
        <v>202</v>
      </c>
      <c r="G28" s="10">
        <v>17418</v>
      </c>
      <c r="H28" s="10">
        <v>13604</v>
      </c>
    </row>
    <row r="29" spans="1:8">
      <c r="A29" t="s">
        <v>120</v>
      </c>
      <c r="B29" t="s">
        <v>197</v>
      </c>
      <c r="C29" s="10">
        <v>17970</v>
      </c>
      <c r="D29" s="10">
        <v>11499</v>
      </c>
      <c r="E29" s="10">
        <v>2000</v>
      </c>
      <c r="F29" t="s">
        <v>202</v>
      </c>
      <c r="G29" s="10">
        <v>17970</v>
      </c>
      <c r="H29" s="10">
        <v>13499</v>
      </c>
    </row>
    <row r="30" spans="1:8">
      <c r="A30" t="s">
        <v>120</v>
      </c>
      <c r="B30" t="s">
        <v>198</v>
      </c>
      <c r="C30" s="10">
        <v>17444</v>
      </c>
      <c r="D30" s="10">
        <v>11432</v>
      </c>
      <c r="E30" s="10">
        <v>2000</v>
      </c>
      <c r="F30" t="s">
        <v>202</v>
      </c>
      <c r="G30" s="10">
        <v>17444</v>
      </c>
      <c r="H30" s="10">
        <v>13432</v>
      </c>
    </row>
    <row r="31" spans="1:8">
      <c r="A31" t="s">
        <v>120</v>
      </c>
      <c r="B31" t="s">
        <v>199</v>
      </c>
      <c r="C31" s="10">
        <v>18803</v>
      </c>
      <c r="D31" s="10">
        <v>10031</v>
      </c>
      <c r="E31" s="10">
        <f>2000*2</f>
        <v>4000</v>
      </c>
      <c r="F31" t="s">
        <v>202</v>
      </c>
      <c r="G31" s="10">
        <v>18803</v>
      </c>
      <c r="H31" s="10">
        <v>12031</v>
      </c>
    </row>
    <row r="32" spans="1:8">
      <c r="A32" t="s">
        <v>124</v>
      </c>
      <c r="B32" t="s">
        <v>193</v>
      </c>
      <c r="C32" s="10">
        <v>22639</v>
      </c>
      <c r="D32" s="10">
        <v>12378</v>
      </c>
      <c r="E32" s="10">
        <v>1500</v>
      </c>
      <c r="F32" t="s">
        <v>202</v>
      </c>
      <c r="G32" s="10">
        <v>22639</v>
      </c>
      <c r="H32" s="10">
        <v>13878</v>
      </c>
    </row>
    <row r="33" spans="1:8">
      <c r="A33" t="s">
        <v>124</v>
      </c>
      <c r="B33" t="s">
        <v>195</v>
      </c>
      <c r="C33" s="10">
        <v>21383</v>
      </c>
      <c r="D33" s="10">
        <v>12347</v>
      </c>
      <c r="E33" s="10">
        <v>1500</v>
      </c>
      <c r="F33" t="s">
        <v>202</v>
      </c>
      <c r="G33" s="10">
        <v>21383</v>
      </c>
      <c r="H33" s="10">
        <v>13847</v>
      </c>
    </row>
    <row r="34" spans="1:8">
      <c r="A34" t="s">
        <v>124</v>
      </c>
      <c r="B34" t="s">
        <v>196</v>
      </c>
      <c r="C34" s="10">
        <v>22981</v>
      </c>
      <c r="D34" s="10">
        <v>13512</v>
      </c>
      <c r="E34" s="10">
        <v>1500</v>
      </c>
      <c r="F34" t="s">
        <v>202</v>
      </c>
      <c r="G34" s="10">
        <v>22981</v>
      </c>
      <c r="H34" s="10">
        <v>15012</v>
      </c>
    </row>
    <row r="35" spans="1:8">
      <c r="A35" t="s">
        <v>124</v>
      </c>
      <c r="B35" t="s">
        <v>197</v>
      </c>
      <c r="C35" s="10">
        <v>21199</v>
      </c>
      <c r="D35" s="10">
        <v>13995</v>
      </c>
      <c r="E35" s="10">
        <v>1500</v>
      </c>
      <c r="F35" t="s">
        <v>202</v>
      </c>
      <c r="G35" s="10">
        <v>21199</v>
      </c>
      <c r="H35" s="10">
        <v>15495</v>
      </c>
    </row>
    <row r="36" spans="1:8">
      <c r="A36" t="s">
        <v>124</v>
      </c>
      <c r="B36" t="s">
        <v>198</v>
      </c>
      <c r="C36" s="10">
        <v>22559</v>
      </c>
      <c r="D36" s="10">
        <v>13438</v>
      </c>
      <c r="E36" s="10">
        <v>1500</v>
      </c>
      <c r="F36" t="s">
        <v>202</v>
      </c>
      <c r="G36" s="10">
        <v>22559</v>
      </c>
      <c r="H36" s="10">
        <v>14938</v>
      </c>
    </row>
    <row r="37" spans="1:8">
      <c r="A37" t="s">
        <v>124</v>
      </c>
      <c r="B37" t="s">
        <v>199</v>
      </c>
      <c r="C37" s="10">
        <v>21419</v>
      </c>
      <c r="D37" s="10">
        <v>12674</v>
      </c>
      <c r="E37" s="10">
        <f>1500*3</f>
        <v>4500</v>
      </c>
      <c r="F37" t="s">
        <v>202</v>
      </c>
      <c r="G37" s="10">
        <v>21419</v>
      </c>
      <c r="H37" s="10">
        <v>14174</v>
      </c>
    </row>
    <row r="38" spans="1:8">
      <c r="A38" t="s">
        <v>128</v>
      </c>
      <c r="B38" t="s">
        <v>193</v>
      </c>
      <c r="C38" s="10">
        <v>15348</v>
      </c>
      <c r="D38" s="10">
        <v>9158</v>
      </c>
      <c r="E38" s="10">
        <v>1500</v>
      </c>
      <c r="F38" t="s">
        <v>201</v>
      </c>
      <c r="G38" s="10">
        <v>15348</v>
      </c>
      <c r="H38" s="10">
        <v>9658</v>
      </c>
    </row>
    <row r="39" spans="1:8">
      <c r="A39" t="s">
        <v>128</v>
      </c>
      <c r="B39" t="s">
        <v>195</v>
      </c>
      <c r="C39" s="10">
        <v>14511</v>
      </c>
      <c r="D39" s="10">
        <v>10304</v>
      </c>
      <c r="E39" s="10">
        <v>1500</v>
      </c>
      <c r="F39" t="s">
        <v>201</v>
      </c>
      <c r="G39" s="10">
        <v>14511</v>
      </c>
      <c r="H39" s="10">
        <v>10804</v>
      </c>
    </row>
    <row r="40" spans="1:8">
      <c r="A40" t="s">
        <v>128</v>
      </c>
      <c r="B40" t="s">
        <v>196</v>
      </c>
      <c r="C40" s="10">
        <v>14483</v>
      </c>
      <c r="D40" s="10">
        <v>9959</v>
      </c>
      <c r="E40" s="10">
        <v>1500</v>
      </c>
      <c r="F40" t="s">
        <v>201</v>
      </c>
      <c r="G40" s="10">
        <v>14483</v>
      </c>
      <c r="H40" s="10">
        <v>10459</v>
      </c>
    </row>
    <row r="41" spans="1:8">
      <c r="A41" t="s">
        <v>128</v>
      </c>
      <c r="B41" t="s">
        <v>197</v>
      </c>
      <c r="C41" s="10">
        <v>14530</v>
      </c>
      <c r="D41" s="10">
        <v>9591</v>
      </c>
      <c r="E41" s="10">
        <v>1500</v>
      </c>
      <c r="F41" t="s">
        <v>201</v>
      </c>
      <c r="G41" s="10">
        <v>14530</v>
      </c>
      <c r="H41" s="10">
        <v>10091</v>
      </c>
    </row>
    <row r="42" spans="1:8">
      <c r="A42" t="s">
        <v>128</v>
      </c>
      <c r="B42" t="s">
        <v>198</v>
      </c>
      <c r="C42" s="10">
        <v>14355</v>
      </c>
      <c r="D42" s="10">
        <v>9553</v>
      </c>
      <c r="E42" s="10">
        <v>1500</v>
      </c>
      <c r="F42" t="s">
        <v>201</v>
      </c>
      <c r="G42" s="10">
        <v>14355</v>
      </c>
      <c r="H42" s="10">
        <v>10053</v>
      </c>
    </row>
    <row r="43" spans="1:8">
      <c r="A43" t="s">
        <v>128</v>
      </c>
      <c r="B43" t="s">
        <v>199</v>
      </c>
      <c r="C43" s="10">
        <v>15081</v>
      </c>
      <c r="D43" s="10">
        <v>10082</v>
      </c>
      <c r="E43" s="10">
        <v>1500</v>
      </c>
      <c r="F43" t="s">
        <v>201</v>
      </c>
      <c r="G43" s="10">
        <v>15081</v>
      </c>
      <c r="H43" s="10">
        <v>10582</v>
      </c>
    </row>
    <row r="44" spans="1:8">
      <c r="A44" t="s">
        <v>132</v>
      </c>
      <c r="B44" t="s">
        <v>193</v>
      </c>
      <c r="C44" s="10">
        <v>8295</v>
      </c>
      <c r="D44" s="10">
        <v>6422</v>
      </c>
      <c r="E44" s="10">
        <v>0</v>
      </c>
      <c r="F44" t="s">
        <v>200</v>
      </c>
      <c r="G44" s="10">
        <v>8295</v>
      </c>
      <c r="H44" s="10">
        <v>6422</v>
      </c>
    </row>
    <row r="45" spans="1:8">
      <c r="A45" t="s">
        <v>132</v>
      </c>
      <c r="B45" t="s">
        <v>195</v>
      </c>
      <c r="C45" s="10">
        <v>7899</v>
      </c>
      <c r="D45" s="10">
        <v>5993</v>
      </c>
      <c r="E45" s="10">
        <v>0</v>
      </c>
      <c r="F45" t="s">
        <v>200</v>
      </c>
      <c r="G45" s="10">
        <v>7899</v>
      </c>
      <c r="H45" s="10">
        <v>5993</v>
      </c>
    </row>
    <row r="46" spans="1:8">
      <c r="A46" t="s">
        <v>132</v>
      </c>
      <c r="B46" t="s">
        <v>196</v>
      </c>
      <c r="C46" s="10">
        <v>7671</v>
      </c>
      <c r="D46" s="10">
        <v>6227</v>
      </c>
      <c r="E46" s="10">
        <v>0</v>
      </c>
      <c r="F46" t="s">
        <v>200</v>
      </c>
      <c r="G46" s="10">
        <v>7671</v>
      </c>
      <c r="H46" s="10">
        <v>6227</v>
      </c>
    </row>
    <row r="47" spans="1:8">
      <c r="A47" t="s">
        <v>132</v>
      </c>
      <c r="B47" t="s">
        <v>197</v>
      </c>
      <c r="C47" s="10">
        <v>8041</v>
      </c>
      <c r="D47" s="10">
        <v>6044</v>
      </c>
      <c r="E47" s="10">
        <v>0</v>
      </c>
      <c r="F47" t="s">
        <v>200</v>
      </c>
      <c r="G47" s="10">
        <v>8041</v>
      </c>
      <c r="H47" s="10">
        <v>6044</v>
      </c>
    </row>
    <row r="48" spans="1:8">
      <c r="A48" t="s">
        <v>132</v>
      </c>
      <c r="B48" t="s">
        <v>198</v>
      </c>
      <c r="C48" s="10">
        <v>7843</v>
      </c>
      <c r="D48" s="10">
        <v>5847</v>
      </c>
      <c r="E48" s="10">
        <v>0</v>
      </c>
      <c r="F48" t="s">
        <v>200</v>
      </c>
      <c r="G48" s="10">
        <v>7843</v>
      </c>
      <c r="H48" s="10">
        <v>5847</v>
      </c>
    </row>
    <row r="49" spans="1:8">
      <c r="A49" t="s">
        <v>132</v>
      </c>
      <c r="B49" t="s">
        <v>199</v>
      </c>
      <c r="C49" s="10">
        <v>8259</v>
      </c>
      <c r="D49" s="10">
        <v>5524</v>
      </c>
      <c r="E49" s="10">
        <v>0</v>
      </c>
      <c r="F49" t="s">
        <v>200</v>
      </c>
      <c r="G49" s="10">
        <v>8259</v>
      </c>
      <c r="H49" s="10">
        <v>5524</v>
      </c>
    </row>
    <row r="50" spans="1:8">
      <c r="A50" t="s">
        <v>137</v>
      </c>
      <c r="B50" t="s">
        <v>193</v>
      </c>
      <c r="C50" s="10">
        <v>3209</v>
      </c>
      <c r="D50" s="10">
        <v>3038</v>
      </c>
      <c r="E50" s="10">
        <v>600</v>
      </c>
      <c r="F50" t="s">
        <v>194</v>
      </c>
      <c r="G50" s="10">
        <v>3209</v>
      </c>
      <c r="H50" s="10">
        <v>3638</v>
      </c>
    </row>
    <row r="51" spans="1:8">
      <c r="A51" t="s">
        <v>137</v>
      </c>
      <c r="B51" t="s">
        <v>195</v>
      </c>
      <c r="C51" s="10">
        <v>3304</v>
      </c>
      <c r="D51" s="10">
        <v>3084</v>
      </c>
      <c r="E51" s="10">
        <v>600</v>
      </c>
      <c r="F51" t="s">
        <v>194</v>
      </c>
      <c r="G51" s="10">
        <v>3304</v>
      </c>
      <c r="H51" s="10">
        <v>3684</v>
      </c>
    </row>
    <row r="52" spans="1:8">
      <c r="A52" t="s">
        <v>137</v>
      </c>
      <c r="B52" t="s">
        <v>196</v>
      </c>
      <c r="C52" s="10">
        <v>2598</v>
      </c>
      <c r="D52" s="10">
        <v>3314</v>
      </c>
      <c r="E52" s="10">
        <v>600</v>
      </c>
      <c r="F52" t="s">
        <v>194</v>
      </c>
      <c r="G52" s="10">
        <v>2598</v>
      </c>
      <c r="H52" s="10">
        <v>3914</v>
      </c>
    </row>
    <row r="53" spans="1:8">
      <c r="A53" t="s">
        <v>137</v>
      </c>
      <c r="B53" t="s">
        <v>197</v>
      </c>
      <c r="C53" s="10">
        <v>3803</v>
      </c>
      <c r="D53" s="10">
        <v>3050</v>
      </c>
      <c r="E53" s="10">
        <v>600</v>
      </c>
      <c r="F53" t="s">
        <v>194</v>
      </c>
      <c r="G53" s="10">
        <v>3803</v>
      </c>
      <c r="H53" s="10">
        <v>3650</v>
      </c>
    </row>
    <row r="54" spans="1:8">
      <c r="A54" t="s">
        <v>137</v>
      </c>
      <c r="B54" t="s">
        <v>198</v>
      </c>
      <c r="C54" s="10">
        <v>3249</v>
      </c>
      <c r="D54" s="10">
        <v>3478</v>
      </c>
      <c r="E54" s="10">
        <v>600</v>
      </c>
      <c r="F54" t="s">
        <v>194</v>
      </c>
      <c r="G54" s="10">
        <v>3249</v>
      </c>
      <c r="H54" s="10">
        <v>4078</v>
      </c>
    </row>
    <row r="55" spans="1:8">
      <c r="A55" t="s">
        <v>137</v>
      </c>
      <c r="B55" t="s">
        <v>199</v>
      </c>
      <c r="C55" s="10">
        <v>3135</v>
      </c>
      <c r="D55" s="10">
        <v>3493</v>
      </c>
      <c r="E55" s="10">
        <v>600</v>
      </c>
      <c r="F55" t="s">
        <v>194</v>
      </c>
      <c r="G55" s="10">
        <v>3135</v>
      </c>
      <c r="H55" s="10">
        <v>4093</v>
      </c>
    </row>
    <row r="56" spans="1:8">
      <c r="A56" t="s">
        <v>142</v>
      </c>
      <c r="B56" t="s">
        <v>193</v>
      </c>
      <c r="C56" s="10">
        <v>20826</v>
      </c>
      <c r="D56" s="10">
        <v>13167</v>
      </c>
      <c r="E56" s="10">
        <f>4000*3</f>
        <v>12000</v>
      </c>
      <c r="F56" t="s">
        <v>203</v>
      </c>
      <c r="G56" s="10">
        <v>20826</v>
      </c>
      <c r="H56" s="10">
        <v>17167</v>
      </c>
    </row>
    <row r="57" spans="1:8">
      <c r="A57" t="s">
        <v>142</v>
      </c>
      <c r="B57" t="s">
        <v>195</v>
      </c>
      <c r="C57" s="10">
        <v>20787</v>
      </c>
      <c r="D57" s="10">
        <v>13151</v>
      </c>
      <c r="E57" s="10">
        <f t="shared" ref="E57:E61" si="0">4000*3</f>
        <v>12000</v>
      </c>
      <c r="F57" t="s">
        <v>203</v>
      </c>
      <c r="G57" s="10">
        <v>20787</v>
      </c>
      <c r="H57" s="10">
        <v>17151</v>
      </c>
    </row>
    <row r="58" spans="1:8">
      <c r="A58" t="s">
        <v>142</v>
      </c>
      <c r="B58" t="s">
        <v>196</v>
      </c>
      <c r="C58" s="10">
        <v>20298</v>
      </c>
      <c r="D58" s="10">
        <v>13251</v>
      </c>
      <c r="E58" s="10">
        <f t="shared" si="0"/>
        <v>12000</v>
      </c>
      <c r="F58" t="s">
        <v>203</v>
      </c>
      <c r="G58" s="10">
        <v>20298</v>
      </c>
      <c r="H58" s="10">
        <v>17251</v>
      </c>
    </row>
    <row r="59" spans="1:8">
      <c r="A59" t="s">
        <v>142</v>
      </c>
      <c r="B59" t="s">
        <v>197</v>
      </c>
      <c r="C59" s="10">
        <v>20409</v>
      </c>
      <c r="D59" s="10">
        <v>13814</v>
      </c>
      <c r="E59" s="10">
        <f t="shared" si="0"/>
        <v>12000</v>
      </c>
      <c r="F59" t="s">
        <v>203</v>
      </c>
      <c r="G59" s="10">
        <v>20409</v>
      </c>
      <c r="H59" s="10">
        <v>17814</v>
      </c>
    </row>
    <row r="60" spans="1:8">
      <c r="A60" t="s">
        <v>142</v>
      </c>
      <c r="B60" t="s">
        <v>198</v>
      </c>
      <c r="C60" s="10">
        <v>19290</v>
      </c>
      <c r="D60" s="10">
        <v>14009</v>
      </c>
      <c r="E60" s="10">
        <f t="shared" si="0"/>
        <v>12000</v>
      </c>
      <c r="F60" t="s">
        <v>203</v>
      </c>
      <c r="G60" s="10">
        <v>19290</v>
      </c>
      <c r="H60" s="10">
        <v>18009</v>
      </c>
    </row>
    <row r="61" spans="1:8">
      <c r="A61" t="s">
        <v>142</v>
      </c>
      <c r="B61" t="s">
        <v>199</v>
      </c>
      <c r="C61" s="10">
        <v>19820</v>
      </c>
      <c r="D61" s="10">
        <v>14567</v>
      </c>
      <c r="E61" s="10">
        <f t="shared" si="0"/>
        <v>12000</v>
      </c>
      <c r="F61" t="s">
        <v>203</v>
      </c>
      <c r="G61" s="10">
        <v>19820</v>
      </c>
      <c r="H61" s="10">
        <v>18567</v>
      </c>
    </row>
    <row r="62" spans="1:8">
      <c r="A62" t="s">
        <v>146</v>
      </c>
      <c r="B62" t="s">
        <v>193</v>
      </c>
      <c r="C62" s="10">
        <v>4244</v>
      </c>
      <c r="D62" s="10">
        <v>3832</v>
      </c>
      <c r="E62" s="10">
        <f>700*3</f>
        <v>2100</v>
      </c>
      <c r="F62" t="s">
        <v>204</v>
      </c>
      <c r="G62" s="10">
        <v>4244</v>
      </c>
      <c r="H62" s="10">
        <v>4532</v>
      </c>
    </row>
    <row r="63" spans="1:8">
      <c r="A63" t="s">
        <v>146</v>
      </c>
      <c r="B63" t="s">
        <v>195</v>
      </c>
      <c r="C63" s="10">
        <v>4357</v>
      </c>
      <c r="D63" s="10">
        <v>3567</v>
      </c>
      <c r="E63" s="10">
        <f t="shared" ref="E63:E67" si="1">700*3</f>
        <v>2100</v>
      </c>
      <c r="F63" t="s">
        <v>204</v>
      </c>
      <c r="G63" s="10">
        <v>4357</v>
      </c>
      <c r="H63" s="10">
        <v>4267</v>
      </c>
    </row>
    <row r="64" spans="1:8">
      <c r="A64" t="s">
        <v>146</v>
      </c>
      <c r="B64" t="s">
        <v>196</v>
      </c>
      <c r="C64" s="10">
        <v>4140</v>
      </c>
      <c r="D64" s="10">
        <v>3835</v>
      </c>
      <c r="E64" s="10">
        <f t="shared" si="1"/>
        <v>2100</v>
      </c>
      <c r="F64" t="s">
        <v>204</v>
      </c>
      <c r="G64" s="10">
        <v>4140</v>
      </c>
      <c r="H64" s="10">
        <v>4535</v>
      </c>
    </row>
    <row r="65" spans="1:8">
      <c r="A65" t="s">
        <v>146</v>
      </c>
      <c r="B65" t="s">
        <v>197</v>
      </c>
      <c r="C65" s="10">
        <v>4347</v>
      </c>
      <c r="D65" s="10">
        <v>3728</v>
      </c>
      <c r="E65" s="10">
        <f t="shared" si="1"/>
        <v>2100</v>
      </c>
      <c r="F65" t="s">
        <v>204</v>
      </c>
      <c r="G65" s="10">
        <v>4347</v>
      </c>
      <c r="H65" s="10">
        <v>4428</v>
      </c>
    </row>
    <row r="66" spans="1:8">
      <c r="A66" t="s">
        <v>146</v>
      </c>
      <c r="B66" t="s">
        <v>198</v>
      </c>
      <c r="C66" s="10">
        <v>4319</v>
      </c>
      <c r="D66" s="10">
        <v>3850</v>
      </c>
      <c r="E66" s="10">
        <f t="shared" si="1"/>
        <v>2100</v>
      </c>
      <c r="F66" t="s">
        <v>204</v>
      </c>
      <c r="G66" s="10">
        <v>4319</v>
      </c>
      <c r="H66" s="10">
        <v>4550</v>
      </c>
    </row>
    <row r="67" spans="1:8">
      <c r="A67" t="s">
        <v>146</v>
      </c>
      <c r="B67" t="s">
        <v>199</v>
      </c>
      <c r="C67" s="10">
        <v>4327</v>
      </c>
      <c r="D67" s="10">
        <v>3908</v>
      </c>
      <c r="E67" s="10">
        <f t="shared" si="1"/>
        <v>2100</v>
      </c>
      <c r="F67" t="s">
        <v>204</v>
      </c>
      <c r="G67" s="10">
        <v>4327</v>
      </c>
      <c r="H67" s="10">
        <v>4608</v>
      </c>
    </row>
    <row r="68" spans="1:8">
      <c r="A68" t="s">
        <v>150</v>
      </c>
      <c r="B68" t="s">
        <v>193</v>
      </c>
      <c r="C68" s="10">
        <v>9418</v>
      </c>
      <c r="D68" s="10">
        <v>6745</v>
      </c>
      <c r="E68" s="10">
        <v>1200</v>
      </c>
      <c r="F68" t="s">
        <v>201</v>
      </c>
      <c r="G68" s="10">
        <v>9418</v>
      </c>
      <c r="H68" s="10">
        <v>7945</v>
      </c>
    </row>
    <row r="69" spans="1:8">
      <c r="A69" t="s">
        <v>150</v>
      </c>
      <c r="B69" t="s">
        <v>195</v>
      </c>
      <c r="C69" s="10">
        <v>9447</v>
      </c>
      <c r="D69" s="10">
        <v>7057</v>
      </c>
      <c r="E69" s="10">
        <v>1200</v>
      </c>
      <c r="F69" t="s">
        <v>201</v>
      </c>
      <c r="G69" s="10">
        <v>9447</v>
      </c>
      <c r="H69" s="10">
        <v>8257</v>
      </c>
    </row>
    <row r="70" spans="1:8">
      <c r="A70" t="s">
        <v>150</v>
      </c>
      <c r="B70" t="s">
        <v>196</v>
      </c>
      <c r="C70" s="10">
        <v>9287</v>
      </c>
      <c r="D70" s="10">
        <v>7026</v>
      </c>
      <c r="E70" s="10">
        <v>1200</v>
      </c>
      <c r="F70" t="s">
        <v>201</v>
      </c>
      <c r="G70" s="10">
        <v>9287</v>
      </c>
      <c r="H70" s="10">
        <v>8226</v>
      </c>
    </row>
    <row r="71" spans="1:8">
      <c r="A71" t="s">
        <v>150</v>
      </c>
      <c r="B71" t="s">
        <v>197</v>
      </c>
      <c r="C71" s="10">
        <v>9482</v>
      </c>
      <c r="D71" s="10">
        <v>6917</v>
      </c>
      <c r="E71" s="10">
        <v>1200</v>
      </c>
      <c r="F71" t="s">
        <v>201</v>
      </c>
      <c r="G71" s="10">
        <v>9482</v>
      </c>
      <c r="H71" s="10">
        <v>8117</v>
      </c>
    </row>
    <row r="72" spans="1:8">
      <c r="A72" t="s">
        <v>150</v>
      </c>
      <c r="B72" t="s">
        <v>198</v>
      </c>
      <c r="C72" s="10">
        <v>9713</v>
      </c>
      <c r="D72" s="10">
        <v>7411</v>
      </c>
      <c r="E72" s="10">
        <v>1200</v>
      </c>
      <c r="F72" t="s">
        <v>201</v>
      </c>
      <c r="G72" s="10">
        <v>9713</v>
      </c>
      <c r="H72" s="10">
        <v>8611</v>
      </c>
    </row>
    <row r="73" spans="1:8">
      <c r="A73" t="s">
        <v>150</v>
      </c>
      <c r="B73" t="s">
        <v>199</v>
      </c>
      <c r="C73" s="10">
        <v>9441</v>
      </c>
      <c r="D73" s="10">
        <v>7124</v>
      </c>
      <c r="E73" s="10">
        <f>1200*3</f>
        <v>3600</v>
      </c>
      <c r="F73" t="s">
        <v>201</v>
      </c>
      <c r="G73" s="10">
        <v>9441</v>
      </c>
      <c r="H73" s="10">
        <v>8324</v>
      </c>
    </row>
    <row r="74" spans="1:8">
      <c r="A74" t="s">
        <v>154</v>
      </c>
      <c r="B74" t="s">
        <v>193</v>
      </c>
      <c r="C74" s="10">
        <v>15495</v>
      </c>
      <c r="D74" s="10">
        <v>10147</v>
      </c>
      <c r="E74" s="10">
        <v>1800</v>
      </c>
      <c r="F74" t="s">
        <v>202</v>
      </c>
      <c r="G74" s="10">
        <v>15495</v>
      </c>
      <c r="H74" s="10">
        <v>11947</v>
      </c>
    </row>
    <row r="75" spans="1:8">
      <c r="A75" t="s">
        <v>154</v>
      </c>
      <c r="B75" t="s">
        <v>195</v>
      </c>
      <c r="C75" s="10">
        <v>15582</v>
      </c>
      <c r="D75" s="10">
        <v>9244</v>
      </c>
      <c r="E75" s="10">
        <v>1800</v>
      </c>
      <c r="F75" t="s">
        <v>202</v>
      </c>
      <c r="G75" s="10">
        <v>15582</v>
      </c>
      <c r="H75" s="10">
        <v>11044</v>
      </c>
    </row>
    <row r="76" spans="1:8">
      <c r="A76" t="s">
        <v>154</v>
      </c>
      <c r="B76" t="s">
        <v>196</v>
      </c>
      <c r="C76" s="10">
        <v>16263</v>
      </c>
      <c r="D76" s="10">
        <v>9082</v>
      </c>
      <c r="E76" s="10">
        <v>1800</v>
      </c>
      <c r="F76" t="s">
        <v>202</v>
      </c>
      <c r="G76" s="10">
        <v>16263</v>
      </c>
      <c r="H76" s="10">
        <v>10882</v>
      </c>
    </row>
    <row r="77" spans="1:8">
      <c r="A77" t="s">
        <v>154</v>
      </c>
      <c r="B77" t="s">
        <v>197</v>
      </c>
      <c r="C77" s="10">
        <v>16687</v>
      </c>
      <c r="D77" s="10">
        <v>9844</v>
      </c>
      <c r="E77" s="10">
        <v>1800</v>
      </c>
      <c r="F77" t="s">
        <v>202</v>
      </c>
      <c r="G77" s="10">
        <v>16687</v>
      </c>
      <c r="H77" s="10">
        <v>11644</v>
      </c>
    </row>
    <row r="78" spans="1:8">
      <c r="A78" t="s">
        <v>154</v>
      </c>
      <c r="B78" t="s">
        <v>198</v>
      </c>
      <c r="C78" s="10">
        <v>15426</v>
      </c>
      <c r="D78" s="10">
        <v>10355</v>
      </c>
      <c r="E78" s="10">
        <f>1800*3</f>
        <v>5400</v>
      </c>
      <c r="F78" t="s">
        <v>202</v>
      </c>
      <c r="G78" s="10">
        <v>15426</v>
      </c>
      <c r="H78" s="10">
        <v>12155</v>
      </c>
    </row>
    <row r="79" spans="1:8">
      <c r="A79" t="s">
        <v>154</v>
      </c>
      <c r="B79" t="s">
        <v>199</v>
      </c>
      <c r="C79" s="10">
        <v>15295</v>
      </c>
      <c r="D79" s="10">
        <v>9334</v>
      </c>
      <c r="E79" s="10">
        <v>1800</v>
      </c>
      <c r="F79" t="s">
        <v>202</v>
      </c>
      <c r="G79" s="10">
        <v>15295</v>
      </c>
      <c r="H79" s="10">
        <v>11134</v>
      </c>
    </row>
    <row r="80" spans="1:8">
      <c r="A80" t="s">
        <v>158</v>
      </c>
      <c r="B80" t="s">
        <v>193</v>
      </c>
      <c r="C80" s="10">
        <v>8066</v>
      </c>
      <c r="D80" s="10">
        <v>6381</v>
      </c>
      <c r="E80" s="10">
        <v>900</v>
      </c>
      <c r="F80" t="s">
        <v>204</v>
      </c>
      <c r="G80" s="10">
        <v>8066</v>
      </c>
      <c r="H80" s="10">
        <v>7281</v>
      </c>
    </row>
    <row r="81" spans="1:8">
      <c r="A81" t="s">
        <v>158</v>
      </c>
      <c r="B81" t="s">
        <v>195</v>
      </c>
      <c r="C81" s="10">
        <v>7509</v>
      </c>
      <c r="D81" s="10">
        <v>6160</v>
      </c>
      <c r="E81" s="10">
        <v>900</v>
      </c>
      <c r="F81" t="s">
        <v>204</v>
      </c>
      <c r="G81" s="10">
        <v>7509</v>
      </c>
      <c r="H81" s="10">
        <v>7060</v>
      </c>
    </row>
    <row r="82" spans="1:8">
      <c r="A82" t="s">
        <v>158</v>
      </c>
      <c r="B82" t="s">
        <v>196</v>
      </c>
      <c r="C82" s="10">
        <v>8028</v>
      </c>
      <c r="D82" s="10">
        <v>6434</v>
      </c>
      <c r="E82" s="10">
        <v>900</v>
      </c>
      <c r="F82" t="s">
        <v>204</v>
      </c>
      <c r="G82" s="10">
        <v>8028</v>
      </c>
      <c r="H82" s="10">
        <v>7334</v>
      </c>
    </row>
    <row r="83" spans="1:8">
      <c r="A83" t="s">
        <v>158</v>
      </c>
      <c r="B83" t="s">
        <v>197</v>
      </c>
      <c r="C83" s="10">
        <v>7557</v>
      </c>
      <c r="D83" s="10">
        <v>5830</v>
      </c>
      <c r="E83" s="10">
        <v>900</v>
      </c>
      <c r="F83" t="s">
        <v>204</v>
      </c>
      <c r="G83" s="10">
        <v>7557</v>
      </c>
      <c r="H83" s="10">
        <v>6730</v>
      </c>
    </row>
    <row r="84" spans="1:8">
      <c r="A84" t="s">
        <v>158</v>
      </c>
      <c r="B84" t="s">
        <v>198</v>
      </c>
      <c r="C84" s="10">
        <v>7469</v>
      </c>
      <c r="D84" s="10">
        <v>6288</v>
      </c>
      <c r="E84" s="10">
        <v>900</v>
      </c>
      <c r="F84" t="s">
        <v>204</v>
      </c>
      <c r="G84" s="10">
        <v>7469</v>
      </c>
      <c r="H84" s="10">
        <v>7188</v>
      </c>
    </row>
    <row r="85" spans="1:8">
      <c r="A85" t="s">
        <v>158</v>
      </c>
      <c r="B85" t="s">
        <v>199</v>
      </c>
      <c r="C85" s="10">
        <v>7472</v>
      </c>
      <c r="D85" s="10">
        <v>6391</v>
      </c>
      <c r="E85" s="10">
        <f>900*3</f>
        <v>2700</v>
      </c>
      <c r="F85" t="s">
        <v>204</v>
      </c>
      <c r="G85" s="10">
        <v>7472</v>
      </c>
      <c r="H85" s="10">
        <v>7291</v>
      </c>
    </row>
    <row r="86" spans="1:8">
      <c r="A86" t="s">
        <v>162</v>
      </c>
      <c r="B86" t="s">
        <v>193</v>
      </c>
      <c r="C86" s="10">
        <v>19380</v>
      </c>
      <c r="D86" s="10">
        <v>11794</v>
      </c>
      <c r="E86" s="10">
        <v>2200</v>
      </c>
      <c r="F86" t="s">
        <v>202</v>
      </c>
      <c r="G86" s="10">
        <v>19380</v>
      </c>
      <c r="H86" s="10">
        <v>13994</v>
      </c>
    </row>
    <row r="87" spans="1:8">
      <c r="A87" t="s">
        <v>162</v>
      </c>
      <c r="B87" t="s">
        <v>195</v>
      </c>
      <c r="C87" s="10">
        <v>18625</v>
      </c>
      <c r="D87" s="10">
        <v>11842</v>
      </c>
      <c r="E87" s="10">
        <v>2200</v>
      </c>
      <c r="F87" t="s">
        <v>202</v>
      </c>
      <c r="G87" s="10">
        <v>18625</v>
      </c>
      <c r="H87" s="10">
        <v>14042</v>
      </c>
    </row>
    <row r="88" spans="1:8">
      <c r="A88" t="s">
        <v>162</v>
      </c>
      <c r="B88" t="s">
        <v>196</v>
      </c>
      <c r="C88" s="10">
        <v>18560</v>
      </c>
      <c r="D88" s="10">
        <v>12510</v>
      </c>
      <c r="E88" s="10">
        <v>2200</v>
      </c>
      <c r="F88" t="s">
        <v>202</v>
      </c>
      <c r="G88" s="10">
        <v>18560</v>
      </c>
      <c r="H88" s="10">
        <v>14710</v>
      </c>
    </row>
    <row r="89" spans="1:8">
      <c r="A89" t="s">
        <v>162</v>
      </c>
      <c r="B89" t="s">
        <v>197</v>
      </c>
      <c r="C89" s="10">
        <v>18393</v>
      </c>
      <c r="D89" s="10">
        <v>12782</v>
      </c>
      <c r="E89" s="10">
        <v>2200</v>
      </c>
      <c r="F89" t="s">
        <v>202</v>
      </c>
      <c r="G89" s="10">
        <v>18393</v>
      </c>
      <c r="H89" s="10">
        <v>14982</v>
      </c>
    </row>
    <row r="90" spans="1:8">
      <c r="A90" t="s">
        <v>162</v>
      </c>
      <c r="B90" t="s">
        <v>198</v>
      </c>
      <c r="C90" s="10">
        <v>19052</v>
      </c>
      <c r="D90" s="10">
        <v>12900</v>
      </c>
      <c r="E90" s="10">
        <v>2200</v>
      </c>
      <c r="F90" t="s">
        <v>202</v>
      </c>
      <c r="G90" s="10">
        <v>19052</v>
      </c>
      <c r="H90" s="10">
        <v>15100</v>
      </c>
    </row>
    <row r="91" spans="1:8">
      <c r="A91" t="s">
        <v>162</v>
      </c>
      <c r="B91" t="s">
        <v>199</v>
      </c>
      <c r="C91" s="10">
        <v>18897</v>
      </c>
      <c r="D91" s="10">
        <v>12507</v>
      </c>
      <c r="E91" s="10">
        <f>2200*3</f>
        <v>6600</v>
      </c>
      <c r="F91" t="s">
        <v>202</v>
      </c>
      <c r="G91" s="10">
        <v>18897</v>
      </c>
      <c r="H91" s="10">
        <v>14707</v>
      </c>
    </row>
    <row r="92" spans="1:8">
      <c r="A92" t="s">
        <v>166</v>
      </c>
      <c r="B92" t="s">
        <v>193</v>
      </c>
      <c r="C92" s="10">
        <v>13987</v>
      </c>
      <c r="D92" s="10">
        <v>8916</v>
      </c>
      <c r="E92" s="10">
        <f>600*3</f>
        <v>1800</v>
      </c>
      <c r="F92" t="s">
        <v>201</v>
      </c>
      <c r="G92" s="10">
        <v>13987</v>
      </c>
      <c r="H92" s="10">
        <v>9516</v>
      </c>
    </row>
    <row r="93" spans="1:8">
      <c r="A93" t="s">
        <v>166</v>
      </c>
      <c r="B93" t="s">
        <v>195</v>
      </c>
      <c r="C93" s="10">
        <v>13801</v>
      </c>
      <c r="D93" s="10">
        <v>8674</v>
      </c>
      <c r="E93" s="10">
        <f t="shared" ref="E93:E97" si="2">600*3</f>
        <v>1800</v>
      </c>
      <c r="F93" t="s">
        <v>201</v>
      </c>
      <c r="G93" s="10">
        <v>13801</v>
      </c>
      <c r="H93" s="10">
        <v>9274</v>
      </c>
    </row>
    <row r="94" spans="1:8">
      <c r="A94" t="s">
        <v>166</v>
      </c>
      <c r="B94" t="s">
        <v>196</v>
      </c>
      <c r="C94" s="10">
        <v>13857</v>
      </c>
      <c r="D94" s="10">
        <v>8137</v>
      </c>
      <c r="E94" s="10">
        <f t="shared" si="2"/>
        <v>1800</v>
      </c>
      <c r="F94" t="s">
        <v>201</v>
      </c>
      <c r="G94" s="10">
        <v>13857</v>
      </c>
      <c r="H94" s="10">
        <v>8737</v>
      </c>
    </row>
    <row r="95" spans="1:8">
      <c r="A95" t="s">
        <v>166</v>
      </c>
      <c r="B95" t="s">
        <v>197</v>
      </c>
      <c r="C95" s="10">
        <v>13345</v>
      </c>
      <c r="D95" s="10">
        <v>8352</v>
      </c>
      <c r="E95" s="10">
        <f t="shared" si="2"/>
        <v>1800</v>
      </c>
      <c r="F95" t="s">
        <v>201</v>
      </c>
      <c r="G95" s="10">
        <v>13345</v>
      </c>
      <c r="H95" s="10">
        <v>8952</v>
      </c>
    </row>
    <row r="96" spans="1:8">
      <c r="A96" t="s">
        <v>166</v>
      </c>
      <c r="B96" t="s">
        <v>198</v>
      </c>
      <c r="C96" s="10">
        <v>14533</v>
      </c>
      <c r="D96" s="10">
        <v>9173</v>
      </c>
      <c r="E96" s="10">
        <f t="shared" si="2"/>
        <v>1800</v>
      </c>
      <c r="F96" t="s">
        <v>201</v>
      </c>
      <c r="G96" s="10">
        <v>14533</v>
      </c>
      <c r="H96" s="10">
        <v>9773</v>
      </c>
    </row>
    <row r="97" spans="1:8">
      <c r="A97" t="s">
        <v>166</v>
      </c>
      <c r="B97" t="s">
        <v>199</v>
      </c>
      <c r="C97" s="10">
        <v>13639</v>
      </c>
      <c r="D97" s="10">
        <v>9263</v>
      </c>
      <c r="E97" s="10">
        <f t="shared" si="2"/>
        <v>1800</v>
      </c>
      <c r="F97" t="s">
        <v>201</v>
      </c>
      <c r="G97" s="10">
        <v>13639</v>
      </c>
      <c r="H97" s="10">
        <v>9863</v>
      </c>
    </row>
    <row r="98" spans="1:8">
      <c r="A98" t="s">
        <v>170</v>
      </c>
      <c r="B98" t="s">
        <v>193</v>
      </c>
      <c r="C98" s="10">
        <v>2719</v>
      </c>
      <c r="D98" s="10">
        <v>2727</v>
      </c>
      <c r="E98" s="10">
        <v>1200</v>
      </c>
      <c r="F98" t="s">
        <v>194</v>
      </c>
      <c r="G98" s="10">
        <v>2719</v>
      </c>
      <c r="H98" s="10">
        <v>3127</v>
      </c>
    </row>
    <row r="99" spans="1:8">
      <c r="A99" t="s">
        <v>170</v>
      </c>
      <c r="B99" t="s">
        <v>195</v>
      </c>
      <c r="C99" s="10">
        <v>3201</v>
      </c>
      <c r="D99" s="10">
        <v>3004</v>
      </c>
      <c r="E99" s="10">
        <v>1200</v>
      </c>
      <c r="F99" t="s">
        <v>194</v>
      </c>
      <c r="G99" s="10">
        <v>3201</v>
      </c>
      <c r="H99" s="10">
        <v>3404</v>
      </c>
    </row>
    <row r="100" spans="1:8">
      <c r="A100" t="s">
        <v>170</v>
      </c>
      <c r="B100" t="s">
        <v>196</v>
      </c>
      <c r="C100" s="10">
        <v>3243</v>
      </c>
      <c r="D100" s="10">
        <v>3112</v>
      </c>
      <c r="E100" s="10">
        <v>1200</v>
      </c>
      <c r="F100" t="s">
        <v>194</v>
      </c>
      <c r="G100" s="10">
        <v>3243</v>
      </c>
      <c r="H100" s="10">
        <v>3512</v>
      </c>
    </row>
    <row r="101" spans="1:8">
      <c r="A101" t="s">
        <v>170</v>
      </c>
      <c r="B101" t="s">
        <v>197</v>
      </c>
      <c r="C101" s="10">
        <v>3162</v>
      </c>
      <c r="D101" s="10">
        <v>2712</v>
      </c>
      <c r="E101" s="10">
        <v>1200</v>
      </c>
      <c r="F101" t="s">
        <v>194</v>
      </c>
      <c r="G101" s="10">
        <v>3162</v>
      </c>
      <c r="H101" s="10">
        <v>3112</v>
      </c>
    </row>
    <row r="102" spans="1:8">
      <c r="A102" t="s">
        <v>170</v>
      </c>
      <c r="B102" t="s">
        <v>198</v>
      </c>
      <c r="C102" s="10">
        <v>3047</v>
      </c>
      <c r="D102" s="10">
        <v>2580</v>
      </c>
      <c r="E102" s="10">
        <v>1200</v>
      </c>
      <c r="F102" t="s">
        <v>194</v>
      </c>
      <c r="G102" s="10">
        <v>3047</v>
      </c>
      <c r="H102" s="10">
        <v>2980</v>
      </c>
    </row>
    <row r="103" spans="1:8">
      <c r="A103" t="s">
        <v>170</v>
      </c>
      <c r="B103" t="s">
        <v>199</v>
      </c>
      <c r="C103" s="10">
        <v>3325</v>
      </c>
      <c r="D103" s="10">
        <v>3020</v>
      </c>
      <c r="E103" s="10">
        <v>1200</v>
      </c>
      <c r="F103" t="s">
        <v>194</v>
      </c>
      <c r="G103" s="10">
        <v>3325</v>
      </c>
      <c r="H103" s="10">
        <v>3420</v>
      </c>
    </row>
    <row r="104" spans="1:8">
      <c r="A104" t="s">
        <v>174</v>
      </c>
      <c r="B104" t="s">
        <v>193</v>
      </c>
      <c r="C104" s="10">
        <v>10516</v>
      </c>
      <c r="D104" s="10">
        <v>8164</v>
      </c>
      <c r="E104" s="10">
        <f>1100*3</f>
        <v>3300</v>
      </c>
      <c r="F104" t="s">
        <v>201</v>
      </c>
      <c r="G104" s="10">
        <v>10516</v>
      </c>
      <c r="H104" s="10">
        <v>9264</v>
      </c>
    </row>
    <row r="105" spans="1:8">
      <c r="A105" t="s">
        <v>174</v>
      </c>
      <c r="B105" t="s">
        <v>195</v>
      </c>
      <c r="C105" s="10">
        <v>10729</v>
      </c>
      <c r="D105" s="10">
        <v>8034</v>
      </c>
      <c r="E105" s="10">
        <f t="shared" ref="E105:E109" si="3">1100*3</f>
        <v>3300</v>
      </c>
      <c r="F105" t="s">
        <v>201</v>
      </c>
      <c r="G105" s="10">
        <v>10729</v>
      </c>
      <c r="H105" s="10">
        <v>9134</v>
      </c>
    </row>
    <row r="106" spans="1:8">
      <c r="A106" t="s">
        <v>174</v>
      </c>
      <c r="B106" t="s">
        <v>196</v>
      </c>
      <c r="C106" s="10">
        <v>10887</v>
      </c>
      <c r="D106" s="10">
        <v>7829</v>
      </c>
      <c r="E106" s="10">
        <f t="shared" si="3"/>
        <v>3300</v>
      </c>
      <c r="F106" t="s">
        <v>201</v>
      </c>
      <c r="G106" s="10">
        <v>10887</v>
      </c>
      <c r="H106" s="10">
        <v>8929</v>
      </c>
    </row>
    <row r="107" spans="1:8">
      <c r="A107" t="s">
        <v>174</v>
      </c>
      <c r="B107" t="s">
        <v>197</v>
      </c>
      <c r="C107" s="10">
        <v>11498</v>
      </c>
      <c r="D107" s="10">
        <v>7785</v>
      </c>
      <c r="E107" s="10">
        <f t="shared" si="3"/>
        <v>3300</v>
      </c>
      <c r="F107" t="s">
        <v>201</v>
      </c>
      <c r="G107" s="10">
        <v>11498</v>
      </c>
      <c r="H107" s="10">
        <v>8885</v>
      </c>
    </row>
    <row r="108" spans="1:8">
      <c r="A108" t="s">
        <v>174</v>
      </c>
      <c r="B108" t="s">
        <v>198</v>
      </c>
      <c r="C108" s="10">
        <v>10827</v>
      </c>
      <c r="D108" s="10">
        <v>7605</v>
      </c>
      <c r="E108" s="10">
        <f t="shared" si="3"/>
        <v>3300</v>
      </c>
      <c r="F108" t="s">
        <v>201</v>
      </c>
      <c r="G108" s="10">
        <v>10827</v>
      </c>
      <c r="H108" s="10">
        <v>8705</v>
      </c>
    </row>
    <row r="109" spans="1:8">
      <c r="A109" t="s">
        <v>174</v>
      </c>
      <c r="B109" t="s">
        <v>199</v>
      </c>
      <c r="C109" s="10">
        <v>10832</v>
      </c>
      <c r="D109" s="10">
        <v>7951</v>
      </c>
      <c r="E109" s="10">
        <f t="shared" si="3"/>
        <v>3300</v>
      </c>
      <c r="F109" t="s">
        <v>201</v>
      </c>
      <c r="G109" s="10">
        <v>10832</v>
      </c>
      <c r="H109" s="10">
        <v>9051</v>
      </c>
    </row>
    <row r="110" spans="1:8">
      <c r="A110" t="s">
        <v>178</v>
      </c>
      <c r="B110" t="s">
        <v>193</v>
      </c>
      <c r="C110" s="10">
        <v>17197</v>
      </c>
      <c r="D110" s="10">
        <v>11030</v>
      </c>
      <c r="E110" s="10">
        <f>1600*3</f>
        <v>4800</v>
      </c>
      <c r="F110" t="s">
        <v>202</v>
      </c>
      <c r="G110" s="10">
        <v>17197</v>
      </c>
      <c r="H110" s="10">
        <v>12630</v>
      </c>
    </row>
    <row r="111" spans="1:8">
      <c r="A111" t="s">
        <v>178</v>
      </c>
      <c r="B111" t="s">
        <v>195</v>
      </c>
      <c r="C111" s="10">
        <v>17014</v>
      </c>
      <c r="D111" s="10">
        <v>11416</v>
      </c>
      <c r="E111" s="10">
        <f t="shared" ref="E111:E115" si="4">1600*3</f>
        <v>4800</v>
      </c>
      <c r="F111" t="s">
        <v>202</v>
      </c>
      <c r="G111" s="10">
        <v>17014</v>
      </c>
      <c r="H111" s="10">
        <v>13016</v>
      </c>
    </row>
    <row r="112" spans="1:8">
      <c r="A112" t="s">
        <v>178</v>
      </c>
      <c r="B112" t="s">
        <v>196</v>
      </c>
      <c r="C112" s="10">
        <v>17457</v>
      </c>
      <c r="D112" s="10">
        <v>11386</v>
      </c>
      <c r="E112" s="10">
        <f t="shared" si="4"/>
        <v>4800</v>
      </c>
      <c r="F112" t="s">
        <v>202</v>
      </c>
      <c r="G112" s="10">
        <v>17457</v>
      </c>
      <c r="H112" s="10">
        <v>12986</v>
      </c>
    </row>
    <row r="113" spans="1:8">
      <c r="A113" t="s">
        <v>178</v>
      </c>
      <c r="B113" t="s">
        <v>197</v>
      </c>
      <c r="C113" s="10">
        <v>17926</v>
      </c>
      <c r="D113" s="10">
        <v>10649</v>
      </c>
      <c r="E113" s="10">
        <f t="shared" si="4"/>
        <v>4800</v>
      </c>
      <c r="F113" t="s">
        <v>202</v>
      </c>
      <c r="G113" s="10">
        <v>17926</v>
      </c>
      <c r="H113" s="10">
        <v>12249</v>
      </c>
    </row>
    <row r="114" spans="1:8">
      <c r="A114" t="s">
        <v>178</v>
      </c>
      <c r="B114" t="s">
        <v>198</v>
      </c>
      <c r="C114" s="10">
        <v>16929</v>
      </c>
      <c r="D114" s="10">
        <v>11011</v>
      </c>
      <c r="E114" s="10">
        <f t="shared" si="4"/>
        <v>4800</v>
      </c>
      <c r="F114" t="s">
        <v>202</v>
      </c>
      <c r="G114" s="10">
        <v>16929</v>
      </c>
      <c r="H114" s="10">
        <v>12611</v>
      </c>
    </row>
    <row r="115" spans="1:8">
      <c r="A115" t="s">
        <v>178</v>
      </c>
      <c r="B115" t="s">
        <v>199</v>
      </c>
      <c r="C115" s="10">
        <v>16852</v>
      </c>
      <c r="D115" s="10">
        <v>10116</v>
      </c>
      <c r="E115" s="10">
        <f t="shared" si="4"/>
        <v>4800</v>
      </c>
      <c r="F115" t="s">
        <v>202</v>
      </c>
      <c r="G115" s="10">
        <v>16852</v>
      </c>
      <c r="H115" s="10">
        <v>11716</v>
      </c>
    </row>
    <row r="116" spans="1:8">
      <c r="A116" t="s">
        <v>182</v>
      </c>
      <c r="B116" t="s">
        <v>193</v>
      </c>
      <c r="C116" s="10">
        <v>7162</v>
      </c>
      <c r="D116" s="10">
        <v>5930</v>
      </c>
      <c r="E116" s="10">
        <v>0</v>
      </c>
      <c r="F116" t="s">
        <v>200</v>
      </c>
      <c r="G116" s="10">
        <v>7162</v>
      </c>
      <c r="H116" s="10">
        <v>5930</v>
      </c>
    </row>
    <row r="117" spans="1:8">
      <c r="A117" t="s">
        <v>182</v>
      </c>
      <c r="B117" t="s">
        <v>195</v>
      </c>
      <c r="C117" s="10">
        <v>7626</v>
      </c>
      <c r="D117" s="10">
        <v>5863</v>
      </c>
      <c r="E117" s="10">
        <v>0</v>
      </c>
      <c r="F117" t="s">
        <v>200</v>
      </c>
      <c r="G117" s="10">
        <v>7626</v>
      </c>
      <c r="H117" s="10">
        <v>5863</v>
      </c>
    </row>
    <row r="118" spans="1:8">
      <c r="A118" t="s">
        <v>182</v>
      </c>
      <c r="B118" t="s">
        <v>196</v>
      </c>
      <c r="C118" s="10">
        <v>7388</v>
      </c>
      <c r="D118" s="10">
        <v>5591</v>
      </c>
      <c r="E118" s="10">
        <v>0</v>
      </c>
      <c r="F118" t="s">
        <v>200</v>
      </c>
      <c r="G118" s="10">
        <v>7388</v>
      </c>
      <c r="H118" s="10">
        <v>5591</v>
      </c>
    </row>
    <row r="119" spans="1:8">
      <c r="A119" t="s">
        <v>182</v>
      </c>
      <c r="B119" t="s">
        <v>197</v>
      </c>
      <c r="C119" s="10">
        <v>7177</v>
      </c>
      <c r="D119" s="10">
        <v>5288</v>
      </c>
      <c r="E119" s="10">
        <v>0</v>
      </c>
      <c r="F119" t="s">
        <v>200</v>
      </c>
      <c r="G119" s="10">
        <v>7177</v>
      </c>
      <c r="H119" s="10">
        <v>5288</v>
      </c>
    </row>
    <row r="120" spans="1:8">
      <c r="A120" t="s">
        <v>182</v>
      </c>
      <c r="B120" t="s">
        <v>198</v>
      </c>
      <c r="C120" s="10">
        <v>7865</v>
      </c>
      <c r="D120" s="10">
        <v>5864</v>
      </c>
      <c r="E120" s="10">
        <v>0</v>
      </c>
      <c r="F120" t="s">
        <v>200</v>
      </c>
      <c r="G120" s="10">
        <v>7865</v>
      </c>
      <c r="H120" s="10">
        <v>5864</v>
      </c>
    </row>
    <row r="121" spans="1:8">
      <c r="A121" t="s">
        <v>182</v>
      </c>
      <c r="B121" t="s">
        <v>199</v>
      </c>
      <c r="C121" s="10">
        <v>7416</v>
      </c>
      <c r="D121" s="10">
        <v>5025</v>
      </c>
      <c r="E121" s="10">
        <v>0</v>
      </c>
      <c r="F121" t="s">
        <v>200</v>
      </c>
      <c r="G121" s="10">
        <v>7416</v>
      </c>
      <c r="H121" s="10">
        <v>5025</v>
      </c>
    </row>
  </sheetData>
  <autoFilter ref="A1:H121" xr:uid="{00000000-0001-0000-0200-000000000000}"/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F5" sqref="F5"/>
    </sheetView>
  </sheetViews>
  <sheetFormatPr defaultRowHeight="14.5"/>
  <cols>
    <col min="1" max="1" width="22" customWidth="1"/>
    <col min="2" max="2" width="10" customWidth="1"/>
    <col min="3" max="4" width="12" customWidth="1"/>
    <col min="6" max="6" width="22" customWidth="1"/>
    <col min="7" max="7" width="12" customWidth="1"/>
  </cols>
  <sheetData>
    <row r="1" spans="1:7" ht="25" customHeight="1">
      <c r="A1" s="97" t="s">
        <v>220</v>
      </c>
      <c r="B1" s="97"/>
      <c r="C1" s="97"/>
      <c r="D1" s="97"/>
      <c r="E1" s="97"/>
      <c r="F1" s="97"/>
      <c r="G1" s="97"/>
    </row>
    <row r="3" spans="1:7" ht="15.5">
      <c r="A3" s="96" t="s">
        <v>221</v>
      </c>
      <c r="B3" s="85"/>
      <c r="C3" s="85"/>
      <c r="D3" s="85"/>
      <c r="F3" s="96" t="s">
        <v>222</v>
      </c>
      <c r="G3" s="85"/>
    </row>
    <row r="4" spans="1:7">
      <c r="A4" s="15" t="s">
        <v>64</v>
      </c>
      <c r="B4" s="15" t="s">
        <v>223</v>
      </c>
      <c r="C4" s="15" t="s">
        <v>224</v>
      </c>
      <c r="D4" s="15" t="s">
        <v>225</v>
      </c>
      <c r="F4" s="6" t="s">
        <v>226</v>
      </c>
      <c r="G4">
        <v>20</v>
      </c>
    </row>
    <row r="5" spans="1:7">
      <c r="A5" t="s">
        <v>227</v>
      </c>
      <c r="B5">
        <v>4</v>
      </c>
      <c r="C5" s="13">
        <v>0.2</v>
      </c>
      <c r="D5" t="s">
        <v>228</v>
      </c>
      <c r="F5" s="6" t="s">
        <v>229</v>
      </c>
      <c r="G5" s="14">
        <v>692.5</v>
      </c>
    </row>
    <row r="6" spans="1:7">
      <c r="A6" t="s">
        <v>230</v>
      </c>
      <c r="B6">
        <v>5</v>
      </c>
      <c r="C6" s="13">
        <v>0.25</v>
      </c>
      <c r="D6" t="s">
        <v>231</v>
      </c>
      <c r="F6" s="6" t="s">
        <v>232</v>
      </c>
      <c r="G6" s="14">
        <v>680</v>
      </c>
    </row>
    <row r="7" spans="1:7">
      <c r="A7" t="s">
        <v>233</v>
      </c>
      <c r="B7">
        <v>0</v>
      </c>
      <c r="C7" s="13">
        <v>0</v>
      </c>
      <c r="D7" t="s">
        <v>234</v>
      </c>
      <c r="F7" s="6" t="s">
        <v>235</v>
      </c>
      <c r="G7" s="14">
        <v>960</v>
      </c>
    </row>
    <row r="8" spans="1:7">
      <c r="A8" t="s">
        <v>236</v>
      </c>
      <c r="B8">
        <v>6</v>
      </c>
      <c r="C8" s="13">
        <v>0.3</v>
      </c>
      <c r="D8" t="s">
        <v>237</v>
      </c>
      <c r="F8" s="6" t="s">
        <v>238</v>
      </c>
      <c r="G8" s="14">
        <v>310</v>
      </c>
    </row>
    <row r="9" spans="1:7">
      <c r="A9" t="s">
        <v>239</v>
      </c>
      <c r="B9">
        <v>1</v>
      </c>
      <c r="C9" s="13">
        <v>0.05</v>
      </c>
      <c r="D9" t="s">
        <v>240</v>
      </c>
      <c r="F9" s="6" t="s">
        <v>241</v>
      </c>
      <c r="G9" s="14">
        <v>204.34426575602359</v>
      </c>
    </row>
    <row r="10" spans="1:7">
      <c r="A10" t="s">
        <v>242</v>
      </c>
      <c r="B10">
        <v>1</v>
      </c>
      <c r="C10" s="13">
        <v>0.05</v>
      </c>
      <c r="D10" t="s">
        <v>243</v>
      </c>
    </row>
    <row r="11" spans="1:7" ht="15.5">
      <c r="A11" t="s">
        <v>244</v>
      </c>
      <c r="B11">
        <v>3</v>
      </c>
      <c r="C11" s="13">
        <v>0.15</v>
      </c>
      <c r="D11" t="s">
        <v>245</v>
      </c>
      <c r="F11" s="96" t="s">
        <v>246</v>
      </c>
      <c r="G11" s="85"/>
    </row>
    <row r="12" spans="1:7">
      <c r="A12" t="s">
        <v>247</v>
      </c>
      <c r="B12">
        <v>0</v>
      </c>
      <c r="C12" s="13">
        <v>0</v>
      </c>
      <c r="D12" t="s">
        <v>248</v>
      </c>
      <c r="F12" s="6" t="s">
        <v>249</v>
      </c>
      <c r="G12">
        <v>6</v>
      </c>
    </row>
    <row r="13" spans="1:7">
      <c r="A13" t="s">
        <v>250</v>
      </c>
      <c r="B13">
        <v>0</v>
      </c>
      <c r="C13" s="13">
        <v>0</v>
      </c>
      <c r="D13" t="s">
        <v>251</v>
      </c>
      <c r="F13" s="6" t="s">
        <v>252</v>
      </c>
      <c r="G13">
        <v>9</v>
      </c>
    </row>
    <row r="14" spans="1:7">
      <c r="A14" t="s">
        <v>253</v>
      </c>
      <c r="B14">
        <v>0</v>
      </c>
      <c r="C14" s="13">
        <v>0</v>
      </c>
      <c r="D14" t="s">
        <v>254</v>
      </c>
      <c r="F14" s="6" t="s">
        <v>255</v>
      </c>
      <c r="G14">
        <v>5</v>
      </c>
    </row>
    <row r="16" spans="1:7" ht="15.5">
      <c r="F16" s="96" t="s">
        <v>256</v>
      </c>
      <c r="G16" s="85"/>
    </row>
    <row r="17" spans="6:7">
      <c r="F17" s="6" t="s">
        <v>257</v>
      </c>
      <c r="G17" s="14">
        <v>658</v>
      </c>
    </row>
    <row r="18" spans="6:7">
      <c r="F18" s="6" t="s">
        <v>258</v>
      </c>
      <c r="G18" s="14">
        <v>727</v>
      </c>
    </row>
    <row r="19" spans="6:7">
      <c r="F19" s="6" t="s">
        <v>259</v>
      </c>
      <c r="G19">
        <v>10</v>
      </c>
    </row>
    <row r="20" spans="6:7">
      <c r="F20" s="6" t="s">
        <v>260</v>
      </c>
      <c r="G20">
        <v>10</v>
      </c>
    </row>
  </sheetData>
  <mergeCells count="5">
    <mergeCell ref="F3:G3"/>
    <mergeCell ref="F11:G11"/>
    <mergeCell ref="F16:G16"/>
    <mergeCell ref="A3:D3"/>
    <mergeCell ref="A1:G1"/>
  </mergeCells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A3" sqref="A3:F13"/>
    </sheetView>
  </sheetViews>
  <sheetFormatPr defaultRowHeight="14.5"/>
  <cols>
    <col min="1" max="1" width="8" customWidth="1"/>
    <col min="2" max="2" width="15" customWidth="1"/>
    <col min="3" max="3" width="45" customWidth="1"/>
    <col min="4" max="4" width="15" customWidth="1"/>
    <col min="5" max="6" width="12" customWidth="1"/>
  </cols>
  <sheetData>
    <row r="1" spans="1:6" ht="18.5">
      <c r="A1" s="98" t="s">
        <v>261</v>
      </c>
      <c r="B1" s="85"/>
      <c r="C1" s="85"/>
      <c r="D1" s="85"/>
      <c r="E1" s="85"/>
      <c r="F1" s="85"/>
    </row>
    <row r="3" spans="1:6">
      <c r="A3" s="11" t="s">
        <v>64</v>
      </c>
      <c r="B3" s="11" t="s">
        <v>219</v>
      </c>
      <c r="C3" s="11" t="s">
        <v>6</v>
      </c>
      <c r="D3" s="11" t="s">
        <v>5</v>
      </c>
      <c r="E3" s="11" t="s">
        <v>225</v>
      </c>
      <c r="F3" s="11" t="s">
        <v>66</v>
      </c>
    </row>
    <row r="4" spans="1:6">
      <c r="A4" s="16" t="s">
        <v>67</v>
      </c>
      <c r="B4" s="16" t="s">
        <v>68</v>
      </c>
      <c r="C4" s="17" t="s">
        <v>262</v>
      </c>
      <c r="D4" s="17" t="s">
        <v>263</v>
      </c>
      <c r="E4" s="17" t="s">
        <v>228</v>
      </c>
      <c r="F4" s="17" t="s">
        <v>69</v>
      </c>
    </row>
    <row r="5" spans="1:6">
      <c r="A5" s="18" t="s">
        <v>70</v>
      </c>
      <c r="B5" s="18" t="s">
        <v>71</v>
      </c>
      <c r="C5" s="19" t="s">
        <v>264</v>
      </c>
      <c r="D5" s="19" t="s">
        <v>265</v>
      </c>
      <c r="E5" s="19" t="s">
        <v>231</v>
      </c>
      <c r="F5" s="19" t="s">
        <v>72</v>
      </c>
    </row>
    <row r="6" spans="1:6">
      <c r="A6" s="20" t="s">
        <v>73</v>
      </c>
      <c r="B6" s="20" t="s">
        <v>74</v>
      </c>
      <c r="C6" s="21" t="s">
        <v>266</v>
      </c>
      <c r="D6" s="21" t="s">
        <v>267</v>
      </c>
      <c r="E6" s="21" t="s">
        <v>234</v>
      </c>
      <c r="F6" s="21" t="s">
        <v>72</v>
      </c>
    </row>
    <row r="7" spans="1:6">
      <c r="A7" s="22" t="s">
        <v>75</v>
      </c>
      <c r="B7" s="22" t="s">
        <v>76</v>
      </c>
      <c r="C7" s="23" t="s">
        <v>268</v>
      </c>
      <c r="D7" s="23" t="s">
        <v>269</v>
      </c>
      <c r="E7" s="23" t="s">
        <v>237</v>
      </c>
      <c r="F7" s="23" t="s">
        <v>77</v>
      </c>
    </row>
    <row r="8" spans="1:6">
      <c r="A8" s="24" t="s">
        <v>78</v>
      </c>
      <c r="B8" s="24" t="s">
        <v>79</v>
      </c>
      <c r="C8" s="25" t="s">
        <v>270</v>
      </c>
      <c r="D8" s="25" t="s">
        <v>271</v>
      </c>
      <c r="E8" s="25" t="s">
        <v>240</v>
      </c>
      <c r="F8" s="25" t="s">
        <v>77</v>
      </c>
    </row>
    <row r="9" spans="1:6">
      <c r="A9" s="26" t="s">
        <v>80</v>
      </c>
      <c r="B9" s="26" t="s">
        <v>81</v>
      </c>
      <c r="C9" s="27" t="s">
        <v>272</v>
      </c>
      <c r="D9" s="27" t="s">
        <v>273</v>
      </c>
      <c r="E9" s="27" t="s">
        <v>243</v>
      </c>
      <c r="F9" s="27" t="s">
        <v>82</v>
      </c>
    </row>
    <row r="10" spans="1:6" ht="29">
      <c r="A10" s="28" t="s">
        <v>83</v>
      </c>
      <c r="B10" s="28" t="s">
        <v>84</v>
      </c>
      <c r="C10" s="29" t="s">
        <v>274</v>
      </c>
      <c r="D10" s="29" t="s">
        <v>275</v>
      </c>
      <c r="E10" s="29" t="s">
        <v>245</v>
      </c>
      <c r="F10" s="29" t="s">
        <v>85</v>
      </c>
    </row>
    <row r="11" spans="1:6">
      <c r="A11" s="30" t="s">
        <v>86</v>
      </c>
      <c r="B11" s="30" t="s">
        <v>87</v>
      </c>
      <c r="C11" s="31" t="s">
        <v>276</v>
      </c>
      <c r="D11" s="31" t="s">
        <v>277</v>
      </c>
      <c r="E11" s="31" t="s">
        <v>248</v>
      </c>
      <c r="F11" s="31" t="s">
        <v>88</v>
      </c>
    </row>
    <row r="12" spans="1:6" ht="29">
      <c r="A12" s="32" t="s">
        <v>89</v>
      </c>
      <c r="B12" s="32" t="s">
        <v>90</v>
      </c>
      <c r="C12" s="33" t="s">
        <v>278</v>
      </c>
      <c r="D12" s="33" t="s">
        <v>279</v>
      </c>
      <c r="E12" s="33" t="s">
        <v>251</v>
      </c>
      <c r="F12" s="33" t="s">
        <v>91</v>
      </c>
    </row>
    <row r="13" spans="1:6">
      <c r="A13" s="34" t="s">
        <v>92</v>
      </c>
      <c r="B13" s="34" t="s">
        <v>93</v>
      </c>
      <c r="C13" s="35" t="s">
        <v>280</v>
      </c>
      <c r="D13" s="35" t="s">
        <v>281</v>
      </c>
      <c r="E13" s="35" t="s">
        <v>254</v>
      </c>
      <c r="F13" s="35" t="s">
        <v>91</v>
      </c>
    </row>
  </sheetData>
  <mergeCells count="1">
    <mergeCell ref="A1:F1"/>
  </mergeCells>
  <pageMargins left="0.75" right="0.75" top="1" bottom="1" header="0.5" footer="0.5"/>
  <pageSetup paperSize="9" orientation="portrait" r:id="rId1"/>
  <headerFooter differentFirst="1">
    <oddHeader>&amp;LClassification: &amp;"Microsoft Sans Serif,Bold Italic"Internal</oddHeader>
    <firstHeader>&amp;LClassification: &amp;"Microsoft Sans Serif,Bold Italic"Internal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abea71cd-8799-4b8e-8aca-13822e058c1f</TitusGUID>
  <TitusMetadata xmlns="">eyJucyI6Imh0dHA6XC9cL3d3dy50aXR1cy5jb21cL25zXC9lbXQiLCJwcm9wcyI6W3sibiI6IkNsYXNzaWZpY2F0aW9uU2NoZW1hIiwidmFscyI6W3sidmFsdWUiOiJJTlRFUk5BTCJ9XX1dfQ==</TitusMetadata>
</titus>
</file>

<file path=customXml/itemProps1.xml><?xml version="1.0" encoding="utf-8"?>
<ds:datastoreItem xmlns:ds="http://schemas.openxmlformats.org/officeDocument/2006/customXml" ds:itemID="{40BEC5B0-86A1-4D96-B54C-2C40AD580314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Configuration</vt:lpstr>
      <vt:lpstr>Formulas</vt:lpstr>
      <vt:lpstr>TestData(B2C)</vt:lpstr>
      <vt:lpstr>CreditScoreCalc</vt:lpstr>
      <vt:lpstr>TestSample</vt:lpstr>
      <vt:lpstr>SummaryDashboard</vt:lpstr>
      <vt:lpstr>CreditClassReference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Bawazir</cp:lastModifiedBy>
  <dcterms:created xsi:type="dcterms:W3CDTF">2026-02-11T11:20:08Z</dcterms:created>
  <dcterms:modified xsi:type="dcterms:W3CDTF">2026-03-09T11:45:34Z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abea71cd-8799-4b8e-8aca-13822e058c1f</vt:lpwstr>
  </property>
  <property fmtid="{D5CDD505-2E9C-101B-9397-08002B2CF9AE}" pid="3" name="ClassificationSchema">
    <vt:lpwstr>INTERNAL</vt:lpwstr>
  </property>
</Properties>
</file>