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wazir.nt\Downloads\"/>
    </mc:Choice>
  </mc:AlternateContent>
  <xr:revisionPtr revIDLastSave="0" documentId="13_ncr:1_{DED31688-350E-41F0-B54C-A5E9B027EEBE}" xr6:coauthVersionLast="47" xr6:coauthVersionMax="47" xr10:uidLastSave="{00000000-0000-0000-0000-000000000000}"/>
  <bookViews>
    <workbookView xWindow="-4485" yWindow="-16320" windowWidth="38640" windowHeight="15720" tabRatio="500" activeTab="7" xr2:uid="{00000000-000D-0000-FFFF-FFFF00000000}"/>
  </bookViews>
  <sheets>
    <sheet name="CLT001 AAA Khalid" sheetId="1" r:id="rId1"/>
    <sheet name="CLT002 BBB Sara" sheetId="2" r:id="rId2"/>
    <sheet name="CLT003 B Mohammed" sheetId="3" r:id="rId3"/>
    <sheet name="CLT004 CCC Amal" sheetId="4" r:id="rId4"/>
    <sheet name="CLT005 AAA Faisal" sheetId="5" r:id="rId5"/>
    <sheet name="CLT006 AA Reem" sheetId="6" r:id="rId6"/>
    <sheet name="CLT007 A Abdullah" sheetId="7" r:id="rId7"/>
    <sheet name="CLT008 BB Nora" sheetId="8" r:id="rId8"/>
    <sheet name="CLT009 CC Turki" sheetId="9" r:id="rId9"/>
    <sheet name="CLT010 C Latifa" sheetId="10" r:id="rId10"/>
    <sheet name="CLT011 D Hamad" sheetId="11" r:id="rId11"/>
  </sheets>
  <definedNames>
    <definedName name="_xlnm._FilterDatabase" localSheetId="7" hidden="1">'CLT008 BB Nora'!$A$1:$Q$124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0" i="8" l="1"/>
  <c r="T16" i="8" a="1"/>
  <c r="T16" i="8" s="1"/>
  <c r="T9" i="1" a="1"/>
  <c r="T9" i="1" s="1"/>
  <c r="W9" i="1" s="1"/>
  <c r="T63" i="11"/>
  <c r="V63" i="11" s="1"/>
  <c r="V62" i="11"/>
  <c r="V60" i="11"/>
  <c r="V57" i="11"/>
  <c r="T45" i="11"/>
  <c r="U45" i="11" s="1"/>
  <c r="T41" i="11"/>
  <c r="U41" i="11" s="1"/>
  <c r="T31" i="11"/>
  <c r="V14" i="11"/>
  <c r="U14" i="11"/>
  <c r="T32" i="11" s="1"/>
  <c r="T43" i="11" s="1"/>
  <c r="U43" i="11" s="1"/>
  <c r="T14" i="11"/>
  <c r="W14" i="11" s="1"/>
  <c r="V13" i="11"/>
  <c r="U13" i="11"/>
  <c r="T13" i="11"/>
  <c r="T24" i="11" s="1"/>
  <c r="V12" i="11"/>
  <c r="U12" i="11"/>
  <c r="W12" i="11" s="1"/>
  <c r="T12" i="11"/>
  <c r="V11" i="11"/>
  <c r="U11" i="11"/>
  <c r="T11" i="11"/>
  <c r="W11" i="11" s="1"/>
  <c r="V10" i="11"/>
  <c r="U10" i="11"/>
  <c r="T10" i="11"/>
  <c r="W10" i="11" s="1"/>
  <c r="V9" i="11"/>
  <c r="V24" i="11" s="1"/>
  <c r="T34" i="11" s="1"/>
  <c r="U9" i="11"/>
  <c r="U24" i="11" s="1"/>
  <c r="T9" i="11"/>
  <c r="W9" i="11" s="1"/>
  <c r="T63" i="10"/>
  <c r="V63" i="10" s="1"/>
  <c r="V62" i="10"/>
  <c r="V60" i="10"/>
  <c r="V57" i="10"/>
  <c r="U41" i="10"/>
  <c r="T41" i="10"/>
  <c r="T24" i="10"/>
  <c r="V17" i="10"/>
  <c r="U17" i="10"/>
  <c r="T32" i="10" s="1"/>
  <c r="T43" i="10" s="1"/>
  <c r="U43" i="10" s="1"/>
  <c r="T17" i="10"/>
  <c r="W17" i="10" s="1"/>
  <c r="V16" i="10"/>
  <c r="U16" i="10"/>
  <c r="T16" i="10"/>
  <c r="W16" i="10" s="1"/>
  <c r="V15" i="10"/>
  <c r="U15" i="10"/>
  <c r="T15" i="10"/>
  <c r="W15" i="10" s="1"/>
  <c r="V14" i="10"/>
  <c r="U14" i="10"/>
  <c r="T14" i="10"/>
  <c r="W14" i="10" s="1"/>
  <c r="V13" i="10"/>
  <c r="U13" i="10"/>
  <c r="T13" i="10"/>
  <c r="W13" i="10" s="1"/>
  <c r="V12" i="10"/>
  <c r="U12" i="10"/>
  <c r="T12" i="10"/>
  <c r="W12" i="10" s="1"/>
  <c r="V11" i="10"/>
  <c r="U11" i="10"/>
  <c r="T11" i="10"/>
  <c r="W11" i="10" s="1"/>
  <c r="V10" i="10"/>
  <c r="U10" i="10"/>
  <c r="U24" i="10" s="1"/>
  <c r="T10" i="10"/>
  <c r="V9" i="10"/>
  <c r="V24" i="10" s="1"/>
  <c r="T34" i="10" s="1"/>
  <c r="U9" i="10"/>
  <c r="T9" i="10"/>
  <c r="T28" i="10" s="1"/>
  <c r="T29" i="10" s="1"/>
  <c r="T63" i="9"/>
  <c r="V63" i="9" s="1"/>
  <c r="V62" i="9"/>
  <c r="V60" i="9"/>
  <c r="V57" i="9"/>
  <c r="U41" i="9"/>
  <c r="T41" i="9"/>
  <c r="T31" i="9"/>
  <c r="T45" i="9" s="1"/>
  <c r="U45" i="9" s="1"/>
  <c r="V17" i="9"/>
  <c r="U17" i="9"/>
  <c r="T32" i="9" s="1"/>
  <c r="T43" i="9" s="1"/>
  <c r="U43" i="9" s="1"/>
  <c r="T17" i="9"/>
  <c r="W17" i="9" s="1"/>
  <c r="V16" i="9"/>
  <c r="U16" i="9"/>
  <c r="T16" i="9"/>
  <c r="W16" i="9" s="1"/>
  <c r="V15" i="9"/>
  <c r="U15" i="9"/>
  <c r="T15" i="9"/>
  <c r="W15" i="9" s="1"/>
  <c r="V14" i="9"/>
  <c r="U14" i="9"/>
  <c r="W14" i="9" s="1"/>
  <c r="T14" i="9"/>
  <c r="V13" i="9"/>
  <c r="U13" i="9"/>
  <c r="T13" i="9"/>
  <c r="W13" i="9" s="1"/>
  <c r="V12" i="9"/>
  <c r="W12" i="9" s="1"/>
  <c r="U12" i="9"/>
  <c r="T12" i="9"/>
  <c r="V11" i="9"/>
  <c r="U11" i="9"/>
  <c r="T11" i="9"/>
  <c r="W11" i="9" s="1"/>
  <c r="V10" i="9"/>
  <c r="U10" i="9"/>
  <c r="T10" i="9"/>
  <c r="W10" i="9" s="1"/>
  <c r="V9" i="9"/>
  <c r="V24" i="9" s="1"/>
  <c r="T34" i="9" s="1"/>
  <c r="U9" i="9"/>
  <c r="U24" i="9" s="1"/>
  <c r="T9" i="9"/>
  <c r="W9" i="9" s="1"/>
  <c r="T63" i="8"/>
  <c r="V63" i="8" s="1"/>
  <c r="V62" i="8"/>
  <c r="V60" i="8"/>
  <c r="V57" i="8"/>
  <c r="T41" i="8"/>
  <c r="U41" i="8" s="1"/>
  <c r="V17" i="8"/>
  <c r="U17" i="8"/>
  <c r="T32" i="8" s="1"/>
  <c r="T43" i="8" s="1"/>
  <c r="U43" i="8" s="1"/>
  <c r="T17" i="8"/>
  <c r="T31" i="8" s="1"/>
  <c r="T45" i="8" s="1"/>
  <c r="U45" i="8" s="1"/>
  <c r="V16" i="8"/>
  <c r="U16" i="8"/>
  <c r="V15" i="8"/>
  <c r="U15" i="8"/>
  <c r="T15" i="8"/>
  <c r="V14" i="8"/>
  <c r="U14" i="8"/>
  <c r="T14" i="8"/>
  <c r="V13" i="8"/>
  <c r="U13" i="8"/>
  <c r="T13" i="8"/>
  <c r="V12" i="8"/>
  <c r="U12" i="8"/>
  <c r="T12" i="8"/>
  <c r="V11" i="8"/>
  <c r="U11" i="8"/>
  <c r="T11" i="8"/>
  <c r="V10" i="8"/>
  <c r="U10" i="8"/>
  <c r="T10" i="8"/>
  <c r="V9" i="8"/>
  <c r="U9" i="8"/>
  <c r="T9" i="8"/>
  <c r="T63" i="7"/>
  <c r="V63" i="7" s="1"/>
  <c r="V62" i="7"/>
  <c r="V60" i="7"/>
  <c r="V57" i="7"/>
  <c r="T41" i="7"/>
  <c r="U41" i="7" s="1"/>
  <c r="T31" i="7"/>
  <c r="T45" i="7" s="1"/>
  <c r="U45" i="7" s="1"/>
  <c r="V20" i="7"/>
  <c r="U20" i="7"/>
  <c r="T32" i="7" s="1"/>
  <c r="T43" i="7" s="1"/>
  <c r="U43" i="7" s="1"/>
  <c r="T20" i="7"/>
  <c r="W20" i="7" s="1"/>
  <c r="W19" i="7"/>
  <c r="V19" i="7"/>
  <c r="U19" i="7"/>
  <c r="T19" i="7"/>
  <c r="V18" i="7"/>
  <c r="U18" i="7"/>
  <c r="T18" i="7"/>
  <c r="V17" i="7"/>
  <c r="U17" i="7"/>
  <c r="T17" i="7"/>
  <c r="W17" i="7" s="1"/>
  <c r="V16" i="7"/>
  <c r="U16" i="7"/>
  <c r="T16" i="7"/>
  <c r="W16" i="7" s="1"/>
  <c r="V15" i="7"/>
  <c r="U15" i="7"/>
  <c r="T15" i="7"/>
  <c r="W15" i="7" s="1"/>
  <c r="V14" i="7"/>
  <c r="U14" i="7"/>
  <c r="T14" i="7"/>
  <c r="W14" i="7" s="1"/>
  <c r="W13" i="7"/>
  <c r="V13" i="7"/>
  <c r="U13" i="7"/>
  <c r="T13" i="7"/>
  <c r="V12" i="7"/>
  <c r="W12" i="7" s="1"/>
  <c r="U12" i="7"/>
  <c r="T12" i="7"/>
  <c r="V11" i="7"/>
  <c r="U11" i="7"/>
  <c r="T11" i="7"/>
  <c r="W11" i="7" s="1"/>
  <c r="V10" i="7"/>
  <c r="U10" i="7"/>
  <c r="T10" i="7"/>
  <c r="W10" i="7" s="1"/>
  <c r="V9" i="7"/>
  <c r="V24" i="7" s="1"/>
  <c r="T34" i="7" s="1"/>
  <c r="U9" i="7"/>
  <c r="U24" i="7" s="1"/>
  <c r="T9" i="7"/>
  <c r="W9" i="7" s="1"/>
  <c r="T63" i="6"/>
  <c r="V63" i="6" s="1"/>
  <c r="V62" i="6"/>
  <c r="V60" i="6"/>
  <c r="V57" i="6"/>
  <c r="U41" i="6"/>
  <c r="T41" i="6"/>
  <c r="T32" i="6"/>
  <c r="T43" i="6" s="1"/>
  <c r="U43" i="6" s="1"/>
  <c r="T31" i="6"/>
  <c r="T45" i="6" s="1"/>
  <c r="U45" i="6" s="1"/>
  <c r="V20" i="6"/>
  <c r="U20" i="6"/>
  <c r="W20" i="6" s="1"/>
  <c r="T20" i="6"/>
  <c r="V19" i="6"/>
  <c r="U19" i="6"/>
  <c r="W19" i="6" s="1"/>
  <c r="T19" i="6"/>
  <c r="V18" i="6"/>
  <c r="U18" i="6"/>
  <c r="T18" i="6"/>
  <c r="W18" i="6" s="1"/>
  <c r="V17" i="6"/>
  <c r="U17" i="6"/>
  <c r="T17" i="6"/>
  <c r="W17" i="6" s="1"/>
  <c r="V16" i="6"/>
  <c r="U16" i="6"/>
  <c r="T16" i="6"/>
  <c r="W16" i="6" s="1"/>
  <c r="V15" i="6"/>
  <c r="W15" i="6" s="1"/>
  <c r="U15" i="6"/>
  <c r="T15" i="6"/>
  <c r="V14" i="6"/>
  <c r="U14" i="6"/>
  <c r="T14" i="6"/>
  <c r="W14" i="6" s="1"/>
  <c r="W13" i="6"/>
  <c r="V13" i="6"/>
  <c r="U13" i="6"/>
  <c r="T13" i="6"/>
  <c r="V12" i="6"/>
  <c r="U12" i="6"/>
  <c r="T12" i="6"/>
  <c r="W12" i="6" s="1"/>
  <c r="V11" i="6"/>
  <c r="U11" i="6"/>
  <c r="T11" i="6"/>
  <c r="W11" i="6" s="1"/>
  <c r="V10" i="6"/>
  <c r="U10" i="6"/>
  <c r="T10" i="6"/>
  <c r="T28" i="6" s="1"/>
  <c r="T29" i="6" s="1"/>
  <c r="V9" i="6"/>
  <c r="V24" i="6" s="1"/>
  <c r="T34" i="6" s="1"/>
  <c r="U9" i="6"/>
  <c r="U24" i="6" s="1"/>
  <c r="T9" i="6"/>
  <c r="T63" i="5"/>
  <c r="V63" i="5" s="1"/>
  <c r="V62" i="5"/>
  <c r="V60" i="5"/>
  <c r="V57" i="5"/>
  <c r="U41" i="5"/>
  <c r="T41" i="5"/>
  <c r="W23" i="5"/>
  <c r="V23" i="5"/>
  <c r="U23" i="5"/>
  <c r="T32" i="5" s="1"/>
  <c r="T43" i="5" s="1"/>
  <c r="U43" i="5" s="1"/>
  <c r="T23" i="5"/>
  <c r="T31" i="5" s="1"/>
  <c r="T45" i="5" s="1"/>
  <c r="U45" i="5" s="1"/>
  <c r="V22" i="5"/>
  <c r="U22" i="5"/>
  <c r="T22" i="5"/>
  <c r="W22" i="5" s="1"/>
  <c r="V21" i="5"/>
  <c r="U21" i="5"/>
  <c r="T21" i="5"/>
  <c r="W21" i="5" s="1"/>
  <c r="V20" i="5"/>
  <c r="U20" i="5"/>
  <c r="T20" i="5"/>
  <c r="W20" i="5" s="1"/>
  <c r="V19" i="5"/>
  <c r="U19" i="5"/>
  <c r="T19" i="5"/>
  <c r="W19" i="5" s="1"/>
  <c r="V18" i="5"/>
  <c r="U18" i="5"/>
  <c r="T18" i="5"/>
  <c r="W18" i="5" s="1"/>
  <c r="V17" i="5"/>
  <c r="U17" i="5"/>
  <c r="T17" i="5"/>
  <c r="W17" i="5" s="1"/>
  <c r="W16" i="5"/>
  <c r="V16" i="5"/>
  <c r="U16" i="5"/>
  <c r="T16" i="5"/>
  <c r="V15" i="5"/>
  <c r="U15" i="5"/>
  <c r="T15" i="5"/>
  <c r="W15" i="5" s="1"/>
  <c r="V14" i="5"/>
  <c r="U14" i="5"/>
  <c r="T14" i="5"/>
  <c r="W14" i="5" s="1"/>
  <c r="V13" i="5"/>
  <c r="U13" i="5"/>
  <c r="T13" i="5"/>
  <c r="W13" i="5" s="1"/>
  <c r="W12" i="5"/>
  <c r="V12" i="5"/>
  <c r="U12" i="5"/>
  <c r="T12" i="5"/>
  <c r="V11" i="5"/>
  <c r="U11" i="5"/>
  <c r="W11" i="5" s="1"/>
  <c r="T11" i="5"/>
  <c r="V10" i="5"/>
  <c r="U10" i="5"/>
  <c r="T10" i="5"/>
  <c r="W10" i="5" s="1"/>
  <c r="V9" i="5"/>
  <c r="V24" i="5" s="1"/>
  <c r="T34" i="5" s="1"/>
  <c r="U9" i="5"/>
  <c r="U24" i="5" s="1"/>
  <c r="T9" i="5"/>
  <c r="W9" i="5" s="1"/>
  <c r="T63" i="4"/>
  <c r="V63" i="4" s="1"/>
  <c r="V62" i="4"/>
  <c r="V60" i="4"/>
  <c r="V57" i="4"/>
  <c r="T41" i="4"/>
  <c r="U41" i="4" s="1"/>
  <c r="T32" i="4"/>
  <c r="T43" i="4" s="1"/>
  <c r="U43" i="4" s="1"/>
  <c r="V14" i="4"/>
  <c r="U14" i="4"/>
  <c r="T14" i="4"/>
  <c r="T31" i="4" s="1"/>
  <c r="T45" i="4" s="1"/>
  <c r="U45" i="4" s="1"/>
  <c r="W13" i="4"/>
  <c r="V13" i="4"/>
  <c r="U13" i="4"/>
  <c r="T13" i="4"/>
  <c r="T24" i="4" s="1"/>
  <c r="V12" i="4"/>
  <c r="U12" i="4"/>
  <c r="W12" i="4" s="1"/>
  <c r="T12" i="4"/>
  <c r="V11" i="4"/>
  <c r="U11" i="4"/>
  <c r="T11" i="4"/>
  <c r="W11" i="4" s="1"/>
  <c r="V10" i="4"/>
  <c r="U10" i="4"/>
  <c r="T10" i="4"/>
  <c r="W10" i="4" s="1"/>
  <c r="V9" i="4"/>
  <c r="V24" i="4" s="1"/>
  <c r="T34" i="4" s="1"/>
  <c r="U9" i="4"/>
  <c r="U24" i="4" s="1"/>
  <c r="T9" i="4"/>
  <c r="T28" i="4" s="1"/>
  <c r="T29" i="4" s="1"/>
  <c r="T63" i="3"/>
  <c r="V63" i="3" s="1"/>
  <c r="V62" i="3"/>
  <c r="V60" i="3"/>
  <c r="V57" i="3"/>
  <c r="T41" i="3"/>
  <c r="U41" i="3" s="1"/>
  <c r="W17" i="3"/>
  <c r="V17" i="3"/>
  <c r="U17" i="3"/>
  <c r="T32" i="3" s="1"/>
  <c r="T43" i="3" s="1"/>
  <c r="U43" i="3" s="1"/>
  <c r="T17" i="3"/>
  <c r="T31" i="3" s="1"/>
  <c r="T45" i="3" s="1"/>
  <c r="U45" i="3" s="1"/>
  <c r="V16" i="3"/>
  <c r="U16" i="3"/>
  <c r="W16" i="3" s="1"/>
  <c r="T16" i="3"/>
  <c r="V15" i="3"/>
  <c r="U15" i="3"/>
  <c r="T15" i="3"/>
  <c r="W15" i="3" s="1"/>
  <c r="V14" i="3"/>
  <c r="U14" i="3"/>
  <c r="T14" i="3"/>
  <c r="W14" i="3" s="1"/>
  <c r="V13" i="3"/>
  <c r="U13" i="3"/>
  <c r="T13" i="3"/>
  <c r="W13" i="3" s="1"/>
  <c r="V12" i="3"/>
  <c r="U12" i="3"/>
  <c r="T12" i="3"/>
  <c r="W12" i="3" s="1"/>
  <c r="V11" i="3"/>
  <c r="U11" i="3"/>
  <c r="T11" i="3"/>
  <c r="W11" i="3" s="1"/>
  <c r="W10" i="3"/>
  <c r="V10" i="3"/>
  <c r="V24" i="3" s="1"/>
  <c r="T34" i="3" s="1"/>
  <c r="U10" i="3"/>
  <c r="T10" i="3"/>
  <c r="T28" i="3" s="1"/>
  <c r="T29" i="3" s="1"/>
  <c r="T30" i="3" s="1"/>
  <c r="T42" i="3" s="1"/>
  <c r="U42" i="3" s="1"/>
  <c r="V9" i="3"/>
  <c r="U9" i="3"/>
  <c r="U24" i="3" s="1"/>
  <c r="T9" i="3"/>
  <c r="W9" i="3" s="1"/>
  <c r="T63" i="2"/>
  <c r="V63" i="2" s="1"/>
  <c r="V62" i="2"/>
  <c r="V60" i="2"/>
  <c r="V57" i="2"/>
  <c r="U41" i="2"/>
  <c r="T41" i="2"/>
  <c r="T32" i="2"/>
  <c r="T43" i="2" s="1"/>
  <c r="U43" i="2" s="1"/>
  <c r="V20" i="2"/>
  <c r="U20" i="2"/>
  <c r="T20" i="2"/>
  <c r="T31" i="2" s="1"/>
  <c r="T45" i="2" s="1"/>
  <c r="U45" i="2" s="1"/>
  <c r="V19" i="2"/>
  <c r="U19" i="2"/>
  <c r="T19" i="2"/>
  <c r="W19" i="2" s="1"/>
  <c r="V18" i="2"/>
  <c r="U18" i="2"/>
  <c r="T18" i="2"/>
  <c r="W18" i="2" s="1"/>
  <c r="W17" i="2"/>
  <c r="V17" i="2"/>
  <c r="U17" i="2"/>
  <c r="T17" i="2"/>
  <c r="V16" i="2"/>
  <c r="U16" i="2"/>
  <c r="T16" i="2"/>
  <c r="W16" i="2" s="1"/>
  <c r="V15" i="2"/>
  <c r="U15" i="2"/>
  <c r="T15" i="2"/>
  <c r="W15" i="2" s="1"/>
  <c r="V14" i="2"/>
  <c r="U14" i="2"/>
  <c r="T14" i="2"/>
  <c r="W14" i="2" s="1"/>
  <c r="W13" i="2"/>
  <c r="V13" i="2"/>
  <c r="U13" i="2"/>
  <c r="T13" i="2"/>
  <c r="V12" i="2"/>
  <c r="U12" i="2"/>
  <c r="W12" i="2" s="1"/>
  <c r="T12" i="2"/>
  <c r="V11" i="2"/>
  <c r="U11" i="2"/>
  <c r="T11" i="2"/>
  <c r="W11" i="2" s="1"/>
  <c r="V10" i="2"/>
  <c r="U10" i="2"/>
  <c r="T10" i="2"/>
  <c r="W10" i="2" s="1"/>
  <c r="V9" i="2"/>
  <c r="V24" i="2" s="1"/>
  <c r="T34" i="2" s="1"/>
  <c r="U9" i="2"/>
  <c r="U24" i="2" s="1"/>
  <c r="T9" i="2"/>
  <c r="T28" i="2" s="1"/>
  <c r="T29" i="2" s="1"/>
  <c r="T63" i="1"/>
  <c r="V63" i="1" s="1"/>
  <c r="V62" i="1"/>
  <c r="V60" i="1"/>
  <c r="V57" i="1"/>
  <c r="T41" i="1"/>
  <c r="U41" i="1" s="1"/>
  <c r="W22" i="1"/>
  <c r="V22" i="1"/>
  <c r="U22" i="1"/>
  <c r="T32" i="1" s="1"/>
  <c r="T43" i="1" s="1"/>
  <c r="U43" i="1" s="1"/>
  <c r="T22" i="1"/>
  <c r="T31" i="1" s="1"/>
  <c r="T45" i="1" s="1"/>
  <c r="U45" i="1" s="1"/>
  <c r="V21" i="1"/>
  <c r="U21" i="1"/>
  <c r="W21" i="1" s="1"/>
  <c r="T21" i="1"/>
  <c r="V20" i="1"/>
  <c r="U20" i="1"/>
  <c r="T20" i="1"/>
  <c r="W20" i="1" s="1"/>
  <c r="V19" i="1"/>
  <c r="U19" i="1"/>
  <c r="T19" i="1"/>
  <c r="W19" i="1" s="1"/>
  <c r="V18" i="1"/>
  <c r="U18" i="1"/>
  <c r="T18" i="1"/>
  <c r="W18" i="1" s="1"/>
  <c r="V17" i="1"/>
  <c r="U17" i="1"/>
  <c r="T17" i="1"/>
  <c r="W17" i="1" s="1"/>
  <c r="V16" i="1"/>
  <c r="U16" i="1"/>
  <c r="T16" i="1"/>
  <c r="W16" i="1" s="1"/>
  <c r="W15" i="1"/>
  <c r="V15" i="1"/>
  <c r="U15" i="1"/>
  <c r="T15" i="1"/>
  <c r="V14" i="1"/>
  <c r="U14" i="1"/>
  <c r="T14" i="1"/>
  <c r="W14" i="1" s="1"/>
  <c r="V13" i="1"/>
  <c r="U13" i="1"/>
  <c r="T13" i="1"/>
  <c r="W13" i="1" s="1"/>
  <c r="V12" i="1"/>
  <c r="U12" i="1"/>
  <c r="T12" i="1"/>
  <c r="W12" i="1" s="1"/>
  <c r="W11" i="1"/>
  <c r="V11" i="1"/>
  <c r="U11" i="1"/>
  <c r="T11" i="1"/>
  <c r="V10" i="1"/>
  <c r="U10" i="1"/>
  <c r="T10" i="1"/>
  <c r="W10" i="1" s="1"/>
  <c r="V9" i="1"/>
  <c r="V24" i="1" s="1"/>
  <c r="T34" i="1" s="1"/>
  <c r="U9" i="1"/>
  <c r="U24" i="1" s="1"/>
  <c r="U24" i="8" l="1"/>
  <c r="W11" i="8"/>
  <c r="W12" i="8"/>
  <c r="W14" i="8"/>
  <c r="W9" i="8"/>
  <c r="W10" i="8"/>
  <c r="W13" i="8"/>
  <c r="W15" i="8"/>
  <c r="V24" i="8"/>
  <c r="T34" i="8" s="1"/>
  <c r="W16" i="8"/>
  <c r="T33" i="11"/>
  <c r="W24" i="11"/>
  <c r="T56" i="10"/>
  <c r="V56" i="10" s="1"/>
  <c r="T56" i="4"/>
  <c r="V56" i="4" s="1"/>
  <c r="W24" i="10"/>
  <c r="T37" i="5"/>
  <c r="T33" i="4"/>
  <c r="W24" i="4"/>
  <c r="T37" i="6"/>
  <c r="T30" i="4"/>
  <c r="T42" i="4" s="1"/>
  <c r="U42" i="4" s="1"/>
  <c r="T56" i="11"/>
  <c r="V56" i="11" s="1"/>
  <c r="T37" i="3"/>
  <c r="T24" i="5"/>
  <c r="T56" i="5" s="1"/>
  <c r="V56" i="5" s="1"/>
  <c r="T24" i="9"/>
  <c r="T30" i="10"/>
  <c r="T42" i="10" s="1"/>
  <c r="U42" i="10" s="1"/>
  <c r="T31" i="10"/>
  <c r="T45" i="10" s="1"/>
  <c r="U45" i="10" s="1"/>
  <c r="T28" i="11"/>
  <c r="T29" i="11" s="1"/>
  <c r="T30" i="11" s="1"/>
  <c r="W14" i="4"/>
  <c r="W18" i="7"/>
  <c r="T33" i="10"/>
  <c r="T28" i="5"/>
  <c r="T29" i="5" s="1"/>
  <c r="T30" i="5" s="1"/>
  <c r="T42" i="5" s="1"/>
  <c r="U42" i="5" s="1"/>
  <c r="T28" i="9"/>
  <c r="T29" i="9" s="1"/>
  <c r="T28" i="1"/>
  <c r="T29" i="1" s="1"/>
  <c r="T30" i="1" s="1"/>
  <c r="T42" i="1" s="1"/>
  <c r="U42" i="1" s="1"/>
  <c r="W9" i="2"/>
  <c r="W20" i="2"/>
  <c r="W9" i="4"/>
  <c r="W9" i="6"/>
  <c r="W17" i="8"/>
  <c r="W9" i="10"/>
  <c r="T24" i="8"/>
  <c r="T30" i="9"/>
  <c r="T42" i="9" s="1"/>
  <c r="U42" i="9" s="1"/>
  <c r="T24" i="3"/>
  <c r="T56" i="3" s="1"/>
  <c r="V56" i="3" s="1"/>
  <c r="T24" i="6"/>
  <c r="W10" i="6"/>
  <c r="W10" i="10"/>
  <c r="T24" i="1"/>
  <c r="T28" i="8"/>
  <c r="T29" i="8" s="1"/>
  <c r="T24" i="2"/>
  <c r="T30" i="2"/>
  <c r="T42" i="2" s="1"/>
  <c r="U42" i="2" s="1"/>
  <c r="T30" i="6"/>
  <c r="T42" i="6" s="1"/>
  <c r="U42" i="6" s="1"/>
  <c r="T24" i="7"/>
  <c r="W13" i="11"/>
  <c r="T28" i="7"/>
  <c r="T29" i="7" s="1"/>
  <c r="T30" i="7" s="1"/>
  <c r="T42" i="11" l="1"/>
  <c r="U42" i="11" s="1"/>
  <c r="T37" i="11"/>
  <c r="T42" i="7"/>
  <c r="U42" i="7" s="1"/>
  <c r="T37" i="7"/>
  <c r="T42" i="8"/>
  <c r="U42" i="8" s="1"/>
  <c r="T37" i="8"/>
  <c r="T33" i="9"/>
  <c r="W24" i="9"/>
  <c r="T37" i="4"/>
  <c r="T33" i="1"/>
  <c r="W24" i="1"/>
  <c r="T33" i="6"/>
  <c r="W24" i="6"/>
  <c r="T37" i="2"/>
  <c r="T37" i="10"/>
  <c r="T33" i="2"/>
  <c r="W24" i="2"/>
  <c r="T33" i="8"/>
  <c r="W24" i="8"/>
  <c r="V37" i="5"/>
  <c r="T47" i="5"/>
  <c r="U47" i="5" s="1"/>
  <c r="T56" i="9"/>
  <c r="V56" i="9" s="1"/>
  <c r="T35" i="4"/>
  <c r="T36" i="4"/>
  <c r="T37" i="9"/>
  <c r="T33" i="3"/>
  <c r="W24" i="3"/>
  <c r="T56" i="8"/>
  <c r="V56" i="8" s="1"/>
  <c r="T36" i="11"/>
  <c r="T35" i="11"/>
  <c r="T56" i="2"/>
  <c r="V56" i="2" s="1"/>
  <c r="T37" i="1"/>
  <c r="T47" i="6"/>
  <c r="U47" i="6" s="1"/>
  <c r="V37" i="6"/>
  <c r="T33" i="5"/>
  <c r="W24" i="5"/>
  <c r="T47" i="3"/>
  <c r="U47" i="3" s="1"/>
  <c r="V37" i="3"/>
  <c r="T56" i="1"/>
  <c r="V56" i="1" s="1"/>
  <c r="T33" i="7"/>
  <c r="W24" i="7"/>
  <c r="T36" i="10"/>
  <c r="T35" i="10"/>
  <c r="T56" i="7"/>
  <c r="V56" i="7" s="1"/>
  <c r="T56" i="6"/>
  <c r="V56" i="6" s="1"/>
  <c r="T36" i="1" l="1"/>
  <c r="T35" i="1"/>
  <c r="V37" i="4"/>
  <c r="T47" i="4"/>
  <c r="U47" i="4" s="1"/>
  <c r="V37" i="9"/>
  <c r="T47" i="9"/>
  <c r="U47" i="9" s="1"/>
  <c r="T36" i="2"/>
  <c r="T35" i="2"/>
  <c r="T47" i="2"/>
  <c r="U47" i="2" s="1"/>
  <c r="V37" i="2"/>
  <c r="V36" i="4"/>
  <c r="T46" i="4"/>
  <c r="U46" i="4" s="1"/>
  <c r="T59" i="4"/>
  <c r="V59" i="4" s="1"/>
  <c r="T36" i="5"/>
  <c r="T35" i="5"/>
  <c r="T44" i="11"/>
  <c r="U44" i="11" s="1"/>
  <c r="T49" i="11" s="1"/>
  <c r="T50" i="11" s="1"/>
  <c r="T58" i="11"/>
  <c r="V58" i="11" s="1"/>
  <c r="V35" i="11"/>
  <c r="T36" i="6"/>
  <c r="T35" i="6"/>
  <c r="T47" i="1"/>
  <c r="U47" i="1" s="1"/>
  <c r="V37" i="1"/>
  <c r="T59" i="11"/>
  <c r="V59" i="11" s="1"/>
  <c r="V36" i="11"/>
  <c r="T46" i="11"/>
  <c r="U46" i="11" s="1"/>
  <c r="T36" i="9"/>
  <c r="T35" i="9"/>
  <c r="T47" i="8"/>
  <c r="U47" i="8" s="1"/>
  <c r="V37" i="8"/>
  <c r="T44" i="10"/>
  <c r="U44" i="10" s="1"/>
  <c r="T58" i="10"/>
  <c r="V58" i="10" s="1"/>
  <c r="V35" i="10"/>
  <c r="T46" i="10"/>
  <c r="U46" i="10" s="1"/>
  <c r="T59" i="10"/>
  <c r="V59" i="10" s="1"/>
  <c r="V36" i="10"/>
  <c r="V37" i="11"/>
  <c r="T47" i="11"/>
  <c r="U47" i="11" s="1"/>
  <c r="V37" i="10"/>
  <c r="T47" i="10"/>
  <c r="U47" i="10" s="1"/>
  <c r="T36" i="3"/>
  <c r="T35" i="3"/>
  <c r="T58" i="4"/>
  <c r="V58" i="4" s="1"/>
  <c r="T44" i="4"/>
  <c r="U44" i="4" s="1"/>
  <c r="V35" i="4"/>
  <c r="T47" i="7"/>
  <c r="U47" i="7" s="1"/>
  <c r="V37" i="7"/>
  <c r="T36" i="7"/>
  <c r="T35" i="7"/>
  <c r="T36" i="8"/>
  <c r="T35" i="8"/>
  <c r="T52" i="11" l="1"/>
  <c r="T51" i="11"/>
  <c r="V36" i="6"/>
  <c r="T46" i="6"/>
  <c r="U46" i="6" s="1"/>
  <c r="T59" i="6"/>
  <c r="V59" i="6" s="1"/>
  <c r="T59" i="3"/>
  <c r="V59" i="3" s="1"/>
  <c r="V36" i="3"/>
  <c r="T46" i="3"/>
  <c r="U46" i="3" s="1"/>
  <c r="T59" i="5"/>
  <c r="V59" i="5" s="1"/>
  <c r="V36" i="5"/>
  <c r="T46" i="5"/>
  <c r="U46" i="5" s="1"/>
  <c r="T58" i="9"/>
  <c r="V58" i="9" s="1"/>
  <c r="V35" i="9"/>
  <c r="T44" i="9"/>
  <c r="U44" i="9" s="1"/>
  <c r="T49" i="9" s="1"/>
  <c r="T50" i="9" s="1"/>
  <c r="V35" i="6"/>
  <c r="T44" i="6"/>
  <c r="U44" i="6" s="1"/>
  <c r="T49" i="6" s="1"/>
  <c r="T50" i="6" s="1"/>
  <c r="T58" i="6"/>
  <c r="V58" i="6" s="1"/>
  <c r="V35" i="2"/>
  <c r="T44" i="2"/>
  <c r="U44" i="2" s="1"/>
  <c r="T58" i="2"/>
  <c r="V58" i="2" s="1"/>
  <c r="V36" i="8"/>
  <c r="T46" i="8"/>
  <c r="U46" i="8" s="1"/>
  <c r="T59" i="8"/>
  <c r="V59" i="8" s="1"/>
  <c r="T44" i="7"/>
  <c r="U44" i="7" s="1"/>
  <c r="T58" i="7"/>
  <c r="V58" i="7" s="1"/>
  <c r="V35" i="7"/>
  <c r="V35" i="8"/>
  <c r="T44" i="8"/>
  <c r="U44" i="8" s="1"/>
  <c r="T58" i="8"/>
  <c r="V58" i="8" s="1"/>
  <c r="T59" i="9"/>
  <c r="V59" i="9" s="1"/>
  <c r="V36" i="9"/>
  <c r="T46" i="9"/>
  <c r="U46" i="9" s="1"/>
  <c r="V35" i="1"/>
  <c r="T58" i="1"/>
  <c r="V58" i="1" s="1"/>
  <c r="T44" i="1"/>
  <c r="U44" i="1" s="1"/>
  <c r="T49" i="1" s="1"/>
  <c r="T50" i="1" s="1"/>
  <c r="V35" i="3"/>
  <c r="T58" i="3"/>
  <c r="V58" i="3" s="1"/>
  <c r="T44" i="3"/>
  <c r="U44" i="3" s="1"/>
  <c r="T49" i="3" s="1"/>
  <c r="T50" i="3" s="1"/>
  <c r="T58" i="5"/>
  <c r="V58" i="5" s="1"/>
  <c r="V35" i="5"/>
  <c r="T44" i="5"/>
  <c r="U44" i="5" s="1"/>
  <c r="T49" i="5" s="1"/>
  <c r="T50" i="5" s="1"/>
  <c r="T49" i="10"/>
  <c r="T50" i="10" s="1"/>
  <c r="V36" i="2"/>
  <c r="T46" i="2"/>
  <c r="U46" i="2" s="1"/>
  <c r="T59" i="2"/>
  <c r="V59" i="2" s="1"/>
  <c r="T46" i="7"/>
  <c r="U46" i="7" s="1"/>
  <c r="T59" i="7"/>
  <c r="V59" i="7" s="1"/>
  <c r="V36" i="7"/>
  <c r="T49" i="4"/>
  <c r="T50" i="4" s="1"/>
  <c r="T59" i="1"/>
  <c r="V59" i="1" s="1"/>
  <c r="V36" i="1"/>
  <c r="T46" i="1"/>
  <c r="U46" i="1" s="1"/>
  <c r="T49" i="2" l="1"/>
  <c r="T50" i="2" s="1"/>
  <c r="T52" i="6"/>
  <c r="T51" i="6"/>
  <c r="T52" i="10"/>
  <c r="T51" i="10"/>
  <c r="T52" i="9"/>
  <c r="T51" i="9"/>
  <c r="T52" i="5"/>
  <c r="T51" i="5"/>
  <c r="T51" i="4"/>
  <c r="T52" i="4"/>
  <c r="T52" i="1"/>
  <c r="T51" i="1"/>
  <c r="T49" i="8"/>
  <c r="T50" i="8" s="1"/>
  <c r="T52" i="3"/>
  <c r="T51" i="3"/>
  <c r="T49" i="7"/>
  <c r="T50" i="7" s="1"/>
  <c r="T52" i="7" l="1"/>
  <c r="T51" i="7"/>
  <c r="T52" i="8"/>
  <c r="T51" i="8"/>
  <c r="T51" i="2"/>
  <c r="T5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0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0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000-000025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000-00003B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000-000003000000}">
      <text>
        <r>
          <rPr>
            <sz val="10"/>
            <rFont val="Arial"/>
            <family val="2"/>
          </rPr>
          <t>Month 1: 2025-01
Formula: SUMPRODUCT( (LEFT(C,7)='2025-01')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000-000026000000}">
      <text>
        <r>
          <rPr>
            <sz val="10"/>
            <rFont val="Arial"/>
            <family val="2"/>
          </rPr>
          <t>Month 1: 2025-01
Formula: SUMPRODUCT( (LEFT(C,7)='2025-01') * (E='KSAOB.Debit') * (M=6012) * G )
Change amount(G), creditDebitIndicator(E), or MCC(M) in any row → this cell recalculates.</t>
        </r>
      </text>
    </comment>
    <comment ref="V9" authorId="0" shapeId="0" xr:uid="{00000000-0006-0000-0000-00003C000000}">
      <text>
        <r>
          <rPr>
            <sz val="10"/>
            <rFont val="Arial"/>
            <family val="2"/>
          </rPr>
          <t>Month 1: 2025-01
Formula: SUMPRODUCT( (LEFT(C,7)='2025-01') * (E='KSAOB.Debit') * (M≠6012) * G )
Change amount(G), creditDebitIndicator(E), or MCC(M) in any row → this cell recalculates.</t>
        </r>
      </text>
    </comment>
    <comment ref="T10" authorId="0" shapeId="0" xr:uid="{00000000-0006-0000-0000-000004000000}">
      <text>
        <r>
          <rPr>
            <sz val="10"/>
            <rFont val="Arial"/>
            <family val="2"/>
          </rPr>
          <t>Month 2: 2025-02
Formula: SUMPRODUCT( (LEFT(C,7)='2025-02')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000-000027000000}">
      <text>
        <r>
          <rPr>
            <sz val="10"/>
            <rFont val="Arial"/>
            <family val="2"/>
          </rPr>
          <t>Month 2: 2025-02
Formula: SUMPRODUCT( (LEFT(C,7)='2025-02') * (E='KSAOB.Debit') * (M=6012) * G )
Change amount(G), creditDebitIndicator(E), or MCC(M) in any row → this cell recalculates.</t>
        </r>
      </text>
    </comment>
    <comment ref="V10" authorId="0" shapeId="0" xr:uid="{00000000-0006-0000-0000-00003D000000}">
      <text>
        <r>
          <rPr>
            <sz val="10"/>
            <rFont val="Arial"/>
            <family val="2"/>
          </rPr>
          <t>Month 2: 2025-02
Formula: SUMPRODUCT( (LEFT(C,7)='2025-02') * (E='KSAOB.Debit') * (M≠6012) * G )
Change amount(G), creditDebitIndicator(E), or MCC(M) in any row → this cell recalculates.</t>
        </r>
      </text>
    </comment>
    <comment ref="T11" authorId="0" shapeId="0" xr:uid="{00000000-0006-0000-0000-000005000000}">
      <text>
        <r>
          <rPr>
            <sz val="10"/>
            <rFont val="Arial"/>
            <family val="2"/>
          </rPr>
          <t>Month 3: 2025-03
Formula: SUMPRODUCT( (LEFT(C,7)='2025-03')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000-000028000000}">
      <text>
        <r>
          <rPr>
            <sz val="10"/>
            <rFont val="Arial"/>
            <family val="2"/>
          </rPr>
          <t>Month 3: 2025-03
Formula: SUMPRODUCT( (LEFT(C,7)='2025-03') * (E='KSAOB.Debit') * (M=6012) * G )
Change amount(G), creditDebitIndicator(E), or MCC(M) in any row → this cell recalculates.</t>
        </r>
      </text>
    </comment>
    <comment ref="V11" authorId="0" shapeId="0" xr:uid="{00000000-0006-0000-0000-00003E000000}">
      <text>
        <r>
          <rPr>
            <sz val="10"/>
            <rFont val="Arial"/>
            <family val="2"/>
          </rPr>
          <t>Month 3: 2025-03
Formula: SUMPRODUCT( (LEFT(C,7)='2025-03') * (E='KSAOB.Debit') * (M≠6012) * G )
Change amount(G), creditDebitIndicator(E), or MCC(M) in any row → this cell recalculates.</t>
        </r>
      </text>
    </comment>
    <comment ref="T12" authorId="0" shapeId="0" xr:uid="{00000000-0006-0000-0000-000006000000}">
      <text>
        <r>
          <rPr>
            <sz val="10"/>
            <rFont val="Arial"/>
            <family val="2"/>
          </rPr>
          <t>Month 4: 2025-04
Formula: SUMPRODUCT( (LEFT(C,7)='2025-04')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000-000029000000}">
      <text>
        <r>
          <rPr>
            <sz val="10"/>
            <rFont val="Arial"/>
            <family val="2"/>
          </rPr>
          <t>Month 4: 2025-04
Formula: SUMPRODUCT( (LEFT(C,7)='2025-04') * (E='KSAOB.Debit') * (M=6012) * G )
Change amount(G), creditDebitIndicator(E), or MCC(M) in any row → this cell recalculates.</t>
        </r>
      </text>
    </comment>
    <comment ref="V12" authorId="0" shapeId="0" xr:uid="{00000000-0006-0000-0000-00003F000000}">
      <text>
        <r>
          <rPr>
            <sz val="10"/>
            <rFont val="Arial"/>
            <family val="2"/>
          </rPr>
          <t>Month 4: 2025-04
Formula: SUMPRODUCT( (LEFT(C,7)='2025-04') * (E='KSAOB.Debit') * (M≠6012) * G )
Change amount(G), creditDebitIndicator(E), or MCC(M) in any row → this cell recalculates.</t>
        </r>
      </text>
    </comment>
    <comment ref="T13" authorId="0" shapeId="0" xr:uid="{00000000-0006-0000-0000-000007000000}">
      <text>
        <r>
          <rPr>
            <sz val="10"/>
            <rFont val="Arial"/>
            <family val="2"/>
          </rPr>
          <t>Month 5: 2025-05
Formula: SUMPRODUCT( (LEFT(C,7)='2025-05')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000-00002A000000}">
      <text>
        <r>
          <rPr>
            <sz val="10"/>
            <rFont val="Arial"/>
            <family val="2"/>
          </rPr>
          <t>Month 5: 2025-05
Formula: SUMPRODUCT( (LEFT(C,7)='2025-05') * (E='KSAOB.Debit') * (M=6012) * G )
Change amount(G), creditDebitIndicator(E), or MCC(M) in any row → this cell recalculates.</t>
        </r>
      </text>
    </comment>
    <comment ref="V13" authorId="0" shapeId="0" xr:uid="{00000000-0006-0000-0000-000040000000}">
      <text>
        <r>
          <rPr>
            <sz val="10"/>
            <rFont val="Arial"/>
            <family val="2"/>
          </rPr>
          <t>Month 5: 2025-05
Formula: SUMPRODUCT( (LEFT(C,7)='2025-05') * (E='KSAOB.Debit') * (M≠6012) * G )
Change amount(G), creditDebitIndicator(E), or MCC(M) in any row → this cell recalculates.</t>
        </r>
      </text>
    </comment>
    <comment ref="T14" authorId="0" shapeId="0" xr:uid="{00000000-0006-0000-0000-000008000000}">
      <text>
        <r>
          <rPr>
            <sz val="10"/>
            <rFont val="Arial"/>
            <family val="2"/>
          </rPr>
          <t>Month 6: 2025-06
Formula: SUMPRODUCT( (LEFT(C,7)='2025-06')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000-00002B000000}">
      <text>
        <r>
          <rPr>
            <sz val="10"/>
            <rFont val="Arial"/>
            <family val="2"/>
          </rPr>
          <t>Month 6: 2025-06
Formula: SUMPRODUCT( (LEFT(C,7)='2025-06') * (E='KSAOB.Debit') * (M=6012) * G )
Change amount(G), creditDebitIndicator(E), or MCC(M) in any row → this cell recalculates.</t>
        </r>
      </text>
    </comment>
    <comment ref="V14" authorId="0" shapeId="0" xr:uid="{00000000-0006-0000-0000-000041000000}">
      <text>
        <r>
          <rPr>
            <sz val="10"/>
            <rFont val="Arial"/>
            <family val="2"/>
          </rPr>
          <t>Month 6: 2025-06
Formula: SUMPRODUCT( (LEFT(C,7)='2025-06') * (E='KSAOB.Debit') * (M≠6012) * G )
Change amount(G), creditDebitIndicator(E), or MCC(M) in any row → this cell recalculates.</t>
        </r>
      </text>
    </comment>
    <comment ref="T15" authorId="0" shapeId="0" xr:uid="{00000000-0006-0000-0000-000009000000}">
      <text>
        <r>
          <rPr>
            <sz val="10"/>
            <rFont val="Arial"/>
            <family val="2"/>
          </rPr>
          <t>Month 7: 2025-07
Formula: SUMPRODUCT( (LEFT(C,7)='2025-07')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000-00002C000000}">
      <text>
        <r>
          <rPr>
            <sz val="10"/>
            <rFont val="Arial"/>
            <family val="2"/>
          </rPr>
          <t>Month 7: 2025-07
Formula: SUMPRODUCT( (LEFT(C,7)='2025-07') * (E='KSAOB.Debit') * (M=6012) * G )
Change amount(G), creditDebitIndicator(E), or MCC(M) in any row → this cell recalculates.</t>
        </r>
      </text>
    </comment>
    <comment ref="V15" authorId="0" shapeId="0" xr:uid="{00000000-0006-0000-0000-000042000000}">
      <text>
        <r>
          <rPr>
            <sz val="10"/>
            <rFont val="Arial"/>
            <family val="2"/>
          </rPr>
          <t>Month 7: 2025-07
Formula: SUMPRODUCT( (LEFT(C,7)='2025-07') * (E='KSAOB.Debit') * (M≠6012) * G )
Change amount(G), creditDebitIndicator(E), or MCC(M) in any row → this cell recalculates.</t>
        </r>
      </text>
    </comment>
    <comment ref="T16" authorId="0" shapeId="0" xr:uid="{00000000-0006-0000-0000-00000A000000}">
      <text>
        <r>
          <rPr>
            <sz val="10"/>
            <rFont val="Arial"/>
            <family val="2"/>
          </rPr>
          <t>Month 8: 2025-08
Formula: SUMPRODUCT( (LEFT(C,7)='2025-08')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000-00002D000000}">
      <text>
        <r>
          <rPr>
            <sz val="10"/>
            <rFont val="Arial"/>
            <family val="2"/>
          </rPr>
          <t>Month 8: 2025-08
Formula: SUMPRODUCT( (LEFT(C,7)='2025-08') * (E='KSAOB.Debit') * (M=6012) * G )
Change amount(G), creditDebitIndicator(E), or MCC(M) in any row → this cell recalculates.</t>
        </r>
      </text>
    </comment>
    <comment ref="V16" authorId="0" shapeId="0" xr:uid="{00000000-0006-0000-0000-000043000000}">
      <text>
        <r>
          <rPr>
            <sz val="10"/>
            <rFont val="Arial"/>
            <family val="2"/>
          </rPr>
          <t>Month 8: 2025-08
Formula: SUMPRODUCT( (LEFT(C,7)='2025-08') * (E='KSAOB.Debit') * (M≠6012) * G )
Change amount(G), creditDebitIndicator(E), or MCC(M) in any row → this cell recalculates.</t>
        </r>
      </text>
    </comment>
    <comment ref="T17" authorId="0" shapeId="0" xr:uid="{00000000-0006-0000-0000-00000B000000}">
      <text>
        <r>
          <rPr>
            <sz val="10"/>
            <rFont val="Arial"/>
            <family val="2"/>
          </rPr>
          <t>Month 9: 2025-09
Formula: SUMPRODUCT( (LEFT(C,7)='2025-09')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000-00002E000000}">
      <text>
        <r>
          <rPr>
            <sz val="10"/>
            <rFont val="Arial"/>
            <family val="2"/>
          </rPr>
          <t>Month 9: 2025-09
Formula: SUMPRODUCT( (LEFT(C,7)='2025-09') * (E='KSAOB.Debit') * (M=6012) * G )
Change amount(G), creditDebitIndicator(E), or MCC(M) in any row → this cell recalculates.</t>
        </r>
      </text>
    </comment>
    <comment ref="V17" authorId="0" shapeId="0" xr:uid="{00000000-0006-0000-0000-000044000000}">
      <text>
        <r>
          <rPr>
            <sz val="10"/>
            <rFont val="Arial"/>
            <family val="2"/>
          </rPr>
          <t>Month 9: 2025-09
Formula: SUMPRODUCT( (LEFT(C,7)='2025-09') * (E='KSAOB.Debit') * (M≠6012) * G )
Change amount(G), creditDebitIndicator(E), or MCC(M) in any row → this cell recalculates.</t>
        </r>
      </text>
    </comment>
    <comment ref="T18" authorId="0" shapeId="0" xr:uid="{00000000-0006-0000-0000-00000C000000}">
      <text>
        <r>
          <rPr>
            <sz val="10"/>
            <rFont val="Arial"/>
            <family val="2"/>
          </rPr>
          <t>Month 10: 2025-10
Formula: SUMPRODUCT( (LEFT(C,7)='2025-10') * (E='KSAOB.Credit') * (K='KSAOB.Deposit') * G )
Change amount(G), creditDebitIndicator(E), or subTransactionType(K) in any row → this cell recalculates.</t>
        </r>
      </text>
    </comment>
    <comment ref="U18" authorId="0" shapeId="0" xr:uid="{00000000-0006-0000-0000-00002F000000}">
      <text>
        <r>
          <rPr>
            <sz val="10"/>
            <rFont val="Arial"/>
            <family val="2"/>
          </rPr>
          <t>Month 10: 2025-10
Formula: SUMPRODUCT( (LEFT(C,7)='2025-10') * (E='KSAOB.Debit') * (M=6012) * G )
Change amount(G), creditDebitIndicator(E), or MCC(M) in any row → this cell recalculates.</t>
        </r>
      </text>
    </comment>
    <comment ref="V18" authorId="0" shapeId="0" xr:uid="{00000000-0006-0000-0000-000045000000}">
      <text>
        <r>
          <rPr>
            <sz val="10"/>
            <rFont val="Arial"/>
            <family val="2"/>
          </rPr>
          <t>Month 10: 2025-10
Formula: SUMPRODUCT( (LEFT(C,7)='2025-10') * (E='KSAOB.Debit') * (M≠6012) * G )
Change amount(G), creditDebitIndicator(E), or MCC(M) in any row → this cell recalculates.</t>
        </r>
      </text>
    </comment>
    <comment ref="T19" authorId="0" shapeId="0" xr:uid="{00000000-0006-0000-0000-00000D000000}">
      <text>
        <r>
          <rPr>
            <sz val="10"/>
            <rFont val="Arial"/>
            <family val="2"/>
          </rPr>
          <t>Month 11: 2025-11
Formula: SUMPRODUCT( (LEFT(C,7)='2025-11') * (E='KSAOB.Credit') * (K='KSAOB.Deposit') * G )
Change amount(G), creditDebitIndicator(E), or subTransactionType(K) in any row → this cell recalculates.</t>
        </r>
      </text>
    </comment>
    <comment ref="U19" authorId="0" shapeId="0" xr:uid="{00000000-0006-0000-0000-000030000000}">
      <text>
        <r>
          <rPr>
            <sz val="10"/>
            <rFont val="Arial"/>
            <family val="2"/>
          </rPr>
          <t>Month 11: 2025-11
Formula: SUMPRODUCT( (LEFT(C,7)='2025-11') * (E='KSAOB.Debit') * (M=6012) * G )
Change amount(G), creditDebitIndicator(E), or MCC(M) in any row → this cell recalculates.</t>
        </r>
      </text>
    </comment>
    <comment ref="V19" authorId="0" shapeId="0" xr:uid="{00000000-0006-0000-0000-000046000000}">
      <text>
        <r>
          <rPr>
            <sz val="10"/>
            <rFont val="Arial"/>
            <family val="2"/>
          </rPr>
          <t>Month 11: 2025-11
Formula: SUMPRODUCT( (LEFT(C,7)='2025-11') * (E='KSAOB.Debit') * (M≠6012) * G )
Change amount(G), creditDebitIndicator(E), or MCC(M) in any row → this cell recalculates.</t>
        </r>
      </text>
    </comment>
    <comment ref="T20" authorId="0" shapeId="0" xr:uid="{00000000-0006-0000-0000-00000E000000}">
      <text>
        <r>
          <rPr>
            <sz val="10"/>
            <rFont val="Arial"/>
            <family val="2"/>
          </rPr>
          <t>Month 12: 2025-12
Formula: SUMPRODUCT( (LEFT(C,7)='2025-12') * (E='KSAOB.Credit') * (K='KSAOB.Deposit') * G )
Change amount(G), creditDebitIndicator(E), or subTransactionType(K) in any row → this cell recalculates.</t>
        </r>
      </text>
    </comment>
    <comment ref="U20" authorId="0" shapeId="0" xr:uid="{00000000-0006-0000-0000-000031000000}">
      <text>
        <r>
          <rPr>
            <sz val="10"/>
            <rFont val="Arial"/>
            <family val="2"/>
          </rPr>
          <t>Month 12: 2025-12
Formula: SUMPRODUCT( (LEFT(C,7)='2025-12') * (E='KSAOB.Debit') * (M=6012) * G )
Change amount(G), creditDebitIndicator(E), or MCC(M) in any row → this cell recalculates.</t>
        </r>
      </text>
    </comment>
    <comment ref="V20" authorId="0" shapeId="0" xr:uid="{00000000-0006-0000-0000-000047000000}">
      <text>
        <r>
          <rPr>
            <sz val="10"/>
            <rFont val="Arial"/>
            <family val="2"/>
          </rPr>
          <t>Month 12: 2025-12
Formula: SUMPRODUCT( (LEFT(C,7)='2025-12') * (E='KSAOB.Debit') * (M≠6012) * G )
Change amount(G), creditDebitIndicator(E), or MCC(M) in any row → this cell recalculates.</t>
        </r>
      </text>
    </comment>
    <comment ref="T21" authorId="0" shapeId="0" xr:uid="{00000000-0006-0000-0000-00000F000000}">
      <text>
        <r>
          <rPr>
            <sz val="10"/>
            <rFont val="Arial"/>
            <family val="2"/>
          </rPr>
          <t>Month 13: 2026-01
Formula: SUMPRODUCT( (LEFT(C,7)='2026-01') * (E='KSAOB.Credit') * (K='KSAOB.Deposit') * G )
Change amount(G), creditDebitIndicator(E), or subTransactionType(K) in any row → this cell recalculates.</t>
        </r>
      </text>
    </comment>
    <comment ref="U21" authorId="0" shapeId="0" xr:uid="{00000000-0006-0000-0000-000032000000}">
      <text>
        <r>
          <rPr>
            <sz val="10"/>
            <rFont val="Arial"/>
            <family val="2"/>
          </rPr>
          <t>Month 13: 2026-01
Formula: SUMPRODUCT( (LEFT(C,7)='2026-01') * (E='KSAOB.Debit') * (M=6012) * G )
Change amount(G), creditDebitIndicator(E), or MCC(M) in any row → this cell recalculates.</t>
        </r>
      </text>
    </comment>
    <comment ref="V21" authorId="0" shapeId="0" xr:uid="{00000000-0006-0000-0000-000048000000}">
      <text>
        <r>
          <rPr>
            <sz val="10"/>
            <rFont val="Arial"/>
            <family val="2"/>
          </rPr>
          <t>Month 13: 2026-01
Formula: SUMPRODUCT( (LEFT(C,7)='2026-01') * (E='KSAOB.Debit') * (M≠6012) * G )
Change amount(G), creditDebitIndicator(E), or MCC(M) in any row → this cell recalculates.</t>
        </r>
      </text>
    </comment>
    <comment ref="T22" authorId="0" shapeId="0" xr:uid="{00000000-0006-0000-0000-000010000000}">
      <text>
        <r>
          <rPr>
            <sz val="10"/>
            <rFont val="Arial"/>
            <family val="2"/>
          </rPr>
          <t>Month 14: 2026-02
Formula: SUMPRODUCT( (LEFT(C,7)='2026-02') * (E='KSAOB.Credit') * (K='KSAOB.Deposit') * G )
Change amount(G), creditDebitIndicator(E), or subTransactionType(K) in any row → this cell recalculates.</t>
        </r>
      </text>
    </comment>
    <comment ref="U22" authorId="0" shapeId="0" xr:uid="{00000000-0006-0000-0000-000033000000}">
      <text>
        <r>
          <rPr>
            <sz val="10"/>
            <rFont val="Arial"/>
            <family val="2"/>
          </rPr>
          <t>Month 14: 2026-02
Formula: SUMPRODUCT( (LEFT(C,7)='2026-02') * (E='KSAOB.Debit') * (M=6012) * G )
Change amount(G), creditDebitIndicator(E), or MCC(M) in any row → this cell recalculates.</t>
        </r>
      </text>
    </comment>
    <comment ref="V22" authorId="0" shapeId="0" xr:uid="{00000000-0006-0000-0000-000049000000}">
      <text>
        <r>
          <rPr>
            <sz val="10"/>
            <rFont val="Arial"/>
            <family val="2"/>
          </rPr>
          <t>Month 14: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000-000011000000}">
      <text>
        <r>
          <rPr>
            <sz val="10"/>
            <rFont val="Arial"/>
            <family val="2"/>
          </rPr>
          <t>Average salary income across all 14 months.
Formula: AVERAGEIF(T9:T22,"&gt;0") — skips empty month slots.</t>
        </r>
      </text>
    </comment>
    <comment ref="T28" authorId="0" shapeId="0" xr:uid="{00000000-0006-0000-0000-000012000000}">
      <text>
        <r>
          <rPr>
            <sz val="10"/>
            <rFont val="Arial"/>
            <family val="2"/>
          </rPr>
          <t>MEDIAN(T9:T22)
Median of all monthly salary rows. Used only to set spike threshold below.</t>
        </r>
      </text>
    </comment>
    <comment ref="T29" authorId="0" shapeId="0" xr:uid="{00000000-0006-0000-0000-000013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000-000014000000}">
      <text>
        <r>
          <rPr>
            <sz val="10"/>
            <rFont val="Arial"/>
            <family val="2"/>
          </rPr>
          <t>MEDIAN(MIN(T20,T29), MIN(T21,T29), MIN(T22,T29))
Takes salary from rows 20 (2025-12), 21 (2026-01), 22 (2026-02).
Each capped at spike threshold before MEDIAN → spike months don't inflate score.</t>
        </r>
      </text>
    </comment>
    <comment ref="T31" authorId="0" shapeId="0" xr:uid="{00000000-0006-0000-0000-000015000000}">
      <text>
        <r>
          <rPr>
            <sz val="10"/>
            <rFont val="Arial"/>
            <family val="2"/>
          </rPr>
          <t>=T22  (salary SUMPRODUCT for 2026-02)
Total salary/deposit credits in the MOST RECENT month only.
Represents current salary bracket for risk categorisation.</t>
        </r>
      </text>
    </comment>
    <comment ref="T32" authorId="0" shapeId="0" xr:uid="{00000000-0006-0000-0000-000016000000}">
      <text>
        <r>
          <rPr>
            <sz val="10"/>
            <rFont val="Arial"/>
            <family val="2"/>
          </rPr>
          <t>=U22  (loan SUMPRODUCT for 2026-02)
SUM of all MCC=6012 debits in the LAST MONTH only.
Change amount or MCC on any row → this value updates.</t>
        </r>
      </text>
    </comment>
    <comment ref="T33" authorId="0" shapeId="0" xr:uid="{00000000-0006-0000-0000-000017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000-000018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000-000019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000-00001A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000-00001B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000-000034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000-000035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000-000036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000-000037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000-000038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000-000039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000-00003A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000-00001C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000-00001D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000-00001E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000-00001F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000-000020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000-000021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000-000022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000-000023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000-000024000000}">
      <text>
        <r>
          <rPr>
            <sz val="10"/>
            <rFont val="Arial"/>
            <family val="2"/>
          </rPr>
          <t>AUTO-COMPUTED
Months with salary received ÷ 14 total months.
Per month: checks creditDebitIndicator=KSAOB.Credit AND subTransactionType=KSAOB.Deposit.
Change subTransactionType on salary rows → regularity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1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1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100-000023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100-000037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100-000003000000}">
      <text>
        <r>
          <rPr>
            <sz val="10"/>
            <rFont val="Arial"/>
            <family val="2"/>
          </rPr>
          <t>Month 1: 2025-03
Formula: SUMPRODUCT( (LEFT(C,7)='2025-03')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100-000024000000}">
      <text>
        <r>
          <rPr>
            <sz val="10"/>
            <rFont val="Arial"/>
            <family val="2"/>
          </rPr>
          <t>Month 1: 2025-03
Formula: SUMPRODUCT( (LEFT(C,7)='2025-03') * (E='KSAOB.Debit') * (M=6012) * G )
Change amount(G), creditDebitIndicator(E), or MCC(M) in any row → this cell recalculates.</t>
        </r>
      </text>
    </comment>
    <comment ref="V9" authorId="0" shapeId="0" xr:uid="{00000000-0006-0000-0100-000038000000}">
      <text>
        <r>
          <rPr>
            <sz val="10"/>
            <rFont val="Arial"/>
            <family val="2"/>
          </rPr>
          <t>Month 1: 2025-03
Formula: SUMPRODUCT( (LEFT(C,7)='2025-03') * (E='KSAOB.Debit') * (M≠6012) * G )
Change amount(G), creditDebitIndicator(E), or MCC(M) in any row → this cell recalculates.</t>
        </r>
      </text>
    </comment>
    <comment ref="T10" authorId="0" shapeId="0" xr:uid="{00000000-0006-0000-0100-000004000000}">
      <text>
        <r>
          <rPr>
            <sz val="10"/>
            <rFont val="Arial"/>
            <family val="2"/>
          </rPr>
          <t>Month 2: 2025-04
Formula: SUMPRODUCT( (LEFT(C,7)='2025-04')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100-000025000000}">
      <text>
        <r>
          <rPr>
            <sz val="10"/>
            <rFont val="Arial"/>
            <family val="2"/>
          </rPr>
          <t>Month 2: 2025-04
Formula: SUMPRODUCT( (LEFT(C,7)='2025-04') * (E='KSAOB.Debit') * (M=6012) * G )
Change amount(G), creditDebitIndicator(E), or MCC(M) in any row → this cell recalculates.</t>
        </r>
      </text>
    </comment>
    <comment ref="V10" authorId="0" shapeId="0" xr:uid="{00000000-0006-0000-0100-000039000000}">
      <text>
        <r>
          <rPr>
            <sz val="10"/>
            <rFont val="Arial"/>
            <family val="2"/>
          </rPr>
          <t>Month 2: 2025-04
Formula: SUMPRODUCT( (LEFT(C,7)='2025-04') * (E='KSAOB.Debit') * (M≠6012) * G )
Change amount(G), creditDebitIndicator(E), or MCC(M) in any row → this cell recalculates.</t>
        </r>
      </text>
    </comment>
    <comment ref="T11" authorId="0" shapeId="0" xr:uid="{00000000-0006-0000-0100-000005000000}">
      <text>
        <r>
          <rPr>
            <sz val="10"/>
            <rFont val="Arial"/>
            <family val="2"/>
          </rPr>
          <t>Month 3: 2025-05
Formula: SUMPRODUCT( (LEFT(C,7)='2025-05')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100-000026000000}">
      <text>
        <r>
          <rPr>
            <sz val="10"/>
            <rFont val="Arial"/>
            <family val="2"/>
          </rPr>
          <t>Month 3: 2025-05
Formula: SUMPRODUCT( (LEFT(C,7)='2025-05') * (E='KSAOB.Debit') * (M=6012) * G )
Change amount(G), creditDebitIndicator(E), or MCC(M) in any row → this cell recalculates.</t>
        </r>
      </text>
    </comment>
    <comment ref="V11" authorId="0" shapeId="0" xr:uid="{00000000-0006-0000-0100-00003A000000}">
      <text>
        <r>
          <rPr>
            <sz val="10"/>
            <rFont val="Arial"/>
            <family val="2"/>
          </rPr>
          <t>Month 3: 2025-05
Formula: SUMPRODUCT( (LEFT(C,7)='2025-05') * (E='KSAOB.Debit') * (M≠6012) * G )
Change amount(G), creditDebitIndicator(E), or MCC(M) in any row → this cell recalculates.</t>
        </r>
      </text>
    </comment>
    <comment ref="T12" authorId="0" shapeId="0" xr:uid="{00000000-0006-0000-0100-000006000000}">
      <text>
        <r>
          <rPr>
            <sz val="10"/>
            <rFont val="Arial"/>
            <family val="2"/>
          </rPr>
          <t>Month 4: 2025-06
Formula: SUMPRODUCT( (LEFT(C,7)='2025-06')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100-000027000000}">
      <text>
        <r>
          <rPr>
            <sz val="10"/>
            <rFont val="Arial"/>
            <family val="2"/>
          </rPr>
          <t>Month 4: 2025-06
Formula: SUMPRODUCT( (LEFT(C,7)='2025-06') * (E='KSAOB.Debit') * (M=6012) * G )
Change amount(G), creditDebitIndicator(E), or MCC(M) in any row → this cell recalculates.</t>
        </r>
      </text>
    </comment>
    <comment ref="V12" authorId="0" shapeId="0" xr:uid="{00000000-0006-0000-0100-00003B000000}">
      <text>
        <r>
          <rPr>
            <sz val="10"/>
            <rFont val="Arial"/>
            <family val="2"/>
          </rPr>
          <t>Month 4: 2025-06
Formula: SUMPRODUCT( (LEFT(C,7)='2025-06') * (E='KSAOB.Debit') * (M≠6012) * G )
Change amount(G), creditDebitIndicator(E), or MCC(M) in any row → this cell recalculates.</t>
        </r>
      </text>
    </comment>
    <comment ref="T13" authorId="0" shapeId="0" xr:uid="{00000000-0006-0000-0100-000007000000}">
      <text>
        <r>
          <rPr>
            <sz val="10"/>
            <rFont val="Arial"/>
            <family val="2"/>
          </rPr>
          <t>Month 5: 2025-07
Formula: SUMPRODUCT( (LEFT(C,7)='2025-07')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100-000028000000}">
      <text>
        <r>
          <rPr>
            <sz val="10"/>
            <rFont val="Arial"/>
            <family val="2"/>
          </rPr>
          <t>Month 5: 2025-07
Formula: SUMPRODUCT( (LEFT(C,7)='2025-07') * (E='KSAOB.Debit') * (M=6012) * G )
Change amount(G), creditDebitIndicator(E), or MCC(M) in any row → this cell recalculates.</t>
        </r>
      </text>
    </comment>
    <comment ref="V13" authorId="0" shapeId="0" xr:uid="{00000000-0006-0000-0100-00003C000000}">
      <text>
        <r>
          <rPr>
            <sz val="10"/>
            <rFont val="Arial"/>
            <family val="2"/>
          </rPr>
          <t>Month 5: 2025-07
Formula: SUMPRODUCT( (LEFT(C,7)='2025-07') * (E='KSAOB.Debit') * (M≠6012) * G )
Change amount(G), creditDebitIndicator(E), or MCC(M) in any row → this cell recalculates.</t>
        </r>
      </text>
    </comment>
    <comment ref="T14" authorId="0" shapeId="0" xr:uid="{00000000-0006-0000-0100-000008000000}">
      <text>
        <r>
          <rPr>
            <sz val="10"/>
            <rFont val="Arial"/>
            <family val="2"/>
          </rPr>
          <t>Month 6: 2025-08
Formula: SUMPRODUCT( (LEFT(C,7)='2025-08')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100-000029000000}">
      <text>
        <r>
          <rPr>
            <sz val="10"/>
            <rFont val="Arial"/>
            <family val="2"/>
          </rPr>
          <t>Month 6: 2025-08
Formula: SUMPRODUCT( (LEFT(C,7)='2025-08') * (E='KSAOB.Debit') * (M=6012) * G )
Change amount(G), creditDebitIndicator(E), or MCC(M) in any row → this cell recalculates.</t>
        </r>
      </text>
    </comment>
    <comment ref="V14" authorId="0" shapeId="0" xr:uid="{00000000-0006-0000-0100-00003D000000}">
      <text>
        <r>
          <rPr>
            <sz val="10"/>
            <rFont val="Arial"/>
            <family val="2"/>
          </rPr>
          <t>Month 6: 2025-08
Formula: SUMPRODUCT( (LEFT(C,7)='2025-08') * (E='KSAOB.Debit') * (M≠6012) * G )
Change amount(G), creditDebitIndicator(E), or MCC(M) in any row → this cell recalculates.</t>
        </r>
      </text>
    </comment>
    <comment ref="T15" authorId="0" shapeId="0" xr:uid="{00000000-0006-0000-0100-000009000000}">
      <text>
        <r>
          <rPr>
            <sz val="10"/>
            <rFont val="Arial"/>
            <family val="2"/>
          </rPr>
          <t>Month 7: 2025-09
Formula: SUMPRODUCT( (LEFT(C,7)='2025-09')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100-00002A000000}">
      <text>
        <r>
          <rPr>
            <sz val="10"/>
            <rFont val="Arial"/>
            <family val="2"/>
          </rPr>
          <t>Month 7: 2025-09
Formula: SUMPRODUCT( (LEFT(C,7)='2025-09') * (E='KSAOB.Debit') * (M=6012) * G )
Change amount(G), creditDebitIndicator(E), or MCC(M) in any row → this cell recalculates.</t>
        </r>
      </text>
    </comment>
    <comment ref="V15" authorId="0" shapeId="0" xr:uid="{00000000-0006-0000-0100-00003E000000}">
      <text>
        <r>
          <rPr>
            <sz val="10"/>
            <rFont val="Arial"/>
            <family val="2"/>
          </rPr>
          <t>Month 7: 2025-09
Formula: SUMPRODUCT( (LEFT(C,7)='2025-09') * (E='KSAOB.Debit') * (M≠6012) * G )
Change amount(G), creditDebitIndicator(E), or MCC(M) in any row → this cell recalculates.</t>
        </r>
      </text>
    </comment>
    <comment ref="T16" authorId="0" shapeId="0" xr:uid="{00000000-0006-0000-0100-00000A000000}">
      <text>
        <r>
          <rPr>
            <sz val="10"/>
            <rFont val="Arial"/>
            <family val="2"/>
          </rPr>
          <t>Month 8: 2025-10
Formula: SUMPRODUCT( (LEFT(C,7)='2025-10')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100-00002B000000}">
      <text>
        <r>
          <rPr>
            <sz val="10"/>
            <rFont val="Arial"/>
            <family val="2"/>
          </rPr>
          <t>Month 8: 2025-10
Formula: SUMPRODUCT( (LEFT(C,7)='2025-10') * (E='KSAOB.Debit') * (M=6012) * G )
Change amount(G), creditDebitIndicator(E), or MCC(M) in any row → this cell recalculates.</t>
        </r>
      </text>
    </comment>
    <comment ref="V16" authorId="0" shapeId="0" xr:uid="{00000000-0006-0000-0100-00003F000000}">
      <text>
        <r>
          <rPr>
            <sz val="10"/>
            <rFont val="Arial"/>
            <family val="2"/>
          </rPr>
          <t>Month 8: 2025-10
Formula: SUMPRODUCT( (LEFT(C,7)='2025-10') * (E='KSAOB.Debit') * (M≠6012) * G )
Change amount(G), creditDebitIndicator(E), or MCC(M) in any row → this cell recalculates.</t>
        </r>
      </text>
    </comment>
    <comment ref="T17" authorId="0" shapeId="0" xr:uid="{00000000-0006-0000-0100-00000B000000}">
      <text>
        <r>
          <rPr>
            <sz val="10"/>
            <rFont val="Arial"/>
            <family val="2"/>
          </rPr>
          <t>Month 9: 2025-11
Formula: SUMPRODUCT( (LEFT(C,7)='2025-11')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100-00002C000000}">
      <text>
        <r>
          <rPr>
            <sz val="10"/>
            <rFont val="Arial"/>
            <family val="2"/>
          </rPr>
          <t>Month 9: 2025-11
Formula: SUMPRODUCT( (LEFT(C,7)='2025-11') * (E='KSAOB.Debit') * (M=6012) * G )
Change amount(G), creditDebitIndicator(E), or MCC(M) in any row → this cell recalculates.</t>
        </r>
      </text>
    </comment>
    <comment ref="V17" authorId="0" shapeId="0" xr:uid="{00000000-0006-0000-0100-000040000000}">
      <text>
        <r>
          <rPr>
            <sz val="10"/>
            <rFont val="Arial"/>
            <family val="2"/>
          </rPr>
          <t>Month 9: 2025-11
Formula: SUMPRODUCT( (LEFT(C,7)='2025-11') * (E='KSAOB.Debit') * (M≠6012) * G )
Change amount(G), creditDebitIndicator(E), or MCC(M) in any row → this cell recalculates.</t>
        </r>
      </text>
    </comment>
    <comment ref="T18" authorId="0" shapeId="0" xr:uid="{00000000-0006-0000-0100-00000C000000}">
      <text>
        <r>
          <rPr>
            <sz val="10"/>
            <rFont val="Arial"/>
            <family val="2"/>
          </rPr>
          <t>Month 10: 2025-12
Formula: SUMPRODUCT( (LEFT(C,7)='2025-12') * (E='KSAOB.Credit') * (K='KSAOB.Deposit') * G )
Change amount(G), creditDebitIndicator(E), or subTransactionType(K) in any row → this cell recalculates.</t>
        </r>
      </text>
    </comment>
    <comment ref="U18" authorId="0" shapeId="0" xr:uid="{00000000-0006-0000-0100-00002D000000}">
      <text>
        <r>
          <rPr>
            <sz val="10"/>
            <rFont val="Arial"/>
            <family val="2"/>
          </rPr>
          <t>Month 10: 2025-12
Formula: SUMPRODUCT( (LEFT(C,7)='2025-12') * (E='KSAOB.Debit') * (M=6012) * G )
Change amount(G), creditDebitIndicator(E), or MCC(M) in any row → this cell recalculates.</t>
        </r>
      </text>
    </comment>
    <comment ref="V18" authorId="0" shapeId="0" xr:uid="{00000000-0006-0000-0100-000041000000}">
      <text>
        <r>
          <rPr>
            <sz val="10"/>
            <rFont val="Arial"/>
            <family val="2"/>
          </rPr>
          <t>Month 10: 2025-12
Formula: SUMPRODUCT( (LEFT(C,7)='2025-12') * (E='KSAOB.Debit') * (M≠6012) * G )
Change amount(G), creditDebitIndicator(E), or MCC(M) in any row → this cell recalculates.</t>
        </r>
      </text>
    </comment>
    <comment ref="T19" authorId="0" shapeId="0" xr:uid="{00000000-0006-0000-0100-00000D000000}">
      <text>
        <r>
          <rPr>
            <sz val="10"/>
            <rFont val="Arial"/>
            <family val="2"/>
          </rPr>
          <t>Month 11: 2026-01
Formula: SUMPRODUCT( (LEFT(C,7)='2026-01') * (E='KSAOB.Credit') * (K='KSAOB.Deposit') * G )
Change amount(G), creditDebitIndicator(E), or subTransactionType(K) in any row → this cell recalculates.</t>
        </r>
      </text>
    </comment>
    <comment ref="U19" authorId="0" shapeId="0" xr:uid="{00000000-0006-0000-0100-00002E000000}">
      <text>
        <r>
          <rPr>
            <sz val="10"/>
            <rFont val="Arial"/>
            <family val="2"/>
          </rPr>
          <t>Month 11: 2026-01
Formula: SUMPRODUCT( (LEFT(C,7)='2026-01') * (E='KSAOB.Debit') * (M=6012) * G )
Change amount(G), creditDebitIndicator(E), or MCC(M) in any row → this cell recalculates.</t>
        </r>
      </text>
    </comment>
    <comment ref="V19" authorId="0" shapeId="0" xr:uid="{00000000-0006-0000-0100-000042000000}">
      <text>
        <r>
          <rPr>
            <sz val="10"/>
            <rFont val="Arial"/>
            <family val="2"/>
          </rPr>
          <t>Month 11: 2026-01
Formula: SUMPRODUCT( (LEFT(C,7)='2026-01') * (E='KSAOB.Debit') * (M≠6012) * G )
Change amount(G), creditDebitIndicator(E), or MCC(M) in any row → this cell recalculates.</t>
        </r>
      </text>
    </comment>
    <comment ref="T20" authorId="0" shapeId="0" xr:uid="{00000000-0006-0000-0100-00000E000000}">
      <text>
        <r>
          <rPr>
            <sz val="10"/>
            <rFont val="Arial"/>
            <family val="2"/>
          </rPr>
          <t>Month 12: 2026-02
Formula: SUMPRODUCT( (LEFT(C,7)='2026-02') * (E='KSAOB.Credit') * (K='KSAOB.Deposit') * G )
Change amount(G), creditDebitIndicator(E), or subTransactionType(K) in any row → this cell recalculates.</t>
        </r>
      </text>
    </comment>
    <comment ref="U20" authorId="0" shapeId="0" xr:uid="{00000000-0006-0000-0100-00002F000000}">
      <text>
        <r>
          <rPr>
            <sz val="10"/>
            <rFont val="Arial"/>
            <family val="2"/>
          </rPr>
          <t>Month 12: 2026-02
Formula: SUMPRODUCT( (LEFT(C,7)='2026-02') * (E='KSAOB.Debit') * (M=6012) * G )
Change amount(G), creditDebitIndicator(E), or MCC(M) in any row → this cell recalculates.</t>
        </r>
      </text>
    </comment>
    <comment ref="V20" authorId="0" shapeId="0" xr:uid="{00000000-0006-0000-0100-000043000000}">
      <text>
        <r>
          <rPr>
            <sz val="10"/>
            <rFont val="Arial"/>
            <family val="2"/>
          </rPr>
          <t>Month 12: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100-00000F000000}">
      <text>
        <r>
          <rPr>
            <sz val="10"/>
            <rFont val="Arial"/>
            <family val="2"/>
          </rPr>
          <t>Average salary income across all 12 months.
Formula: AVERAGEIF(T9:T20,"&gt;0") — skips empty month slots.</t>
        </r>
      </text>
    </comment>
    <comment ref="T28" authorId="0" shapeId="0" xr:uid="{00000000-0006-0000-0100-000010000000}">
      <text>
        <r>
          <rPr>
            <sz val="10"/>
            <rFont val="Arial"/>
            <family val="2"/>
          </rPr>
          <t>MEDIAN(T9:T20)
Median of all monthly salary rows. Used only to set spike threshold below.</t>
        </r>
      </text>
    </comment>
    <comment ref="T29" authorId="0" shapeId="0" xr:uid="{00000000-0006-0000-0100-000011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100-000012000000}">
      <text>
        <r>
          <rPr>
            <sz val="10"/>
            <rFont val="Arial"/>
            <family val="2"/>
          </rPr>
          <t>MEDIAN(MIN(T18,T29), MIN(T19,T29), MIN(T20,T29))
Takes salary from rows 18 (2025-12), 19 (2026-01), 20 (2026-02).
Each capped at spike threshold before MEDIAN → spike months don't inflate score.</t>
        </r>
      </text>
    </comment>
    <comment ref="T31" authorId="0" shapeId="0" xr:uid="{00000000-0006-0000-0100-000013000000}">
      <text>
        <r>
          <rPr>
            <sz val="10"/>
            <rFont val="Arial"/>
            <family val="2"/>
          </rPr>
          <t>=T20  (salary SUMPRODUCT for 2026-02)
Total salary/deposit credits in the MOST RECENT month only.
Represents current salary bracket for risk categorisation.</t>
        </r>
      </text>
    </comment>
    <comment ref="T32" authorId="0" shapeId="0" xr:uid="{00000000-0006-0000-0100-000014000000}">
      <text>
        <r>
          <rPr>
            <sz val="10"/>
            <rFont val="Arial"/>
            <family val="2"/>
          </rPr>
          <t>=U20  (loan SUMPRODUCT for 2026-02)
SUM of all MCC=6012 debits in the LAST MONTH only.
Change amount or MCC on any row → this value updates.</t>
        </r>
      </text>
    </comment>
    <comment ref="T33" authorId="0" shapeId="0" xr:uid="{00000000-0006-0000-0100-000015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100-000016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100-000017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100-000018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100-000019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100-000030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100-000031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100-000032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100-000033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100-000034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100-000035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100-000036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100-00001A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100-00001B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100-00001C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100-00001D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100-00001E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100-00001F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100-000020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100-000021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100-000022000000}">
      <text>
        <r>
          <rPr>
            <sz val="10"/>
            <rFont val="Arial"/>
            <family val="2"/>
          </rPr>
          <t>AUTO-COMPUTED
Months with salary received ÷ 12 total months.
Per month: checks creditDebitIndicator=KSAOB.Credit AND subTransactionType=KSAOB.Deposit.
Change subTransactionType on salary rows → regularity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2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2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200-000020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200-000031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200-000003000000}">
      <text>
        <r>
          <rPr>
            <sz val="10"/>
            <rFont val="Arial"/>
            <family val="2"/>
          </rPr>
          <t>Month 1: 2025-06
Formula: SUMPRODUCT( (LEFT(C,7)='2025-06')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200-000021000000}">
      <text>
        <r>
          <rPr>
            <sz val="10"/>
            <rFont val="Arial"/>
            <family val="2"/>
          </rPr>
          <t>Month 1: 2025-06
Formula: SUMPRODUCT( (LEFT(C,7)='2025-06') * (E='KSAOB.Debit') * (M=6012) * G )
Change amount(G), creditDebitIndicator(E), or MCC(M) in any row → this cell recalculates.</t>
        </r>
      </text>
    </comment>
    <comment ref="V9" authorId="0" shapeId="0" xr:uid="{00000000-0006-0000-0200-000032000000}">
      <text>
        <r>
          <rPr>
            <sz val="10"/>
            <rFont val="Arial"/>
            <family val="2"/>
          </rPr>
          <t>Month 1: 2025-06
Formula: SUMPRODUCT( (LEFT(C,7)='2025-06') * (E='KSAOB.Debit') * (M≠6012) * G )
Change amount(G), creditDebitIndicator(E), or MCC(M) in any row → this cell recalculates.</t>
        </r>
      </text>
    </comment>
    <comment ref="T10" authorId="0" shapeId="0" xr:uid="{00000000-0006-0000-0200-000004000000}">
      <text>
        <r>
          <rPr>
            <sz val="10"/>
            <rFont val="Arial"/>
            <family val="2"/>
          </rPr>
          <t>Month 2: 2025-07
Formula: SUMPRODUCT( (LEFT(C,7)='2025-07')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200-000022000000}">
      <text>
        <r>
          <rPr>
            <sz val="10"/>
            <rFont val="Arial"/>
            <family val="2"/>
          </rPr>
          <t>Month 2: 2025-07
Formula: SUMPRODUCT( (LEFT(C,7)='2025-07') * (E='KSAOB.Debit') * (M=6012) * G )
Change amount(G), creditDebitIndicator(E), or MCC(M) in any row → this cell recalculates.</t>
        </r>
      </text>
    </comment>
    <comment ref="V10" authorId="0" shapeId="0" xr:uid="{00000000-0006-0000-0200-000033000000}">
      <text>
        <r>
          <rPr>
            <sz val="10"/>
            <rFont val="Arial"/>
            <family val="2"/>
          </rPr>
          <t>Month 2: 2025-07
Formula: SUMPRODUCT( (LEFT(C,7)='2025-07') * (E='KSAOB.Debit') * (M≠6012) * G )
Change amount(G), creditDebitIndicator(E), or MCC(M) in any row → this cell recalculates.</t>
        </r>
      </text>
    </comment>
    <comment ref="T11" authorId="0" shapeId="0" xr:uid="{00000000-0006-0000-0200-000005000000}">
      <text>
        <r>
          <rPr>
            <sz val="10"/>
            <rFont val="Arial"/>
            <family val="2"/>
          </rPr>
          <t>Month 3: 2025-08
Formula: SUMPRODUCT( (LEFT(C,7)='2025-08')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200-000023000000}">
      <text>
        <r>
          <rPr>
            <sz val="10"/>
            <rFont val="Arial"/>
            <family val="2"/>
          </rPr>
          <t>Month 3: 2025-08
Formula: SUMPRODUCT( (LEFT(C,7)='2025-08') * (E='KSAOB.Debit') * (M=6012) * G )
Change amount(G), creditDebitIndicator(E), or MCC(M) in any row → this cell recalculates.</t>
        </r>
      </text>
    </comment>
    <comment ref="V11" authorId="0" shapeId="0" xr:uid="{00000000-0006-0000-0200-000034000000}">
      <text>
        <r>
          <rPr>
            <sz val="10"/>
            <rFont val="Arial"/>
            <family val="2"/>
          </rPr>
          <t>Month 3: 2025-08
Formula: SUMPRODUCT( (LEFT(C,7)='2025-08') * (E='KSAOB.Debit') * (M≠6012) * G )
Change amount(G), creditDebitIndicator(E), or MCC(M) in any row → this cell recalculates.</t>
        </r>
      </text>
    </comment>
    <comment ref="T12" authorId="0" shapeId="0" xr:uid="{00000000-0006-0000-0200-000006000000}">
      <text>
        <r>
          <rPr>
            <sz val="10"/>
            <rFont val="Arial"/>
            <family val="2"/>
          </rPr>
          <t>Month 4: 2025-09
Formula: SUMPRODUCT( (LEFT(C,7)='2025-09')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200-000024000000}">
      <text>
        <r>
          <rPr>
            <sz val="10"/>
            <rFont val="Arial"/>
            <family val="2"/>
          </rPr>
          <t>Month 4: 2025-09
Formula: SUMPRODUCT( (LEFT(C,7)='2025-09') * (E='KSAOB.Debit') * (M=6012) * G )
Change amount(G), creditDebitIndicator(E), or MCC(M) in any row → this cell recalculates.</t>
        </r>
      </text>
    </comment>
    <comment ref="V12" authorId="0" shapeId="0" xr:uid="{00000000-0006-0000-0200-000035000000}">
      <text>
        <r>
          <rPr>
            <sz val="10"/>
            <rFont val="Arial"/>
            <family val="2"/>
          </rPr>
          <t>Month 4: 2025-09
Formula: SUMPRODUCT( (LEFT(C,7)='2025-09') * (E='KSAOB.Debit') * (M≠6012) * G )
Change amount(G), creditDebitIndicator(E), or MCC(M) in any row → this cell recalculates.</t>
        </r>
      </text>
    </comment>
    <comment ref="T13" authorId="0" shapeId="0" xr:uid="{00000000-0006-0000-0200-000007000000}">
      <text>
        <r>
          <rPr>
            <sz val="10"/>
            <rFont val="Arial"/>
            <family val="2"/>
          </rPr>
          <t>Month 5: 2025-10
Formula: SUMPRODUCT( (LEFT(C,7)='2025-10')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200-000025000000}">
      <text>
        <r>
          <rPr>
            <sz val="10"/>
            <rFont val="Arial"/>
            <family val="2"/>
          </rPr>
          <t>Month 5: 2025-10
Formula: SUMPRODUCT( (LEFT(C,7)='2025-10') * (E='KSAOB.Debit') * (M=6012) * G )
Change amount(G), creditDebitIndicator(E), or MCC(M) in any row → this cell recalculates.</t>
        </r>
      </text>
    </comment>
    <comment ref="V13" authorId="0" shapeId="0" xr:uid="{00000000-0006-0000-0200-000036000000}">
      <text>
        <r>
          <rPr>
            <sz val="10"/>
            <rFont val="Arial"/>
            <family val="2"/>
          </rPr>
          <t>Month 5: 2025-10
Formula: SUMPRODUCT( (LEFT(C,7)='2025-10') * (E='KSAOB.Debit') * (M≠6012) * G )
Change amount(G), creditDebitIndicator(E), or MCC(M) in any row → this cell recalculates.</t>
        </r>
      </text>
    </comment>
    <comment ref="T14" authorId="0" shapeId="0" xr:uid="{00000000-0006-0000-0200-000008000000}">
      <text>
        <r>
          <rPr>
            <sz val="10"/>
            <rFont val="Arial"/>
            <family val="2"/>
          </rPr>
          <t>Month 6: 2025-11
Formula: SUMPRODUCT( (LEFT(C,7)='2025-11')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200-000026000000}">
      <text>
        <r>
          <rPr>
            <sz val="10"/>
            <rFont val="Arial"/>
            <family val="2"/>
          </rPr>
          <t>Month 6: 2025-11
Formula: SUMPRODUCT( (LEFT(C,7)='2025-11') * (E='KSAOB.Debit') * (M=6012) * G )
Change amount(G), creditDebitIndicator(E), or MCC(M) in any row → this cell recalculates.</t>
        </r>
      </text>
    </comment>
    <comment ref="V14" authorId="0" shapeId="0" xr:uid="{00000000-0006-0000-0200-000037000000}">
      <text>
        <r>
          <rPr>
            <sz val="10"/>
            <rFont val="Arial"/>
            <family val="2"/>
          </rPr>
          <t>Month 6: 2025-11
Formula: SUMPRODUCT( (LEFT(C,7)='2025-11') * (E='KSAOB.Debit') * (M≠6012) * G )
Change amount(G), creditDebitIndicator(E), or MCC(M) in any row → this cell recalculates.</t>
        </r>
      </text>
    </comment>
    <comment ref="T15" authorId="0" shapeId="0" xr:uid="{00000000-0006-0000-0200-000009000000}">
      <text>
        <r>
          <rPr>
            <sz val="10"/>
            <rFont val="Arial"/>
            <family val="2"/>
          </rPr>
          <t>Month 7: 2025-12
Formula: SUMPRODUCT( (LEFT(C,7)='2025-12')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200-000027000000}">
      <text>
        <r>
          <rPr>
            <sz val="10"/>
            <rFont val="Arial"/>
            <family val="2"/>
          </rPr>
          <t>Month 7: 2025-12
Formula: SUMPRODUCT( (LEFT(C,7)='2025-12') * (E='KSAOB.Debit') * (M=6012) * G )
Change amount(G), creditDebitIndicator(E), or MCC(M) in any row → this cell recalculates.</t>
        </r>
      </text>
    </comment>
    <comment ref="V15" authorId="0" shapeId="0" xr:uid="{00000000-0006-0000-0200-000038000000}">
      <text>
        <r>
          <rPr>
            <sz val="10"/>
            <rFont val="Arial"/>
            <family val="2"/>
          </rPr>
          <t>Month 7: 2025-12
Formula: SUMPRODUCT( (LEFT(C,7)='2025-12') * (E='KSAOB.Debit') * (M≠6012) * G )
Change amount(G), creditDebitIndicator(E), or MCC(M) in any row → this cell recalculates.</t>
        </r>
      </text>
    </comment>
    <comment ref="T16" authorId="0" shapeId="0" xr:uid="{00000000-0006-0000-0200-00000A000000}">
      <text>
        <r>
          <rPr>
            <sz val="10"/>
            <rFont val="Arial"/>
            <family val="2"/>
          </rPr>
          <t>Month 8: 2026-01
Formula: SUMPRODUCT( (LEFT(C,7)='2026-01')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200-000028000000}">
      <text>
        <r>
          <rPr>
            <sz val="10"/>
            <rFont val="Arial"/>
            <family val="2"/>
          </rPr>
          <t>Month 8: 2026-01
Formula: SUMPRODUCT( (LEFT(C,7)='2026-01') * (E='KSAOB.Debit') * (M=6012) * G )
Change amount(G), creditDebitIndicator(E), or MCC(M) in any row → this cell recalculates.</t>
        </r>
      </text>
    </comment>
    <comment ref="V16" authorId="0" shapeId="0" xr:uid="{00000000-0006-0000-0200-000039000000}">
      <text>
        <r>
          <rPr>
            <sz val="10"/>
            <rFont val="Arial"/>
            <family val="2"/>
          </rPr>
          <t>Month 8: 2026-01
Formula: SUMPRODUCT( (LEFT(C,7)='2026-01') * (E='KSAOB.Debit') * (M≠6012) * G )
Change amount(G), creditDebitIndicator(E), or MCC(M) in any row → this cell recalculates.</t>
        </r>
      </text>
    </comment>
    <comment ref="T17" authorId="0" shapeId="0" xr:uid="{00000000-0006-0000-0200-00000B000000}">
      <text>
        <r>
          <rPr>
            <sz val="10"/>
            <rFont val="Arial"/>
            <family val="2"/>
          </rPr>
          <t>Month 9: 2026-02
Formula: SUMPRODUCT( (LEFT(C,7)='2026-02')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200-000029000000}">
      <text>
        <r>
          <rPr>
            <sz val="10"/>
            <rFont val="Arial"/>
            <family val="2"/>
          </rPr>
          <t>Month 9: 2026-02
Formula: SUMPRODUCT( (LEFT(C,7)='2026-02') * (E='KSAOB.Debit') * (M=6012) * G )
Change amount(G), creditDebitIndicator(E), or MCC(M) in any row → this cell recalculates.</t>
        </r>
      </text>
    </comment>
    <comment ref="V17" authorId="0" shapeId="0" xr:uid="{00000000-0006-0000-0200-00003A000000}">
      <text>
        <r>
          <rPr>
            <sz val="10"/>
            <rFont val="Arial"/>
            <family val="2"/>
          </rPr>
          <t>Month 9: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200-00000C000000}">
      <text>
        <r>
          <rPr>
            <sz val="10"/>
            <rFont val="Arial"/>
            <family val="2"/>
          </rPr>
          <t>Average salary income across all 9 months.
Formula: AVERAGEIF(T9:T17,"&gt;0") — skips empty month slots.</t>
        </r>
      </text>
    </comment>
    <comment ref="T28" authorId="0" shapeId="0" xr:uid="{00000000-0006-0000-0200-00000D000000}">
      <text>
        <r>
          <rPr>
            <sz val="10"/>
            <rFont val="Arial"/>
            <family val="2"/>
          </rPr>
          <t>MEDIAN(T9:T17)
Median of all monthly salary rows. Used only to set spike threshold below.</t>
        </r>
      </text>
    </comment>
    <comment ref="T29" authorId="0" shapeId="0" xr:uid="{00000000-0006-0000-0200-00000E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200-00000F000000}">
      <text>
        <r>
          <rPr>
            <sz val="10"/>
            <rFont val="Arial"/>
            <family val="2"/>
          </rPr>
          <t>MEDIAN(MIN(T15,T29), MIN(T16,T29), MIN(T17,T29))
Takes salary from rows 15 (2025-12), 16 (2026-01), 17 (2026-02).
Each capped at spike threshold before MEDIAN → spike months don't inflate score.</t>
        </r>
      </text>
    </comment>
    <comment ref="T31" authorId="0" shapeId="0" xr:uid="{00000000-0006-0000-0200-000010000000}">
      <text>
        <r>
          <rPr>
            <sz val="10"/>
            <rFont val="Arial"/>
            <family val="2"/>
          </rPr>
          <t>=T17  (salary SUMPRODUCT for 2026-02)
Total salary/deposit credits in the MOST RECENT month only.
Represents current salary bracket for risk categorisation.</t>
        </r>
      </text>
    </comment>
    <comment ref="T32" authorId="0" shapeId="0" xr:uid="{00000000-0006-0000-0200-000011000000}">
      <text>
        <r>
          <rPr>
            <sz val="10"/>
            <rFont val="Arial"/>
            <family val="2"/>
          </rPr>
          <t>=U17  (loan SUMPRODUCT for 2026-02)
SUM of all MCC=6012 debits in the LAST MONTH only.
Change amount or MCC on any row → this value updates.</t>
        </r>
      </text>
    </comment>
    <comment ref="T33" authorId="0" shapeId="0" xr:uid="{00000000-0006-0000-0200-000012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200-000013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200-000014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200-000015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200-000016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200-00002A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200-00002B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200-00002C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200-00002D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200-00002E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200-00002F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200-000030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200-000017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200-000018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200-000019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200-00001A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200-00001B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200-00001C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200-00001D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200-00001E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200-00001F000000}">
      <text>
        <r>
          <rPr>
            <sz val="10"/>
            <rFont val="Arial"/>
            <family val="2"/>
          </rPr>
          <t>AUTO-COMPUTED
Months with salary received ÷ 9 total months.
Per month: checks creditDebitIndicator=KSAOB.Credit AND subTransactionType=KSAOB.Deposit.
Change subTransactionType on salary rows → regularity updates.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3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3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300-00001D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300-00002B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300-000003000000}">
      <text>
        <r>
          <rPr>
            <sz val="10"/>
            <rFont val="Arial"/>
            <family val="2"/>
          </rPr>
          <t>Month 1: 2025-09
Formula: SUMPRODUCT( (LEFT(C,7)='2025-09')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300-00001E000000}">
      <text>
        <r>
          <rPr>
            <sz val="10"/>
            <rFont val="Arial"/>
            <family val="2"/>
          </rPr>
          <t>Month 1: 2025-09
Formula: SUMPRODUCT( (LEFT(C,7)='2025-09') * (E='KSAOB.Debit') * (M=6012) * G )
Change amount(G), creditDebitIndicator(E), or MCC(M) in any row → this cell recalculates.</t>
        </r>
      </text>
    </comment>
    <comment ref="V9" authorId="0" shapeId="0" xr:uid="{00000000-0006-0000-0300-00002C000000}">
      <text>
        <r>
          <rPr>
            <sz val="10"/>
            <rFont val="Arial"/>
            <family val="2"/>
          </rPr>
          <t>Month 1: 2025-09
Formula: SUMPRODUCT( (LEFT(C,7)='2025-09') * (E='KSAOB.Debit') * (M≠6012) * G )
Change amount(G), creditDebitIndicator(E), or MCC(M) in any row → this cell recalculates.</t>
        </r>
      </text>
    </comment>
    <comment ref="T10" authorId="0" shapeId="0" xr:uid="{00000000-0006-0000-0300-000004000000}">
      <text>
        <r>
          <rPr>
            <sz val="10"/>
            <rFont val="Arial"/>
            <family val="2"/>
          </rPr>
          <t>Month 2: 2025-10
Formula: SUMPRODUCT( (LEFT(C,7)='2025-10')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300-00001F000000}">
      <text>
        <r>
          <rPr>
            <sz val="10"/>
            <rFont val="Arial"/>
            <family val="2"/>
          </rPr>
          <t>Month 2: 2025-10
Formula: SUMPRODUCT( (LEFT(C,7)='2025-10') * (E='KSAOB.Debit') * (M=6012) * G )
Change amount(G), creditDebitIndicator(E), or MCC(M) in any row → this cell recalculates.</t>
        </r>
      </text>
    </comment>
    <comment ref="V10" authorId="0" shapeId="0" xr:uid="{00000000-0006-0000-0300-00002D000000}">
      <text>
        <r>
          <rPr>
            <sz val="10"/>
            <rFont val="Arial"/>
            <family val="2"/>
          </rPr>
          <t>Month 2: 2025-10
Formula: SUMPRODUCT( (LEFT(C,7)='2025-10') * (E='KSAOB.Debit') * (M≠6012) * G )
Change amount(G), creditDebitIndicator(E), or MCC(M) in any row → this cell recalculates.</t>
        </r>
      </text>
    </comment>
    <comment ref="T11" authorId="0" shapeId="0" xr:uid="{00000000-0006-0000-0300-000005000000}">
      <text>
        <r>
          <rPr>
            <sz val="10"/>
            <rFont val="Arial"/>
            <family val="2"/>
          </rPr>
          <t>Month 3: 2025-11
Formula: SUMPRODUCT( (LEFT(C,7)='2025-11')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300-000020000000}">
      <text>
        <r>
          <rPr>
            <sz val="10"/>
            <rFont val="Arial"/>
            <family val="2"/>
          </rPr>
          <t>Month 3: 2025-11
Formula: SUMPRODUCT( (LEFT(C,7)='2025-11') * (E='KSAOB.Debit') * (M=6012) * G )
Change amount(G), creditDebitIndicator(E), or MCC(M) in any row → this cell recalculates.</t>
        </r>
      </text>
    </comment>
    <comment ref="V11" authorId="0" shapeId="0" xr:uid="{00000000-0006-0000-0300-00002E000000}">
      <text>
        <r>
          <rPr>
            <sz val="10"/>
            <rFont val="Arial"/>
            <family val="2"/>
          </rPr>
          <t>Month 3: 2025-11
Formula: SUMPRODUCT( (LEFT(C,7)='2025-11') * (E='KSAOB.Debit') * (M≠6012) * G )
Change amount(G), creditDebitIndicator(E), or MCC(M) in any row → this cell recalculates.</t>
        </r>
      </text>
    </comment>
    <comment ref="T12" authorId="0" shapeId="0" xr:uid="{00000000-0006-0000-0300-000006000000}">
      <text>
        <r>
          <rPr>
            <sz val="10"/>
            <rFont val="Arial"/>
            <family val="2"/>
          </rPr>
          <t>Month 4: 2025-12
Formula: SUMPRODUCT( (LEFT(C,7)='2025-12')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300-000021000000}">
      <text>
        <r>
          <rPr>
            <sz val="10"/>
            <rFont val="Arial"/>
            <family val="2"/>
          </rPr>
          <t>Month 4: 2025-12
Formula: SUMPRODUCT( (LEFT(C,7)='2025-12') * (E='KSAOB.Debit') * (M=6012) * G )
Change amount(G), creditDebitIndicator(E), or MCC(M) in any row → this cell recalculates.</t>
        </r>
      </text>
    </comment>
    <comment ref="V12" authorId="0" shapeId="0" xr:uid="{00000000-0006-0000-0300-00002F000000}">
      <text>
        <r>
          <rPr>
            <sz val="10"/>
            <rFont val="Arial"/>
            <family val="2"/>
          </rPr>
          <t>Month 4: 2025-12
Formula: SUMPRODUCT( (LEFT(C,7)='2025-12') * (E='KSAOB.Debit') * (M≠6012) * G )
Change amount(G), creditDebitIndicator(E), or MCC(M) in any row → this cell recalculates.</t>
        </r>
      </text>
    </comment>
    <comment ref="T13" authorId="0" shapeId="0" xr:uid="{00000000-0006-0000-0300-000007000000}">
      <text>
        <r>
          <rPr>
            <sz val="10"/>
            <rFont val="Arial"/>
            <family val="2"/>
          </rPr>
          <t>Month 5: 2026-01
Formula: SUMPRODUCT( (LEFT(C,7)='2026-01')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300-000022000000}">
      <text>
        <r>
          <rPr>
            <sz val="10"/>
            <rFont val="Arial"/>
            <family val="2"/>
          </rPr>
          <t>Month 5: 2026-01
Formula: SUMPRODUCT( (LEFT(C,7)='2026-01') * (E='KSAOB.Debit') * (M=6012) * G )
Change amount(G), creditDebitIndicator(E), or MCC(M) in any row → this cell recalculates.</t>
        </r>
      </text>
    </comment>
    <comment ref="V13" authorId="0" shapeId="0" xr:uid="{00000000-0006-0000-0300-000030000000}">
      <text>
        <r>
          <rPr>
            <sz val="10"/>
            <rFont val="Arial"/>
            <family val="2"/>
          </rPr>
          <t>Month 5: 2026-01
Formula: SUMPRODUCT( (LEFT(C,7)='2026-01') * (E='KSAOB.Debit') * (M≠6012) * G )
Change amount(G), creditDebitIndicator(E), or MCC(M) in any row → this cell recalculates.</t>
        </r>
      </text>
    </comment>
    <comment ref="T14" authorId="0" shapeId="0" xr:uid="{00000000-0006-0000-0300-000008000000}">
      <text>
        <r>
          <rPr>
            <sz val="10"/>
            <rFont val="Arial"/>
            <family val="2"/>
          </rPr>
          <t>Month 6: 2026-02
Formula: SUMPRODUCT( (LEFT(C,7)='2026-02')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300-000023000000}">
      <text>
        <r>
          <rPr>
            <sz val="10"/>
            <rFont val="Arial"/>
            <family val="2"/>
          </rPr>
          <t>Month 6: 2026-02
Formula: SUMPRODUCT( (LEFT(C,7)='2026-02') * (E='KSAOB.Debit') * (M=6012) * G )
Change amount(G), creditDebitIndicator(E), or MCC(M) in any row → this cell recalculates.</t>
        </r>
      </text>
    </comment>
    <comment ref="V14" authorId="0" shapeId="0" xr:uid="{00000000-0006-0000-0300-000031000000}">
      <text>
        <r>
          <rPr>
            <sz val="10"/>
            <rFont val="Arial"/>
            <family val="2"/>
          </rPr>
          <t>Month 6: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300-000009000000}">
      <text>
        <r>
          <rPr>
            <sz val="10"/>
            <rFont val="Arial"/>
            <family val="2"/>
          </rPr>
          <t>Average salary income across all 6 months.
Formula: AVERAGEIF(T9:T14,"&gt;0") — skips empty month slots.</t>
        </r>
      </text>
    </comment>
    <comment ref="T28" authorId="0" shapeId="0" xr:uid="{00000000-0006-0000-0300-00000A000000}">
      <text>
        <r>
          <rPr>
            <sz val="10"/>
            <rFont val="Arial"/>
            <family val="2"/>
          </rPr>
          <t>MEDIAN(T9:T14)
Median of all monthly salary rows. Used only to set spike threshold below.</t>
        </r>
      </text>
    </comment>
    <comment ref="T29" authorId="0" shapeId="0" xr:uid="{00000000-0006-0000-0300-00000B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300-00000C000000}">
      <text>
        <r>
          <rPr>
            <sz val="10"/>
            <rFont val="Arial"/>
            <family val="2"/>
          </rPr>
          <t>MEDIAN(MIN(T12,T29), MIN(T13,T29), MIN(T14,T29))
Takes salary from rows 12 (2025-12), 13 (2026-01), 14 (2026-02).
Each capped at spike threshold before MEDIAN → spike months don't inflate score.</t>
        </r>
      </text>
    </comment>
    <comment ref="T31" authorId="0" shapeId="0" xr:uid="{00000000-0006-0000-0300-00000D000000}">
      <text>
        <r>
          <rPr>
            <sz val="10"/>
            <rFont val="Arial"/>
            <family val="2"/>
          </rPr>
          <t>=T14  (salary SUMPRODUCT for 2026-02)
Total salary/deposit credits in the MOST RECENT month only.
Represents current salary bracket for risk categorisation.</t>
        </r>
      </text>
    </comment>
    <comment ref="T32" authorId="0" shapeId="0" xr:uid="{00000000-0006-0000-0300-00000E000000}">
      <text>
        <r>
          <rPr>
            <sz val="10"/>
            <rFont val="Arial"/>
            <family val="2"/>
          </rPr>
          <t>=U14  (loan SUMPRODUCT for 2026-02)
SUM of all MCC=6012 debits in the LAST MONTH only.
Change amount or MCC on any row → this value updates.</t>
        </r>
      </text>
    </comment>
    <comment ref="T33" authorId="0" shapeId="0" xr:uid="{00000000-0006-0000-0300-00000F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300-000010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300-000011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300-000012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300-000013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300-000024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300-000025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300-000026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300-000027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300-000028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300-000029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300-00002A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300-000014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300-000015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300-000016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300-000017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300-000018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300-000019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300-00001A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300-00001B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300-00001C000000}">
      <text>
        <r>
          <rPr>
            <sz val="10"/>
            <rFont val="Arial"/>
            <family val="2"/>
          </rPr>
          <t>AUTO-COMPUTED
Months with salary received ÷ 6 total months.
Per month: checks creditDebitIndicator=KSAOB.Credit AND subTransactionType=KSAOB.Deposit.
Change subTransactionType on salary rows → regularity updates.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4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4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400-000026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400-00003D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400-000003000000}">
      <text>
        <r>
          <rPr>
            <sz val="10"/>
            <rFont val="Arial"/>
            <family val="2"/>
          </rPr>
          <t>Month 1: 2024-12
Formula: SUMPRODUCT( (LEFT(C,7)='2024-12')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400-000027000000}">
      <text>
        <r>
          <rPr>
            <sz val="10"/>
            <rFont val="Arial"/>
            <family val="2"/>
          </rPr>
          <t>Month 1: 2024-12
Formula: SUMPRODUCT( (LEFT(C,7)='2024-12') * (E='KSAOB.Debit') * (M=6012) * G )
Change amount(G), creditDebitIndicator(E), or MCC(M) in any row → this cell recalculates.</t>
        </r>
      </text>
    </comment>
    <comment ref="V9" authorId="0" shapeId="0" xr:uid="{00000000-0006-0000-0400-00003E000000}">
      <text>
        <r>
          <rPr>
            <sz val="10"/>
            <rFont val="Arial"/>
            <family val="2"/>
          </rPr>
          <t>Month 1: 2024-12
Formula: SUMPRODUCT( (LEFT(C,7)='2024-12') * (E='KSAOB.Debit') * (M≠6012) * G )
Change amount(G), creditDebitIndicator(E), or MCC(M) in any row → this cell recalculates.</t>
        </r>
      </text>
    </comment>
    <comment ref="T10" authorId="0" shapeId="0" xr:uid="{00000000-0006-0000-0400-000004000000}">
      <text>
        <r>
          <rPr>
            <sz val="10"/>
            <rFont val="Arial"/>
            <family val="2"/>
          </rPr>
          <t>Month 2: 2025-01
Formula: SUMPRODUCT( (LEFT(C,7)='2025-01')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400-000028000000}">
      <text>
        <r>
          <rPr>
            <sz val="10"/>
            <rFont val="Arial"/>
            <family val="2"/>
          </rPr>
          <t>Month 2: 2025-01
Formula: SUMPRODUCT( (LEFT(C,7)='2025-01') * (E='KSAOB.Debit') * (M=6012) * G )
Change amount(G), creditDebitIndicator(E), or MCC(M) in any row → this cell recalculates.</t>
        </r>
      </text>
    </comment>
    <comment ref="V10" authorId="0" shapeId="0" xr:uid="{00000000-0006-0000-0400-00003F000000}">
      <text>
        <r>
          <rPr>
            <sz val="10"/>
            <rFont val="Arial"/>
            <family val="2"/>
          </rPr>
          <t>Month 2: 2025-01
Formula: SUMPRODUCT( (LEFT(C,7)='2025-01') * (E='KSAOB.Debit') * (M≠6012) * G )
Change amount(G), creditDebitIndicator(E), or MCC(M) in any row → this cell recalculates.</t>
        </r>
      </text>
    </comment>
    <comment ref="T11" authorId="0" shapeId="0" xr:uid="{00000000-0006-0000-0400-000005000000}">
      <text>
        <r>
          <rPr>
            <sz val="10"/>
            <rFont val="Arial"/>
            <family val="2"/>
          </rPr>
          <t>Month 3: 2025-02
Formula: SUMPRODUCT( (LEFT(C,7)='2025-02')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400-000029000000}">
      <text>
        <r>
          <rPr>
            <sz val="10"/>
            <rFont val="Arial"/>
            <family val="2"/>
          </rPr>
          <t>Month 3: 2025-02
Formula: SUMPRODUCT( (LEFT(C,7)='2025-02') * (E='KSAOB.Debit') * (M=6012) * G )
Change amount(G), creditDebitIndicator(E), or MCC(M) in any row → this cell recalculates.</t>
        </r>
      </text>
    </comment>
    <comment ref="V11" authorId="0" shapeId="0" xr:uid="{00000000-0006-0000-0400-000040000000}">
      <text>
        <r>
          <rPr>
            <sz val="10"/>
            <rFont val="Arial"/>
            <family val="2"/>
          </rPr>
          <t>Month 3: 2025-02
Formula: SUMPRODUCT( (LEFT(C,7)='2025-02') * (E='KSAOB.Debit') * (M≠6012) * G )
Change amount(G), creditDebitIndicator(E), or MCC(M) in any row → this cell recalculates.</t>
        </r>
      </text>
    </comment>
    <comment ref="T12" authorId="0" shapeId="0" xr:uid="{00000000-0006-0000-0400-000006000000}">
      <text>
        <r>
          <rPr>
            <sz val="10"/>
            <rFont val="Arial"/>
            <family val="2"/>
          </rPr>
          <t>Month 4: 2025-03
Formula: SUMPRODUCT( (LEFT(C,7)='2025-03')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400-00002A000000}">
      <text>
        <r>
          <rPr>
            <sz val="10"/>
            <rFont val="Arial"/>
            <family val="2"/>
          </rPr>
          <t>Month 4: 2025-03
Formula: SUMPRODUCT( (LEFT(C,7)='2025-03') * (E='KSAOB.Debit') * (M=6012) * G )
Change amount(G), creditDebitIndicator(E), or MCC(M) in any row → this cell recalculates.</t>
        </r>
      </text>
    </comment>
    <comment ref="V12" authorId="0" shapeId="0" xr:uid="{00000000-0006-0000-0400-000041000000}">
      <text>
        <r>
          <rPr>
            <sz val="10"/>
            <rFont val="Arial"/>
            <family val="2"/>
          </rPr>
          <t>Month 4: 2025-03
Formula: SUMPRODUCT( (LEFT(C,7)='2025-03') * (E='KSAOB.Debit') * (M≠6012) * G )
Change amount(G), creditDebitIndicator(E), or MCC(M) in any row → this cell recalculates.</t>
        </r>
      </text>
    </comment>
    <comment ref="T13" authorId="0" shapeId="0" xr:uid="{00000000-0006-0000-0400-000007000000}">
      <text>
        <r>
          <rPr>
            <sz val="10"/>
            <rFont val="Arial"/>
            <family val="2"/>
          </rPr>
          <t>Month 5: 2025-04
Formula: SUMPRODUCT( (LEFT(C,7)='2025-04')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400-00002B000000}">
      <text>
        <r>
          <rPr>
            <sz val="10"/>
            <rFont val="Arial"/>
            <family val="2"/>
          </rPr>
          <t>Month 5: 2025-04
Formula: SUMPRODUCT( (LEFT(C,7)='2025-04') * (E='KSAOB.Debit') * (M=6012) * G )
Change amount(G), creditDebitIndicator(E), or MCC(M) in any row → this cell recalculates.</t>
        </r>
      </text>
    </comment>
    <comment ref="V13" authorId="0" shapeId="0" xr:uid="{00000000-0006-0000-0400-000042000000}">
      <text>
        <r>
          <rPr>
            <sz val="10"/>
            <rFont val="Arial"/>
            <family val="2"/>
          </rPr>
          <t>Month 5: 2025-04
Formula: SUMPRODUCT( (LEFT(C,7)='2025-04') * (E='KSAOB.Debit') * (M≠6012) * G )
Change amount(G), creditDebitIndicator(E), or MCC(M) in any row → this cell recalculates.</t>
        </r>
      </text>
    </comment>
    <comment ref="T14" authorId="0" shapeId="0" xr:uid="{00000000-0006-0000-0400-000008000000}">
      <text>
        <r>
          <rPr>
            <sz val="10"/>
            <rFont val="Arial"/>
            <family val="2"/>
          </rPr>
          <t>Month 6: 2025-05
Formula: SUMPRODUCT( (LEFT(C,7)='2025-05')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400-00002C000000}">
      <text>
        <r>
          <rPr>
            <sz val="10"/>
            <rFont val="Arial"/>
            <family val="2"/>
          </rPr>
          <t>Month 6: 2025-05
Formula: SUMPRODUCT( (LEFT(C,7)='2025-05') * (E='KSAOB.Debit') * (M=6012) * G )
Change amount(G), creditDebitIndicator(E), or MCC(M) in any row → this cell recalculates.</t>
        </r>
      </text>
    </comment>
    <comment ref="V14" authorId="0" shapeId="0" xr:uid="{00000000-0006-0000-0400-000043000000}">
      <text>
        <r>
          <rPr>
            <sz val="10"/>
            <rFont val="Arial"/>
            <family val="2"/>
          </rPr>
          <t>Month 6: 2025-05
Formula: SUMPRODUCT( (LEFT(C,7)='2025-05') * (E='KSAOB.Debit') * (M≠6012) * G )
Change amount(G), creditDebitIndicator(E), or MCC(M) in any row → this cell recalculates.</t>
        </r>
      </text>
    </comment>
    <comment ref="T15" authorId="0" shapeId="0" xr:uid="{00000000-0006-0000-0400-000009000000}">
      <text>
        <r>
          <rPr>
            <sz val="10"/>
            <rFont val="Arial"/>
            <family val="2"/>
          </rPr>
          <t>Month 7: 2025-06
Formula: SUMPRODUCT( (LEFT(C,7)='2025-06')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400-00002D000000}">
      <text>
        <r>
          <rPr>
            <sz val="10"/>
            <rFont val="Arial"/>
            <family val="2"/>
          </rPr>
          <t>Month 7: 2025-06
Formula: SUMPRODUCT( (LEFT(C,7)='2025-06') * (E='KSAOB.Debit') * (M=6012) * G )
Change amount(G), creditDebitIndicator(E), or MCC(M) in any row → this cell recalculates.</t>
        </r>
      </text>
    </comment>
    <comment ref="V15" authorId="0" shapeId="0" xr:uid="{00000000-0006-0000-0400-000044000000}">
      <text>
        <r>
          <rPr>
            <sz val="10"/>
            <rFont val="Arial"/>
            <family val="2"/>
          </rPr>
          <t>Month 7: 2025-06
Formula: SUMPRODUCT( (LEFT(C,7)='2025-06') * (E='KSAOB.Debit') * (M≠6012) * G )
Change amount(G), creditDebitIndicator(E), or MCC(M) in any row → this cell recalculates.</t>
        </r>
      </text>
    </comment>
    <comment ref="T16" authorId="0" shapeId="0" xr:uid="{00000000-0006-0000-0400-00000A000000}">
      <text>
        <r>
          <rPr>
            <sz val="10"/>
            <rFont val="Arial"/>
            <family val="2"/>
          </rPr>
          <t>Month 8: 2025-07
Formula: SUMPRODUCT( (LEFT(C,7)='2025-07')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400-00002E000000}">
      <text>
        <r>
          <rPr>
            <sz val="10"/>
            <rFont val="Arial"/>
            <family val="2"/>
          </rPr>
          <t>Month 8: 2025-07
Formula: SUMPRODUCT( (LEFT(C,7)='2025-07') * (E='KSAOB.Debit') * (M=6012) * G )
Change amount(G), creditDebitIndicator(E), or MCC(M) in any row → this cell recalculates.</t>
        </r>
      </text>
    </comment>
    <comment ref="V16" authorId="0" shapeId="0" xr:uid="{00000000-0006-0000-0400-000045000000}">
      <text>
        <r>
          <rPr>
            <sz val="10"/>
            <rFont val="Arial"/>
            <family val="2"/>
          </rPr>
          <t>Month 8: 2025-07
Formula: SUMPRODUCT( (LEFT(C,7)='2025-07') * (E='KSAOB.Debit') * (M≠6012) * G )
Change amount(G), creditDebitIndicator(E), or MCC(M) in any row → this cell recalculates.</t>
        </r>
      </text>
    </comment>
    <comment ref="T17" authorId="0" shapeId="0" xr:uid="{00000000-0006-0000-0400-00000B000000}">
      <text>
        <r>
          <rPr>
            <sz val="10"/>
            <rFont val="Arial"/>
            <family val="2"/>
          </rPr>
          <t>Month 9: 2025-08
Formula: SUMPRODUCT( (LEFT(C,7)='2025-08')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400-00002F000000}">
      <text>
        <r>
          <rPr>
            <sz val="10"/>
            <rFont val="Arial"/>
            <family val="2"/>
          </rPr>
          <t>Month 9: 2025-08
Formula: SUMPRODUCT( (LEFT(C,7)='2025-08') * (E='KSAOB.Debit') * (M=6012) * G )
Change amount(G), creditDebitIndicator(E), or MCC(M) in any row → this cell recalculates.</t>
        </r>
      </text>
    </comment>
    <comment ref="V17" authorId="0" shapeId="0" xr:uid="{00000000-0006-0000-0400-000046000000}">
      <text>
        <r>
          <rPr>
            <sz val="10"/>
            <rFont val="Arial"/>
            <family val="2"/>
          </rPr>
          <t>Month 9: 2025-08
Formula: SUMPRODUCT( (LEFT(C,7)='2025-08') * (E='KSAOB.Debit') * (M≠6012) * G )
Change amount(G), creditDebitIndicator(E), or MCC(M) in any row → this cell recalculates.</t>
        </r>
      </text>
    </comment>
    <comment ref="T18" authorId="0" shapeId="0" xr:uid="{00000000-0006-0000-0400-00000C000000}">
      <text>
        <r>
          <rPr>
            <sz val="10"/>
            <rFont val="Arial"/>
            <family val="2"/>
          </rPr>
          <t>Month 10: 2025-09
Formula: SUMPRODUCT( (LEFT(C,7)='2025-09') * (E='KSAOB.Credit') * (K='KSAOB.Deposit') * G )
Change amount(G), creditDebitIndicator(E), or subTransactionType(K) in any row → this cell recalculates.</t>
        </r>
      </text>
    </comment>
    <comment ref="U18" authorId="0" shapeId="0" xr:uid="{00000000-0006-0000-0400-000030000000}">
      <text>
        <r>
          <rPr>
            <sz val="10"/>
            <rFont val="Arial"/>
            <family val="2"/>
          </rPr>
          <t>Month 10: 2025-09
Formula: SUMPRODUCT( (LEFT(C,7)='2025-09') * (E='KSAOB.Debit') * (M=6012) * G )
Change amount(G), creditDebitIndicator(E), or MCC(M) in any row → this cell recalculates.</t>
        </r>
      </text>
    </comment>
    <comment ref="V18" authorId="0" shapeId="0" xr:uid="{00000000-0006-0000-0400-000047000000}">
      <text>
        <r>
          <rPr>
            <sz val="10"/>
            <rFont val="Arial"/>
            <family val="2"/>
          </rPr>
          <t>Month 10: 2025-09
Formula: SUMPRODUCT( (LEFT(C,7)='2025-09') * (E='KSAOB.Debit') * (M≠6012) * G )
Change amount(G), creditDebitIndicator(E), or MCC(M) in any row → this cell recalculates.</t>
        </r>
      </text>
    </comment>
    <comment ref="T19" authorId="0" shapeId="0" xr:uid="{00000000-0006-0000-0400-00000D000000}">
      <text>
        <r>
          <rPr>
            <sz val="10"/>
            <rFont val="Arial"/>
            <family val="2"/>
          </rPr>
          <t>Month 11: 2025-10
Formula: SUMPRODUCT( (LEFT(C,7)='2025-10') * (E='KSAOB.Credit') * (K='KSAOB.Deposit') * G )
Change amount(G), creditDebitIndicator(E), or subTransactionType(K) in any row → this cell recalculates.</t>
        </r>
      </text>
    </comment>
    <comment ref="U19" authorId="0" shapeId="0" xr:uid="{00000000-0006-0000-0400-000031000000}">
      <text>
        <r>
          <rPr>
            <sz val="10"/>
            <rFont val="Arial"/>
            <family val="2"/>
          </rPr>
          <t>Month 11: 2025-10
Formula: SUMPRODUCT( (LEFT(C,7)='2025-10') * (E='KSAOB.Debit') * (M=6012) * G )
Change amount(G), creditDebitIndicator(E), or MCC(M) in any row → this cell recalculates.</t>
        </r>
      </text>
    </comment>
    <comment ref="V19" authorId="0" shapeId="0" xr:uid="{00000000-0006-0000-0400-000048000000}">
      <text>
        <r>
          <rPr>
            <sz val="10"/>
            <rFont val="Arial"/>
            <family val="2"/>
          </rPr>
          <t>Month 11: 2025-10
Formula: SUMPRODUCT( (LEFT(C,7)='2025-10') * (E='KSAOB.Debit') * (M≠6012) * G )
Change amount(G), creditDebitIndicator(E), or MCC(M) in any row → this cell recalculates.</t>
        </r>
      </text>
    </comment>
    <comment ref="T20" authorId="0" shapeId="0" xr:uid="{00000000-0006-0000-0400-00000E000000}">
      <text>
        <r>
          <rPr>
            <sz val="10"/>
            <rFont val="Arial"/>
            <family val="2"/>
          </rPr>
          <t>Month 12: 2025-11
Formula: SUMPRODUCT( (LEFT(C,7)='2025-11') * (E='KSAOB.Credit') * (K='KSAOB.Deposit') * G )
Change amount(G), creditDebitIndicator(E), or subTransactionType(K) in any row → this cell recalculates.</t>
        </r>
      </text>
    </comment>
    <comment ref="U20" authorId="0" shapeId="0" xr:uid="{00000000-0006-0000-0400-000032000000}">
      <text>
        <r>
          <rPr>
            <sz val="10"/>
            <rFont val="Arial"/>
            <family val="2"/>
          </rPr>
          <t>Month 12: 2025-11
Formula: SUMPRODUCT( (LEFT(C,7)='2025-11') * (E='KSAOB.Debit') * (M=6012) * G )
Change amount(G), creditDebitIndicator(E), or MCC(M) in any row → this cell recalculates.</t>
        </r>
      </text>
    </comment>
    <comment ref="V20" authorId="0" shapeId="0" xr:uid="{00000000-0006-0000-0400-000049000000}">
      <text>
        <r>
          <rPr>
            <sz val="10"/>
            <rFont val="Arial"/>
            <family val="2"/>
          </rPr>
          <t>Month 12: 2025-11
Formula: SUMPRODUCT( (LEFT(C,7)='2025-11') * (E='KSAOB.Debit') * (M≠6012) * G )
Change amount(G), creditDebitIndicator(E), or MCC(M) in any row → this cell recalculates.</t>
        </r>
      </text>
    </comment>
    <comment ref="T21" authorId="0" shapeId="0" xr:uid="{00000000-0006-0000-0400-00000F000000}">
      <text>
        <r>
          <rPr>
            <sz val="10"/>
            <rFont val="Arial"/>
            <family val="2"/>
          </rPr>
          <t>Month 13: 2025-12
Formula: SUMPRODUCT( (LEFT(C,7)='2025-12') * (E='KSAOB.Credit') * (K='KSAOB.Deposit') * G )
Change amount(G), creditDebitIndicator(E), or subTransactionType(K) in any row → this cell recalculates.</t>
        </r>
      </text>
    </comment>
    <comment ref="U21" authorId="0" shapeId="0" xr:uid="{00000000-0006-0000-0400-000033000000}">
      <text>
        <r>
          <rPr>
            <sz val="10"/>
            <rFont val="Arial"/>
            <family val="2"/>
          </rPr>
          <t>Month 13: 2025-12
Formula: SUMPRODUCT( (LEFT(C,7)='2025-12') * (E='KSAOB.Debit') * (M=6012) * G )
Change amount(G), creditDebitIndicator(E), or MCC(M) in any row → this cell recalculates.</t>
        </r>
      </text>
    </comment>
    <comment ref="V21" authorId="0" shapeId="0" xr:uid="{00000000-0006-0000-0400-00004A000000}">
      <text>
        <r>
          <rPr>
            <sz val="10"/>
            <rFont val="Arial"/>
            <family val="2"/>
          </rPr>
          <t>Month 13: 2025-12
Formula: SUMPRODUCT( (LEFT(C,7)='2025-12') * (E='KSAOB.Debit') * (M≠6012) * G )
Change amount(G), creditDebitIndicator(E), or MCC(M) in any row → this cell recalculates.</t>
        </r>
      </text>
    </comment>
    <comment ref="T22" authorId="0" shapeId="0" xr:uid="{00000000-0006-0000-0400-000010000000}">
      <text>
        <r>
          <rPr>
            <sz val="10"/>
            <rFont val="Arial"/>
            <family val="2"/>
          </rPr>
          <t>Month 14: 2026-01
Formula: SUMPRODUCT( (LEFT(C,7)='2026-01') * (E='KSAOB.Credit') * (K='KSAOB.Deposit') * G )
Change amount(G), creditDebitIndicator(E), or subTransactionType(K) in any row → this cell recalculates.</t>
        </r>
      </text>
    </comment>
    <comment ref="U22" authorId="0" shapeId="0" xr:uid="{00000000-0006-0000-0400-000034000000}">
      <text>
        <r>
          <rPr>
            <sz val="10"/>
            <rFont val="Arial"/>
            <family val="2"/>
          </rPr>
          <t>Month 14: 2026-01
Formula: SUMPRODUCT( (LEFT(C,7)='2026-01') * (E='KSAOB.Debit') * (M=6012) * G )
Change amount(G), creditDebitIndicator(E), or MCC(M) in any row → this cell recalculates.</t>
        </r>
      </text>
    </comment>
    <comment ref="V22" authorId="0" shapeId="0" xr:uid="{00000000-0006-0000-0400-00004B000000}">
      <text>
        <r>
          <rPr>
            <sz val="10"/>
            <rFont val="Arial"/>
            <family val="2"/>
          </rPr>
          <t>Month 14: 2026-01
Formula: SUMPRODUCT( (LEFT(C,7)='2026-01') * (E='KSAOB.Debit') * (M≠6012) * G )
Change amount(G), creditDebitIndicator(E), or MCC(M) in any row → this cell recalculates.</t>
        </r>
      </text>
    </comment>
    <comment ref="T23" authorId="0" shapeId="0" xr:uid="{00000000-0006-0000-0400-000011000000}">
      <text>
        <r>
          <rPr>
            <sz val="10"/>
            <rFont val="Arial"/>
            <family val="2"/>
          </rPr>
          <t>Month 15: 2026-02
Formula: SUMPRODUCT( (LEFT(C,7)='2026-02') * (E='KSAOB.Credit') * (K='KSAOB.Deposit') * G )
Change amount(G), creditDebitIndicator(E), or subTransactionType(K) in any row → this cell recalculates.</t>
        </r>
      </text>
    </comment>
    <comment ref="U23" authorId="0" shapeId="0" xr:uid="{00000000-0006-0000-0400-000035000000}">
      <text>
        <r>
          <rPr>
            <sz val="10"/>
            <rFont val="Arial"/>
            <family val="2"/>
          </rPr>
          <t>Month 15: 2026-02
Formula: SUMPRODUCT( (LEFT(C,7)='2026-02') * (E='KSAOB.Debit') * (M=6012) * G )
Change amount(G), creditDebitIndicator(E), or MCC(M) in any row → this cell recalculates.</t>
        </r>
      </text>
    </comment>
    <comment ref="V23" authorId="0" shapeId="0" xr:uid="{00000000-0006-0000-0400-00004C000000}">
      <text>
        <r>
          <rPr>
            <sz val="10"/>
            <rFont val="Arial"/>
            <family val="2"/>
          </rPr>
          <t>Month 15: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400-000012000000}">
      <text>
        <r>
          <rPr>
            <sz val="10"/>
            <rFont val="Arial"/>
            <family val="2"/>
          </rPr>
          <t>Average salary income across all 15 months.
Formula: AVERAGEIF(T9:T23,"&gt;0") — skips empty month slots.</t>
        </r>
      </text>
    </comment>
    <comment ref="T28" authorId="0" shapeId="0" xr:uid="{00000000-0006-0000-0400-000013000000}">
      <text>
        <r>
          <rPr>
            <sz val="10"/>
            <rFont val="Arial"/>
            <family val="2"/>
          </rPr>
          <t>MEDIAN(T9:T23)
Median of all monthly salary rows. Used only to set spike threshold below.</t>
        </r>
      </text>
    </comment>
    <comment ref="T29" authorId="0" shapeId="0" xr:uid="{00000000-0006-0000-0400-000014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400-000015000000}">
      <text>
        <r>
          <rPr>
            <sz val="10"/>
            <rFont val="Arial"/>
            <family val="2"/>
          </rPr>
          <t>MEDIAN(MIN(T21,T29), MIN(T22,T29), MIN(T23,T29))
Takes salary from rows 21 (2025-12), 22 (2026-01), 23 (2026-02).
Each capped at spike threshold before MEDIAN → spike months don't inflate score.</t>
        </r>
      </text>
    </comment>
    <comment ref="T31" authorId="0" shapeId="0" xr:uid="{00000000-0006-0000-0400-000016000000}">
      <text>
        <r>
          <rPr>
            <sz val="10"/>
            <rFont val="Arial"/>
            <family val="2"/>
          </rPr>
          <t>=T23  (salary SUMPRODUCT for 2026-02)
Total salary/deposit credits in the MOST RECENT month only.
Represents current salary bracket for risk categorisation.</t>
        </r>
      </text>
    </comment>
    <comment ref="T32" authorId="0" shapeId="0" xr:uid="{00000000-0006-0000-0400-000017000000}">
      <text>
        <r>
          <rPr>
            <sz val="10"/>
            <rFont val="Arial"/>
            <family val="2"/>
          </rPr>
          <t>=U23  (loan SUMPRODUCT for 2026-02)
SUM of all MCC=6012 debits in the LAST MONTH only.
Change amount or MCC on any row → this value updates.</t>
        </r>
      </text>
    </comment>
    <comment ref="T33" authorId="0" shapeId="0" xr:uid="{00000000-0006-0000-0400-000018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400-000019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400-00001A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400-00001B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400-00001C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400-000036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400-000037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400-000038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400-000039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400-00003A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400-00003B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400-00003C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400-00001D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400-00001E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400-00001F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400-000020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400-000021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400-000022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400-000023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400-000024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400-000025000000}">
      <text>
        <r>
          <rPr>
            <sz val="10"/>
            <rFont val="Arial"/>
            <family val="2"/>
          </rPr>
          <t>AUTO-COMPUTED
Months with salary received ÷ 15 total months.
Per month: checks creditDebitIndicator=KSAOB.Credit AND subTransactionType=KSAOB.Deposit.
Change subTransactionType on salary rows → regularity updates.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5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5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500-000023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500-000037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500-000003000000}">
      <text>
        <r>
          <rPr>
            <sz val="10"/>
            <rFont val="Arial"/>
            <family val="2"/>
          </rPr>
          <t>Month 1: 2025-02
Formula: SUMPRODUCT( (LEFT(C,7)='2025-02')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500-000024000000}">
      <text>
        <r>
          <rPr>
            <sz val="10"/>
            <rFont val="Arial"/>
            <family val="2"/>
          </rPr>
          <t>Month 1: 2025-02
Formula: SUMPRODUCT( (LEFT(C,7)='2025-02') * (E='KSAOB.Debit') * (M=6012) * G )
Change amount(G), creditDebitIndicator(E), or MCC(M) in any row → this cell recalculates.</t>
        </r>
      </text>
    </comment>
    <comment ref="V9" authorId="0" shapeId="0" xr:uid="{00000000-0006-0000-0500-000038000000}">
      <text>
        <r>
          <rPr>
            <sz val="10"/>
            <rFont val="Arial"/>
            <family val="2"/>
          </rPr>
          <t>Month 1: 2025-02
Formula: SUMPRODUCT( (LEFT(C,7)='2025-02') * (E='KSAOB.Debit') * (M≠6012) * G )
Change amount(G), creditDebitIndicator(E), or MCC(M) in any row → this cell recalculates.</t>
        </r>
      </text>
    </comment>
    <comment ref="T10" authorId="0" shapeId="0" xr:uid="{00000000-0006-0000-0500-000004000000}">
      <text>
        <r>
          <rPr>
            <sz val="10"/>
            <rFont val="Arial"/>
            <family val="2"/>
          </rPr>
          <t>Month 2: 2025-03
Formula: SUMPRODUCT( (LEFT(C,7)='2025-03')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500-000025000000}">
      <text>
        <r>
          <rPr>
            <sz val="10"/>
            <rFont val="Arial"/>
            <family val="2"/>
          </rPr>
          <t>Month 2: 2025-03
Formula: SUMPRODUCT( (LEFT(C,7)='2025-03') * (E='KSAOB.Debit') * (M=6012) * G )
Change amount(G), creditDebitIndicator(E), or MCC(M) in any row → this cell recalculates.</t>
        </r>
      </text>
    </comment>
    <comment ref="V10" authorId="0" shapeId="0" xr:uid="{00000000-0006-0000-0500-000039000000}">
      <text>
        <r>
          <rPr>
            <sz val="10"/>
            <rFont val="Arial"/>
            <family val="2"/>
          </rPr>
          <t>Month 2: 2025-03
Formula: SUMPRODUCT( (LEFT(C,7)='2025-03') * (E='KSAOB.Debit') * (M≠6012) * G )
Change amount(G), creditDebitIndicator(E), or MCC(M) in any row → this cell recalculates.</t>
        </r>
      </text>
    </comment>
    <comment ref="T11" authorId="0" shapeId="0" xr:uid="{00000000-0006-0000-0500-000005000000}">
      <text>
        <r>
          <rPr>
            <sz val="10"/>
            <rFont val="Arial"/>
            <family val="2"/>
          </rPr>
          <t>Month 3: 2025-04
Formula: SUMPRODUCT( (LEFT(C,7)='2025-04')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500-000026000000}">
      <text>
        <r>
          <rPr>
            <sz val="10"/>
            <rFont val="Arial"/>
            <family val="2"/>
          </rPr>
          <t>Month 3: 2025-04
Formula: SUMPRODUCT( (LEFT(C,7)='2025-04') * (E='KSAOB.Debit') * (M=6012) * G )
Change amount(G), creditDebitIndicator(E), or MCC(M) in any row → this cell recalculates.</t>
        </r>
      </text>
    </comment>
    <comment ref="V11" authorId="0" shapeId="0" xr:uid="{00000000-0006-0000-0500-00003A000000}">
      <text>
        <r>
          <rPr>
            <sz val="10"/>
            <rFont val="Arial"/>
            <family val="2"/>
          </rPr>
          <t>Month 3: 2025-04
Formula: SUMPRODUCT( (LEFT(C,7)='2025-04') * (E='KSAOB.Debit') * (M≠6012) * G )
Change amount(G), creditDebitIndicator(E), or MCC(M) in any row → this cell recalculates.</t>
        </r>
      </text>
    </comment>
    <comment ref="T12" authorId="0" shapeId="0" xr:uid="{00000000-0006-0000-0500-000006000000}">
      <text>
        <r>
          <rPr>
            <sz val="10"/>
            <rFont val="Arial"/>
            <family val="2"/>
          </rPr>
          <t>Month 4: 2025-05
Formula: SUMPRODUCT( (LEFT(C,7)='2025-05')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500-000027000000}">
      <text>
        <r>
          <rPr>
            <sz val="10"/>
            <rFont val="Arial"/>
            <family val="2"/>
          </rPr>
          <t>Month 4: 2025-05
Formula: SUMPRODUCT( (LEFT(C,7)='2025-05') * (E='KSAOB.Debit') * (M=6012) * G )
Change amount(G), creditDebitIndicator(E), or MCC(M) in any row → this cell recalculates.</t>
        </r>
      </text>
    </comment>
    <comment ref="V12" authorId="0" shapeId="0" xr:uid="{00000000-0006-0000-0500-00003B000000}">
      <text>
        <r>
          <rPr>
            <sz val="10"/>
            <rFont val="Arial"/>
            <family val="2"/>
          </rPr>
          <t>Month 4: 2025-05
Formula: SUMPRODUCT( (LEFT(C,7)='2025-05') * (E='KSAOB.Debit') * (M≠6012) * G )
Change amount(G), creditDebitIndicator(E), or MCC(M) in any row → this cell recalculates.</t>
        </r>
      </text>
    </comment>
    <comment ref="T13" authorId="0" shapeId="0" xr:uid="{00000000-0006-0000-0500-000007000000}">
      <text>
        <r>
          <rPr>
            <sz val="10"/>
            <rFont val="Arial"/>
            <family val="2"/>
          </rPr>
          <t>Month 5: 2025-06
Formula: SUMPRODUCT( (LEFT(C,7)='2025-06')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500-000028000000}">
      <text>
        <r>
          <rPr>
            <sz val="10"/>
            <rFont val="Arial"/>
            <family val="2"/>
          </rPr>
          <t>Month 5: 2025-06
Formula: SUMPRODUCT( (LEFT(C,7)='2025-06') * (E='KSAOB.Debit') * (M=6012) * G )
Change amount(G), creditDebitIndicator(E), or MCC(M) in any row → this cell recalculates.</t>
        </r>
      </text>
    </comment>
    <comment ref="V13" authorId="0" shapeId="0" xr:uid="{00000000-0006-0000-0500-00003C000000}">
      <text>
        <r>
          <rPr>
            <sz val="10"/>
            <rFont val="Arial"/>
            <family val="2"/>
          </rPr>
          <t>Month 5: 2025-06
Formula: SUMPRODUCT( (LEFT(C,7)='2025-06') * (E='KSAOB.Debit') * (M≠6012) * G )
Change amount(G), creditDebitIndicator(E), or MCC(M) in any row → this cell recalculates.</t>
        </r>
      </text>
    </comment>
    <comment ref="T14" authorId="0" shapeId="0" xr:uid="{00000000-0006-0000-0500-000008000000}">
      <text>
        <r>
          <rPr>
            <sz val="10"/>
            <rFont val="Arial"/>
            <family val="2"/>
          </rPr>
          <t>Month 6: 2025-07
Formula: SUMPRODUCT( (LEFT(C,7)='2025-07')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500-000029000000}">
      <text>
        <r>
          <rPr>
            <sz val="10"/>
            <rFont val="Arial"/>
            <family val="2"/>
          </rPr>
          <t>Month 6: 2025-07
Formula: SUMPRODUCT( (LEFT(C,7)='2025-07') * (E='KSAOB.Debit') * (M=6012) * G )
Change amount(G), creditDebitIndicator(E), or MCC(M) in any row → this cell recalculates.</t>
        </r>
      </text>
    </comment>
    <comment ref="V14" authorId="0" shapeId="0" xr:uid="{00000000-0006-0000-0500-00003D000000}">
      <text>
        <r>
          <rPr>
            <sz val="10"/>
            <rFont val="Arial"/>
            <family val="2"/>
          </rPr>
          <t>Month 6: 2025-07
Formula: SUMPRODUCT( (LEFT(C,7)='2025-07') * (E='KSAOB.Debit') * (M≠6012) * G )
Change amount(G), creditDebitIndicator(E), or MCC(M) in any row → this cell recalculates.</t>
        </r>
      </text>
    </comment>
    <comment ref="T15" authorId="0" shapeId="0" xr:uid="{00000000-0006-0000-0500-000009000000}">
      <text>
        <r>
          <rPr>
            <sz val="10"/>
            <rFont val="Arial"/>
            <family val="2"/>
          </rPr>
          <t>Month 7: 2025-08
Formula: SUMPRODUCT( (LEFT(C,7)='2025-08')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500-00002A000000}">
      <text>
        <r>
          <rPr>
            <sz val="10"/>
            <rFont val="Arial"/>
            <family val="2"/>
          </rPr>
          <t>Month 7: 2025-08
Formula: SUMPRODUCT( (LEFT(C,7)='2025-08') * (E='KSAOB.Debit') * (M=6012) * G )
Change amount(G), creditDebitIndicator(E), or MCC(M) in any row → this cell recalculates.</t>
        </r>
      </text>
    </comment>
    <comment ref="V15" authorId="0" shapeId="0" xr:uid="{00000000-0006-0000-0500-00003E000000}">
      <text>
        <r>
          <rPr>
            <sz val="10"/>
            <rFont val="Arial"/>
            <family val="2"/>
          </rPr>
          <t>Month 7: 2025-08
Formula: SUMPRODUCT( (LEFT(C,7)='2025-08') * (E='KSAOB.Debit') * (M≠6012) * G )
Change amount(G), creditDebitIndicator(E), or MCC(M) in any row → this cell recalculates.</t>
        </r>
      </text>
    </comment>
    <comment ref="T16" authorId="0" shapeId="0" xr:uid="{00000000-0006-0000-0500-00000A000000}">
      <text>
        <r>
          <rPr>
            <sz val="10"/>
            <rFont val="Arial"/>
            <family val="2"/>
          </rPr>
          <t>Month 8: 2025-09
Formula: SUMPRODUCT( (LEFT(C,7)='2025-09')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500-00002B000000}">
      <text>
        <r>
          <rPr>
            <sz val="10"/>
            <rFont val="Arial"/>
            <family val="2"/>
          </rPr>
          <t>Month 8: 2025-09
Formula: SUMPRODUCT( (LEFT(C,7)='2025-09') * (E='KSAOB.Debit') * (M=6012) * G )
Change amount(G), creditDebitIndicator(E), or MCC(M) in any row → this cell recalculates.</t>
        </r>
      </text>
    </comment>
    <comment ref="V16" authorId="0" shapeId="0" xr:uid="{00000000-0006-0000-0500-00003F000000}">
      <text>
        <r>
          <rPr>
            <sz val="10"/>
            <rFont val="Arial"/>
            <family val="2"/>
          </rPr>
          <t>Month 8: 2025-09
Formula: SUMPRODUCT( (LEFT(C,7)='2025-09') * (E='KSAOB.Debit') * (M≠6012) * G )
Change amount(G), creditDebitIndicator(E), or MCC(M) in any row → this cell recalculates.</t>
        </r>
      </text>
    </comment>
    <comment ref="T17" authorId="0" shapeId="0" xr:uid="{00000000-0006-0000-0500-00000B000000}">
      <text>
        <r>
          <rPr>
            <sz val="10"/>
            <rFont val="Arial"/>
            <family val="2"/>
          </rPr>
          <t>Month 9: 2025-10
Formula: SUMPRODUCT( (LEFT(C,7)='2025-10')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500-00002C000000}">
      <text>
        <r>
          <rPr>
            <sz val="10"/>
            <rFont val="Arial"/>
            <family val="2"/>
          </rPr>
          <t>Month 9: 2025-10
Formula: SUMPRODUCT( (LEFT(C,7)='2025-10') * (E='KSAOB.Debit') * (M=6012) * G )
Change amount(G), creditDebitIndicator(E), or MCC(M) in any row → this cell recalculates.</t>
        </r>
      </text>
    </comment>
    <comment ref="V17" authorId="0" shapeId="0" xr:uid="{00000000-0006-0000-0500-000040000000}">
      <text>
        <r>
          <rPr>
            <sz val="10"/>
            <rFont val="Arial"/>
            <family val="2"/>
          </rPr>
          <t>Month 9: 2025-10
Formula: SUMPRODUCT( (LEFT(C,7)='2025-10') * (E='KSAOB.Debit') * (M≠6012) * G )
Change amount(G), creditDebitIndicator(E), or MCC(M) in any row → this cell recalculates.</t>
        </r>
      </text>
    </comment>
    <comment ref="T18" authorId="0" shapeId="0" xr:uid="{00000000-0006-0000-0500-00000C000000}">
      <text>
        <r>
          <rPr>
            <sz val="10"/>
            <rFont val="Arial"/>
            <family val="2"/>
          </rPr>
          <t>Month 10: 2025-11
Formula: SUMPRODUCT( (LEFT(C,7)='2025-11') * (E='KSAOB.Credit') * (K='KSAOB.Deposit') * G )
Change amount(G), creditDebitIndicator(E), or subTransactionType(K) in any row → this cell recalculates.</t>
        </r>
      </text>
    </comment>
    <comment ref="U18" authorId="0" shapeId="0" xr:uid="{00000000-0006-0000-0500-00002D000000}">
      <text>
        <r>
          <rPr>
            <sz val="10"/>
            <rFont val="Arial"/>
            <family val="2"/>
          </rPr>
          <t>Month 10: 2025-11
Formula: SUMPRODUCT( (LEFT(C,7)='2025-11') * (E='KSAOB.Debit') * (M=6012) * G )
Change amount(G), creditDebitIndicator(E), or MCC(M) in any row → this cell recalculates.</t>
        </r>
      </text>
    </comment>
    <comment ref="V18" authorId="0" shapeId="0" xr:uid="{00000000-0006-0000-0500-000041000000}">
      <text>
        <r>
          <rPr>
            <sz val="10"/>
            <rFont val="Arial"/>
            <family val="2"/>
          </rPr>
          <t>Month 10: 2025-11
Formula: SUMPRODUCT( (LEFT(C,7)='2025-11') * (E='KSAOB.Debit') * (M≠6012) * G )
Change amount(G), creditDebitIndicator(E), or MCC(M) in any row → this cell recalculates.</t>
        </r>
      </text>
    </comment>
    <comment ref="T19" authorId="0" shapeId="0" xr:uid="{00000000-0006-0000-0500-00000D000000}">
      <text>
        <r>
          <rPr>
            <sz val="10"/>
            <rFont val="Arial"/>
            <family val="2"/>
          </rPr>
          <t>Month 11: 2025-12
Formula: SUMPRODUCT( (LEFT(C,7)='2025-12') * (E='KSAOB.Credit') * (K='KSAOB.Deposit') * G )
Change amount(G), creditDebitIndicator(E), or subTransactionType(K) in any row → this cell recalculates.</t>
        </r>
      </text>
    </comment>
    <comment ref="U19" authorId="0" shapeId="0" xr:uid="{00000000-0006-0000-0500-00002E000000}">
      <text>
        <r>
          <rPr>
            <sz val="10"/>
            <rFont val="Arial"/>
            <family val="2"/>
          </rPr>
          <t>Month 11: 2025-12
Formula: SUMPRODUCT( (LEFT(C,7)='2025-12') * (E='KSAOB.Debit') * (M=6012) * G )
Change amount(G), creditDebitIndicator(E), or MCC(M) in any row → this cell recalculates.</t>
        </r>
      </text>
    </comment>
    <comment ref="V19" authorId="0" shapeId="0" xr:uid="{00000000-0006-0000-0500-000042000000}">
      <text>
        <r>
          <rPr>
            <sz val="10"/>
            <rFont val="Arial"/>
            <family val="2"/>
          </rPr>
          <t>Month 11: 2025-12
Formula: SUMPRODUCT( (LEFT(C,7)='2025-12') * (E='KSAOB.Debit') * (M≠6012) * G )
Change amount(G), creditDebitIndicator(E), or MCC(M) in any row → this cell recalculates.</t>
        </r>
      </text>
    </comment>
    <comment ref="T20" authorId="0" shapeId="0" xr:uid="{00000000-0006-0000-0500-00000E000000}">
      <text>
        <r>
          <rPr>
            <sz val="10"/>
            <rFont val="Arial"/>
            <family val="2"/>
          </rPr>
          <t>Month 12: 2026-01
Formula: SUMPRODUCT( (LEFT(C,7)='2026-01') * (E='KSAOB.Credit') * (K='KSAOB.Deposit') * G )
Change amount(G), creditDebitIndicator(E), or subTransactionType(K) in any row → this cell recalculates.</t>
        </r>
      </text>
    </comment>
    <comment ref="U20" authorId="0" shapeId="0" xr:uid="{00000000-0006-0000-0500-00002F000000}">
      <text>
        <r>
          <rPr>
            <sz val="10"/>
            <rFont val="Arial"/>
            <family val="2"/>
          </rPr>
          <t>Month 12: 2026-01
Formula: SUMPRODUCT( (LEFT(C,7)='2026-01') * (E='KSAOB.Debit') * (M=6012) * G )
Change amount(G), creditDebitIndicator(E), or MCC(M) in any row → this cell recalculates.</t>
        </r>
      </text>
    </comment>
    <comment ref="V20" authorId="0" shapeId="0" xr:uid="{00000000-0006-0000-0500-000043000000}">
      <text>
        <r>
          <rPr>
            <sz val="10"/>
            <rFont val="Arial"/>
            <family val="2"/>
          </rPr>
          <t>Month 12: 2026-01
Formula: SUMPRODUCT( (LEFT(C,7)='2026-01') * (E='KSAOB.Debit') * (M≠6012) * G )
Change amount(G), creditDebitIndicator(E), or MCC(M) in any row → this cell recalculates.</t>
        </r>
      </text>
    </comment>
    <comment ref="T24" authorId="0" shapeId="0" xr:uid="{00000000-0006-0000-0500-00000F000000}">
      <text>
        <r>
          <rPr>
            <sz val="10"/>
            <rFont val="Arial"/>
            <family val="2"/>
          </rPr>
          <t>Average salary income across all 12 months.
Formula: AVERAGEIF(T9:T20,"&gt;0") — skips empty month slots.</t>
        </r>
      </text>
    </comment>
    <comment ref="T28" authorId="0" shapeId="0" xr:uid="{00000000-0006-0000-0500-000010000000}">
      <text>
        <r>
          <rPr>
            <sz val="10"/>
            <rFont val="Arial"/>
            <family val="2"/>
          </rPr>
          <t>MEDIAN(T9:T20)
Median of all monthly salary rows. Used only to set spike threshold below.</t>
        </r>
      </text>
    </comment>
    <comment ref="T29" authorId="0" shapeId="0" xr:uid="{00000000-0006-0000-0500-000011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500-000012000000}">
      <text>
        <r>
          <rPr>
            <sz val="10"/>
            <rFont val="Arial"/>
            <family val="2"/>
          </rPr>
          <t>MEDIAN(MIN(T18,T29), MIN(T19,T29), MIN(T20,T29))
Takes salary from rows 18 (2025-11), 19 (2025-12), 20 (2026-01).
Each capped at spike threshold before MEDIAN → spike months don't inflate score.</t>
        </r>
      </text>
    </comment>
    <comment ref="T31" authorId="0" shapeId="0" xr:uid="{00000000-0006-0000-0500-000013000000}">
      <text>
        <r>
          <rPr>
            <sz val="10"/>
            <rFont val="Arial"/>
            <family val="2"/>
          </rPr>
          <t>=T20  (salary SUMPRODUCT for 2026-01)
Total salary/deposit credits in the MOST RECENT month only.
Represents current salary bracket for risk categorisation.</t>
        </r>
      </text>
    </comment>
    <comment ref="T32" authorId="0" shapeId="0" xr:uid="{00000000-0006-0000-0500-000014000000}">
      <text>
        <r>
          <rPr>
            <sz val="10"/>
            <rFont val="Arial"/>
            <family val="2"/>
          </rPr>
          <t>=U20  (loan SUMPRODUCT for 2026-01)
SUM of all MCC=6012 debits in the LAST MONTH only.
Change amount or MCC on any row → this value updates.</t>
        </r>
      </text>
    </comment>
    <comment ref="T33" authorId="0" shapeId="0" xr:uid="{00000000-0006-0000-0500-000015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500-000016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500-000017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500-000018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500-000019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500-000030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500-000031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500-000032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500-000033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500-000034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500-000035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500-000036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500-00001A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500-00001B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500-00001C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500-00001D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500-00001E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500-00001F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500-000020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500-000021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500-000022000000}">
      <text>
        <r>
          <rPr>
            <sz val="10"/>
            <rFont val="Arial"/>
            <family val="2"/>
          </rPr>
          <t>AUTO-COMPUTED
Months with salary received ÷ 12 total months.
Per month: checks creditDebitIndicator=KSAOB.Credit AND subTransactionType=KSAOB.Deposit.
Change subTransactionType on salary rows → regularity updates.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6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6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600-000023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600-000037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600-000003000000}">
      <text>
        <r>
          <rPr>
            <sz val="10"/>
            <rFont val="Arial"/>
            <family val="2"/>
          </rPr>
          <t>Month 1: 2025-01
Formula: SUMPRODUCT( (LEFT(C,7)='2025-01')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600-000024000000}">
      <text>
        <r>
          <rPr>
            <sz val="10"/>
            <rFont val="Arial"/>
            <family val="2"/>
          </rPr>
          <t>Month 1: 2025-01
Formula: SUMPRODUCT( (LEFT(C,7)='2025-01') * (E='KSAOB.Debit') * (M=6012) * G )
Change amount(G), creditDebitIndicator(E), or MCC(M) in any row → this cell recalculates.</t>
        </r>
      </text>
    </comment>
    <comment ref="V9" authorId="0" shapeId="0" xr:uid="{00000000-0006-0000-0600-000038000000}">
      <text>
        <r>
          <rPr>
            <sz val="10"/>
            <rFont val="Arial"/>
            <family val="2"/>
          </rPr>
          <t>Month 1: 2025-01
Formula: SUMPRODUCT( (LEFT(C,7)='2025-01') * (E='KSAOB.Debit') * (M≠6012) * G )
Change amount(G), creditDebitIndicator(E), or MCC(M) in any row → this cell recalculates.</t>
        </r>
      </text>
    </comment>
    <comment ref="T10" authorId="0" shapeId="0" xr:uid="{00000000-0006-0000-0600-000004000000}">
      <text>
        <r>
          <rPr>
            <sz val="10"/>
            <rFont val="Arial"/>
            <family val="2"/>
          </rPr>
          <t>Month 2: 2025-02
Formula: SUMPRODUCT( (LEFT(C,7)='2025-02')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600-000025000000}">
      <text>
        <r>
          <rPr>
            <sz val="10"/>
            <rFont val="Arial"/>
            <family val="2"/>
          </rPr>
          <t>Month 2: 2025-02
Formula: SUMPRODUCT( (LEFT(C,7)='2025-02') * (E='KSAOB.Debit') * (M=6012) * G )
Change amount(G), creditDebitIndicator(E), or MCC(M) in any row → this cell recalculates.</t>
        </r>
      </text>
    </comment>
    <comment ref="V10" authorId="0" shapeId="0" xr:uid="{00000000-0006-0000-0600-000039000000}">
      <text>
        <r>
          <rPr>
            <sz val="10"/>
            <rFont val="Arial"/>
            <family val="2"/>
          </rPr>
          <t>Month 2: 2025-02
Formula: SUMPRODUCT( (LEFT(C,7)='2025-02') * (E='KSAOB.Debit') * (M≠6012) * G )
Change amount(G), creditDebitIndicator(E), or MCC(M) in any row → this cell recalculates.</t>
        </r>
      </text>
    </comment>
    <comment ref="T11" authorId="0" shapeId="0" xr:uid="{00000000-0006-0000-0600-000005000000}">
      <text>
        <r>
          <rPr>
            <sz val="10"/>
            <rFont val="Arial"/>
            <family val="2"/>
          </rPr>
          <t>Month 3: 2025-03
Formula: SUMPRODUCT( (LEFT(C,7)='2025-03')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600-000026000000}">
      <text>
        <r>
          <rPr>
            <sz val="10"/>
            <rFont val="Arial"/>
            <family val="2"/>
          </rPr>
          <t>Month 3: 2025-03
Formula: SUMPRODUCT( (LEFT(C,7)='2025-03') * (E='KSAOB.Debit') * (M=6012) * G )
Change amount(G), creditDebitIndicator(E), or MCC(M) in any row → this cell recalculates.</t>
        </r>
      </text>
    </comment>
    <comment ref="V11" authorId="0" shapeId="0" xr:uid="{00000000-0006-0000-0600-00003A000000}">
      <text>
        <r>
          <rPr>
            <sz val="10"/>
            <rFont val="Arial"/>
            <family val="2"/>
          </rPr>
          <t>Month 3: 2025-03
Formula: SUMPRODUCT( (LEFT(C,7)='2025-03') * (E='KSAOB.Debit') * (M≠6012) * G )
Change amount(G), creditDebitIndicator(E), or MCC(M) in any row → this cell recalculates.</t>
        </r>
      </text>
    </comment>
    <comment ref="T12" authorId="0" shapeId="0" xr:uid="{00000000-0006-0000-0600-000006000000}">
      <text>
        <r>
          <rPr>
            <sz val="10"/>
            <rFont val="Arial"/>
            <family val="2"/>
          </rPr>
          <t>Month 4: 2025-04
Formula: SUMPRODUCT( (LEFT(C,7)='2025-04')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600-000027000000}">
      <text>
        <r>
          <rPr>
            <sz val="10"/>
            <rFont val="Arial"/>
            <family val="2"/>
          </rPr>
          <t>Month 4: 2025-04
Formula: SUMPRODUCT( (LEFT(C,7)='2025-04') * (E='KSAOB.Debit') * (M=6012) * G )
Change amount(G), creditDebitIndicator(E), or MCC(M) in any row → this cell recalculates.</t>
        </r>
      </text>
    </comment>
    <comment ref="V12" authorId="0" shapeId="0" xr:uid="{00000000-0006-0000-0600-00003B000000}">
      <text>
        <r>
          <rPr>
            <sz val="10"/>
            <rFont val="Arial"/>
            <family val="2"/>
          </rPr>
          <t>Month 4: 2025-04
Formula: SUMPRODUCT( (LEFT(C,7)='2025-04') * (E='KSAOB.Debit') * (M≠6012) * G )
Change amount(G), creditDebitIndicator(E), or MCC(M) in any row → this cell recalculates.</t>
        </r>
      </text>
    </comment>
    <comment ref="T13" authorId="0" shapeId="0" xr:uid="{00000000-0006-0000-0600-000007000000}">
      <text>
        <r>
          <rPr>
            <sz val="10"/>
            <rFont val="Arial"/>
            <family val="2"/>
          </rPr>
          <t>Month 5: 2025-05
Formula: SUMPRODUCT( (LEFT(C,7)='2025-05')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600-000028000000}">
      <text>
        <r>
          <rPr>
            <sz val="10"/>
            <rFont val="Arial"/>
            <family val="2"/>
          </rPr>
          <t>Month 5: 2025-05
Formula: SUMPRODUCT( (LEFT(C,7)='2025-05') * (E='KSAOB.Debit') * (M=6012) * G )
Change amount(G), creditDebitIndicator(E), or MCC(M) in any row → this cell recalculates.</t>
        </r>
      </text>
    </comment>
    <comment ref="V13" authorId="0" shapeId="0" xr:uid="{00000000-0006-0000-0600-00003C000000}">
      <text>
        <r>
          <rPr>
            <sz val="10"/>
            <rFont val="Arial"/>
            <family val="2"/>
          </rPr>
          <t>Month 5: 2025-05
Formula: SUMPRODUCT( (LEFT(C,7)='2025-05') * (E='KSAOB.Debit') * (M≠6012) * G )
Change amount(G), creditDebitIndicator(E), or MCC(M) in any row → this cell recalculates.</t>
        </r>
      </text>
    </comment>
    <comment ref="T14" authorId="0" shapeId="0" xr:uid="{00000000-0006-0000-0600-000008000000}">
      <text>
        <r>
          <rPr>
            <sz val="10"/>
            <rFont val="Arial"/>
            <family val="2"/>
          </rPr>
          <t>Month 6: 2025-06
Formula: SUMPRODUCT( (LEFT(C,7)='2025-06')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600-000029000000}">
      <text>
        <r>
          <rPr>
            <sz val="10"/>
            <rFont val="Arial"/>
            <family val="2"/>
          </rPr>
          <t>Month 6: 2025-06
Formula: SUMPRODUCT( (LEFT(C,7)='2025-06') * (E='KSAOB.Debit') * (M=6012) * G )
Change amount(G), creditDebitIndicator(E), or MCC(M) in any row → this cell recalculates.</t>
        </r>
      </text>
    </comment>
    <comment ref="V14" authorId="0" shapeId="0" xr:uid="{00000000-0006-0000-0600-00003D000000}">
      <text>
        <r>
          <rPr>
            <sz val="10"/>
            <rFont val="Arial"/>
            <family val="2"/>
          </rPr>
          <t>Month 6: 2025-06
Formula: SUMPRODUCT( (LEFT(C,7)='2025-06') * (E='KSAOB.Debit') * (M≠6012) * G )
Change amount(G), creditDebitIndicator(E), or MCC(M) in any row → this cell recalculates.</t>
        </r>
      </text>
    </comment>
    <comment ref="T15" authorId="0" shapeId="0" xr:uid="{00000000-0006-0000-0600-000009000000}">
      <text>
        <r>
          <rPr>
            <sz val="10"/>
            <rFont val="Arial"/>
            <family val="2"/>
          </rPr>
          <t>Month 7: 2025-07
Formula: SUMPRODUCT( (LEFT(C,7)='2025-07')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600-00002A000000}">
      <text>
        <r>
          <rPr>
            <sz val="10"/>
            <rFont val="Arial"/>
            <family val="2"/>
          </rPr>
          <t>Month 7: 2025-07
Formula: SUMPRODUCT( (LEFT(C,7)='2025-07') * (E='KSAOB.Debit') * (M=6012) * G )
Change amount(G), creditDebitIndicator(E), or MCC(M) in any row → this cell recalculates.</t>
        </r>
      </text>
    </comment>
    <comment ref="V15" authorId="0" shapeId="0" xr:uid="{00000000-0006-0000-0600-00003E000000}">
      <text>
        <r>
          <rPr>
            <sz val="10"/>
            <rFont val="Arial"/>
            <family val="2"/>
          </rPr>
          <t>Month 7: 2025-07
Formula: SUMPRODUCT( (LEFT(C,7)='2025-07') * (E='KSAOB.Debit') * (M≠6012) * G )
Change amount(G), creditDebitIndicator(E), or MCC(M) in any row → this cell recalculates.</t>
        </r>
      </text>
    </comment>
    <comment ref="T16" authorId="0" shapeId="0" xr:uid="{00000000-0006-0000-0600-00000A000000}">
      <text>
        <r>
          <rPr>
            <sz val="10"/>
            <rFont val="Arial"/>
            <family val="2"/>
          </rPr>
          <t>Month 8: 2025-08
Formula: SUMPRODUCT( (LEFT(C,7)='2025-08')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600-00002B000000}">
      <text>
        <r>
          <rPr>
            <sz val="10"/>
            <rFont val="Arial"/>
            <family val="2"/>
          </rPr>
          <t>Month 8: 2025-08
Formula: SUMPRODUCT( (LEFT(C,7)='2025-08') * (E='KSAOB.Debit') * (M=6012) * G )
Change amount(G), creditDebitIndicator(E), or MCC(M) in any row → this cell recalculates.</t>
        </r>
      </text>
    </comment>
    <comment ref="V16" authorId="0" shapeId="0" xr:uid="{00000000-0006-0000-0600-00003F000000}">
      <text>
        <r>
          <rPr>
            <sz val="10"/>
            <rFont val="Arial"/>
            <family val="2"/>
          </rPr>
          <t>Month 8: 2025-08
Formula: SUMPRODUCT( (LEFT(C,7)='2025-08') * (E='KSAOB.Debit') * (M≠6012) * G )
Change amount(G), creditDebitIndicator(E), or MCC(M) in any row → this cell recalculates.</t>
        </r>
      </text>
    </comment>
    <comment ref="T17" authorId="0" shapeId="0" xr:uid="{00000000-0006-0000-0600-00000B000000}">
      <text>
        <r>
          <rPr>
            <sz val="10"/>
            <rFont val="Arial"/>
            <family val="2"/>
          </rPr>
          <t>Month 9: 2025-09
Formula: SUMPRODUCT( (LEFT(C,7)='2025-09')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600-00002C000000}">
      <text>
        <r>
          <rPr>
            <sz val="10"/>
            <rFont val="Arial"/>
            <family val="2"/>
          </rPr>
          <t>Month 9: 2025-09
Formula: SUMPRODUCT( (LEFT(C,7)='2025-09') * (E='KSAOB.Debit') * (M=6012) * G )
Change amount(G), creditDebitIndicator(E), or MCC(M) in any row → this cell recalculates.</t>
        </r>
      </text>
    </comment>
    <comment ref="V17" authorId="0" shapeId="0" xr:uid="{00000000-0006-0000-0600-000040000000}">
      <text>
        <r>
          <rPr>
            <sz val="10"/>
            <rFont val="Arial"/>
            <family val="2"/>
          </rPr>
          <t>Month 9: 2025-09
Formula: SUMPRODUCT( (LEFT(C,7)='2025-09') * (E='KSAOB.Debit') * (M≠6012) * G )
Change amount(G), creditDebitIndicator(E), or MCC(M) in any row → this cell recalculates.</t>
        </r>
      </text>
    </comment>
    <comment ref="T18" authorId="0" shapeId="0" xr:uid="{00000000-0006-0000-0600-00000C000000}">
      <text>
        <r>
          <rPr>
            <sz val="10"/>
            <rFont val="Arial"/>
            <family val="2"/>
          </rPr>
          <t>Month 10: 2025-10
Formula: SUMPRODUCT( (LEFT(C,7)='2025-10') * (E='KSAOB.Credit') * (K='KSAOB.Deposit') * G )
Change amount(G), creditDebitIndicator(E), or subTransactionType(K) in any row → this cell recalculates.</t>
        </r>
      </text>
    </comment>
    <comment ref="U18" authorId="0" shapeId="0" xr:uid="{00000000-0006-0000-0600-00002D000000}">
      <text>
        <r>
          <rPr>
            <sz val="10"/>
            <rFont val="Arial"/>
            <family val="2"/>
          </rPr>
          <t>Month 10: 2025-10
Formula: SUMPRODUCT( (LEFT(C,7)='2025-10') * (E='KSAOB.Debit') * (M=6012) * G )
Change amount(G), creditDebitIndicator(E), or MCC(M) in any row → this cell recalculates.</t>
        </r>
      </text>
    </comment>
    <comment ref="V18" authorId="0" shapeId="0" xr:uid="{00000000-0006-0000-0600-000041000000}">
      <text>
        <r>
          <rPr>
            <sz val="10"/>
            <rFont val="Arial"/>
            <family val="2"/>
          </rPr>
          <t>Month 10: 2025-10
Formula: SUMPRODUCT( (LEFT(C,7)='2025-10') * (E='KSAOB.Debit') * (M≠6012) * G )
Change amount(G), creditDebitIndicator(E), or MCC(M) in any row → this cell recalculates.</t>
        </r>
      </text>
    </comment>
    <comment ref="T19" authorId="0" shapeId="0" xr:uid="{00000000-0006-0000-0600-00000D000000}">
      <text>
        <r>
          <rPr>
            <sz val="10"/>
            <rFont val="Arial"/>
            <family val="2"/>
          </rPr>
          <t>Month 11: 2025-11
Formula: SUMPRODUCT( (LEFT(C,7)='2025-11') * (E='KSAOB.Credit') * (K='KSAOB.Deposit') * G )
Change amount(G), creditDebitIndicator(E), or subTransactionType(K) in any row → this cell recalculates.</t>
        </r>
      </text>
    </comment>
    <comment ref="U19" authorId="0" shapeId="0" xr:uid="{00000000-0006-0000-0600-00002E000000}">
      <text>
        <r>
          <rPr>
            <sz val="10"/>
            <rFont val="Arial"/>
            <family val="2"/>
          </rPr>
          <t>Month 11: 2025-11
Formula: SUMPRODUCT( (LEFT(C,7)='2025-11') * (E='KSAOB.Debit') * (M=6012) * G )
Change amount(G), creditDebitIndicator(E), or MCC(M) in any row → this cell recalculates.</t>
        </r>
      </text>
    </comment>
    <comment ref="V19" authorId="0" shapeId="0" xr:uid="{00000000-0006-0000-0600-000042000000}">
      <text>
        <r>
          <rPr>
            <sz val="10"/>
            <rFont val="Arial"/>
            <family val="2"/>
          </rPr>
          <t>Month 11: 2025-11
Formula: SUMPRODUCT( (LEFT(C,7)='2025-11') * (E='KSAOB.Debit') * (M≠6012) * G )
Change amount(G), creditDebitIndicator(E), or MCC(M) in any row → this cell recalculates.</t>
        </r>
      </text>
    </comment>
    <comment ref="T20" authorId="0" shapeId="0" xr:uid="{00000000-0006-0000-0600-00000E000000}">
      <text>
        <r>
          <rPr>
            <sz val="10"/>
            <rFont val="Arial"/>
            <family val="2"/>
          </rPr>
          <t>Month 12: 2025-12
Formula: SUMPRODUCT( (LEFT(C,7)='2025-12') * (E='KSAOB.Credit') * (K='KSAOB.Deposit') * G )
Change amount(G), creditDebitIndicator(E), or subTransactionType(K) in any row → this cell recalculates.</t>
        </r>
      </text>
    </comment>
    <comment ref="U20" authorId="0" shapeId="0" xr:uid="{00000000-0006-0000-0600-00002F000000}">
      <text>
        <r>
          <rPr>
            <sz val="10"/>
            <rFont val="Arial"/>
            <family val="2"/>
          </rPr>
          <t>Month 12: 2025-12
Formula: SUMPRODUCT( (LEFT(C,7)='2025-12') * (E='KSAOB.Debit') * (M=6012) * G )
Change amount(G), creditDebitIndicator(E), or MCC(M) in any row → this cell recalculates.</t>
        </r>
      </text>
    </comment>
    <comment ref="V20" authorId="0" shapeId="0" xr:uid="{00000000-0006-0000-0600-000043000000}">
      <text>
        <r>
          <rPr>
            <sz val="10"/>
            <rFont val="Arial"/>
            <family val="2"/>
          </rPr>
          <t>Month 12: 2025-12
Formula: SUMPRODUCT( (LEFT(C,7)='2025-12') * (E='KSAOB.Debit') * (M≠6012) * G )
Change amount(G), creditDebitIndicator(E), or MCC(M) in any row → this cell recalculates.</t>
        </r>
      </text>
    </comment>
    <comment ref="T24" authorId="0" shapeId="0" xr:uid="{00000000-0006-0000-0600-00000F000000}">
      <text>
        <r>
          <rPr>
            <sz val="10"/>
            <rFont val="Arial"/>
            <family val="2"/>
          </rPr>
          <t>Average salary income across all 12 months.
Formula: AVERAGEIF(T9:T20,"&gt;0") — skips empty month slots.</t>
        </r>
      </text>
    </comment>
    <comment ref="T28" authorId="0" shapeId="0" xr:uid="{00000000-0006-0000-0600-000010000000}">
      <text>
        <r>
          <rPr>
            <sz val="10"/>
            <rFont val="Arial"/>
            <family val="2"/>
          </rPr>
          <t>MEDIAN(T9:T20)
Median of all monthly salary rows. Used only to set spike threshold below.</t>
        </r>
      </text>
    </comment>
    <comment ref="T29" authorId="0" shapeId="0" xr:uid="{00000000-0006-0000-0600-000011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600-000012000000}">
      <text>
        <r>
          <rPr>
            <sz val="10"/>
            <rFont val="Arial"/>
            <family val="2"/>
          </rPr>
          <t>MEDIAN(MIN(T18,T29), MIN(T19,T29), MIN(T20,T29))
Takes salary from rows 18 (2025-10), 19 (2025-11), 20 (2025-12).
Each capped at spike threshold before MEDIAN → spike months don't inflate score.</t>
        </r>
      </text>
    </comment>
    <comment ref="T31" authorId="0" shapeId="0" xr:uid="{00000000-0006-0000-0600-000013000000}">
      <text>
        <r>
          <rPr>
            <sz val="10"/>
            <rFont val="Arial"/>
            <family val="2"/>
          </rPr>
          <t>=T20  (salary SUMPRODUCT for 2025-12)
Total salary/deposit credits in the MOST RECENT month only.
Represents current salary bracket for risk categorisation.</t>
        </r>
      </text>
    </comment>
    <comment ref="T32" authorId="0" shapeId="0" xr:uid="{00000000-0006-0000-0600-000014000000}">
      <text>
        <r>
          <rPr>
            <sz val="10"/>
            <rFont val="Arial"/>
            <family val="2"/>
          </rPr>
          <t>=U20  (loan SUMPRODUCT for 2025-12)
SUM of all MCC=6012 debits in the LAST MONTH only.
Change amount or MCC on any row → this value updates.</t>
        </r>
      </text>
    </comment>
    <comment ref="T33" authorId="0" shapeId="0" xr:uid="{00000000-0006-0000-0600-000015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600-000016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600-000017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600-000018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600-000019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600-000030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600-000031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600-000032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600-000033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600-000034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600-000035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600-000036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600-00001A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600-00001B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600-00001C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600-00001D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600-00001E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600-00001F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600-000020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600-000021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600-000022000000}">
      <text>
        <r>
          <rPr>
            <sz val="10"/>
            <rFont val="Arial"/>
            <family val="2"/>
          </rPr>
          <t>AUTO-COMPUTED
Months with salary received ÷ 12 total months.
Per month: checks creditDebitIndicator=KSAOB.Credit AND subTransactionType=KSAOB.Deposit.
Change subTransactionType on salary rows → regularity updates.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7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7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700-000020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700-000031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700-000003000000}">
      <text>
        <r>
          <rPr>
            <sz val="10"/>
            <rFont val="Arial"/>
            <family val="2"/>
          </rPr>
          <t>Month 1: 2025-06
Formula: SUMPRODUCT( (LEFT(C,7)='2025-06')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700-000021000000}">
      <text>
        <r>
          <rPr>
            <sz val="10"/>
            <rFont val="Arial"/>
            <family val="2"/>
          </rPr>
          <t>Month 1: 2025-06
Formula: SUMPRODUCT( (LEFT(C,7)='2025-06') * (E='KSAOB.Debit') * (M=6012) * G )
Change amount(G), creditDebitIndicator(E), or MCC(M) in any row → this cell recalculates.</t>
        </r>
      </text>
    </comment>
    <comment ref="V9" authorId="0" shapeId="0" xr:uid="{00000000-0006-0000-0700-000032000000}">
      <text>
        <r>
          <rPr>
            <sz val="10"/>
            <rFont val="Arial"/>
            <family val="2"/>
          </rPr>
          <t>Month 1: 2025-06
Formula: SUMPRODUCT( (LEFT(C,7)='2025-06') * (E='KSAOB.Debit') * (M≠6012) * G )
Change amount(G), creditDebitIndicator(E), or MCC(M) in any row → this cell recalculates.</t>
        </r>
      </text>
    </comment>
    <comment ref="T10" authorId="0" shapeId="0" xr:uid="{00000000-0006-0000-0700-000004000000}">
      <text>
        <r>
          <rPr>
            <sz val="10"/>
            <rFont val="Arial"/>
            <family val="2"/>
          </rPr>
          <t>Month 2: 2025-07
Formula: SUMPRODUCT( (LEFT(C,7)='2025-07')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700-000022000000}">
      <text>
        <r>
          <rPr>
            <sz val="10"/>
            <rFont val="Arial"/>
            <family val="2"/>
          </rPr>
          <t>Month 2: 2025-07
Formula: SUMPRODUCT( (LEFT(C,7)='2025-07') * (E='KSAOB.Debit') * (M=6012) * G )
Change amount(G), creditDebitIndicator(E), or MCC(M) in any row → this cell recalculates.</t>
        </r>
      </text>
    </comment>
    <comment ref="V10" authorId="0" shapeId="0" xr:uid="{00000000-0006-0000-0700-000033000000}">
      <text>
        <r>
          <rPr>
            <sz val="10"/>
            <rFont val="Arial"/>
            <family val="2"/>
          </rPr>
          <t>Month 2: 2025-07
Formula: SUMPRODUCT( (LEFT(C,7)='2025-07') * (E='KSAOB.Debit') * (M≠6012) * G )
Change amount(G), creditDebitIndicator(E), or MCC(M) in any row → this cell recalculates.</t>
        </r>
      </text>
    </comment>
    <comment ref="T11" authorId="0" shapeId="0" xr:uid="{00000000-0006-0000-0700-000005000000}">
      <text>
        <r>
          <rPr>
            <sz val="10"/>
            <rFont val="Arial"/>
            <family val="2"/>
          </rPr>
          <t>Month 3: 2025-08
Formula: SUMPRODUCT( (LEFT(C,7)='2025-08')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700-000023000000}">
      <text>
        <r>
          <rPr>
            <sz val="10"/>
            <rFont val="Arial"/>
            <family val="2"/>
          </rPr>
          <t>Month 3: 2025-08
Formula: SUMPRODUCT( (LEFT(C,7)='2025-08') * (E='KSAOB.Debit') * (M=6012) * G )
Change amount(G), creditDebitIndicator(E), or MCC(M) in any row → this cell recalculates.</t>
        </r>
      </text>
    </comment>
    <comment ref="V11" authorId="0" shapeId="0" xr:uid="{00000000-0006-0000-0700-000034000000}">
      <text>
        <r>
          <rPr>
            <sz val="10"/>
            <rFont val="Arial"/>
            <family val="2"/>
          </rPr>
          <t>Month 3: 2025-08
Formula: SUMPRODUCT( (LEFT(C,7)='2025-08') * (E='KSAOB.Debit') * (M≠6012) * G )
Change amount(G), creditDebitIndicator(E), or MCC(M) in any row → this cell recalculates.</t>
        </r>
      </text>
    </comment>
    <comment ref="T12" authorId="0" shapeId="0" xr:uid="{00000000-0006-0000-0700-000006000000}">
      <text>
        <r>
          <rPr>
            <sz val="10"/>
            <rFont val="Arial"/>
            <family val="2"/>
          </rPr>
          <t>Month 4: 2025-09
Formula: SUMPRODUCT( (LEFT(C,7)='2025-09')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700-000024000000}">
      <text>
        <r>
          <rPr>
            <sz val="10"/>
            <rFont val="Arial"/>
            <family val="2"/>
          </rPr>
          <t>Month 4: 2025-09
Formula: SUMPRODUCT( (LEFT(C,7)='2025-09') * (E='KSAOB.Debit') * (M=6012) * G )
Change amount(G), creditDebitIndicator(E), or MCC(M) in any row → this cell recalculates.</t>
        </r>
      </text>
    </comment>
    <comment ref="V12" authorId="0" shapeId="0" xr:uid="{00000000-0006-0000-0700-000035000000}">
      <text>
        <r>
          <rPr>
            <sz val="10"/>
            <rFont val="Arial"/>
            <family val="2"/>
          </rPr>
          <t>Month 4: 2025-09
Formula: SUMPRODUCT( (LEFT(C,7)='2025-09') * (E='KSAOB.Debit') * (M≠6012) * G )
Change amount(G), creditDebitIndicator(E), or MCC(M) in any row → this cell recalculates.</t>
        </r>
      </text>
    </comment>
    <comment ref="T13" authorId="0" shapeId="0" xr:uid="{00000000-0006-0000-0700-000007000000}">
      <text>
        <r>
          <rPr>
            <sz val="10"/>
            <rFont val="Arial"/>
            <family val="2"/>
          </rPr>
          <t>Month 5: 2025-10
Formula: SUMPRODUCT( (LEFT(C,7)='2025-10')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700-000025000000}">
      <text>
        <r>
          <rPr>
            <sz val="10"/>
            <rFont val="Arial"/>
            <family val="2"/>
          </rPr>
          <t>Month 5: 2025-10
Formula: SUMPRODUCT( (LEFT(C,7)='2025-10') * (E='KSAOB.Debit') * (M=6012) * G )
Change amount(G), creditDebitIndicator(E), or MCC(M) in any row → this cell recalculates.</t>
        </r>
      </text>
    </comment>
    <comment ref="V13" authorId="0" shapeId="0" xr:uid="{00000000-0006-0000-0700-000036000000}">
      <text>
        <r>
          <rPr>
            <sz val="10"/>
            <rFont val="Arial"/>
            <family val="2"/>
          </rPr>
          <t>Month 5: 2025-10
Formula: SUMPRODUCT( (LEFT(C,7)='2025-10') * (E='KSAOB.Debit') * (M≠6012) * G )
Change amount(G), creditDebitIndicator(E), or MCC(M) in any row → this cell recalculates.</t>
        </r>
      </text>
    </comment>
    <comment ref="T14" authorId="0" shapeId="0" xr:uid="{00000000-0006-0000-0700-000008000000}">
      <text>
        <r>
          <rPr>
            <sz val="10"/>
            <rFont val="Arial"/>
            <family val="2"/>
          </rPr>
          <t>Month 6: 2025-11
Formula: SUMPRODUCT( (LEFT(C,7)='2025-11')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700-000026000000}">
      <text>
        <r>
          <rPr>
            <sz val="10"/>
            <rFont val="Arial"/>
            <family val="2"/>
          </rPr>
          <t>Month 6: 2025-11
Formula: SUMPRODUCT( (LEFT(C,7)='2025-11') * (E='KSAOB.Debit') * (M=6012) * G )
Change amount(G), creditDebitIndicator(E), or MCC(M) in any row → this cell recalculates.</t>
        </r>
      </text>
    </comment>
    <comment ref="V14" authorId="0" shapeId="0" xr:uid="{00000000-0006-0000-0700-000037000000}">
      <text>
        <r>
          <rPr>
            <sz val="10"/>
            <rFont val="Arial"/>
            <family val="2"/>
          </rPr>
          <t>Month 6: 2025-11
Formula: SUMPRODUCT( (LEFT(C,7)='2025-11') * (E='KSAOB.Debit') * (M≠6012) * G )
Change amount(G), creditDebitIndicator(E), or MCC(M) in any row → this cell recalculates.</t>
        </r>
      </text>
    </comment>
    <comment ref="T15" authorId="0" shapeId="0" xr:uid="{00000000-0006-0000-0700-000009000000}">
      <text>
        <r>
          <rPr>
            <sz val="10"/>
            <rFont val="Arial"/>
            <family val="2"/>
          </rPr>
          <t>Month 7: 2025-12
Formula: SUMPRODUCT( (LEFT(C,7)='2025-12')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700-000027000000}">
      <text>
        <r>
          <rPr>
            <sz val="10"/>
            <rFont val="Arial"/>
            <family val="2"/>
          </rPr>
          <t>Month 7: 2025-12
Formula: SUMPRODUCT( (LEFT(C,7)='2025-12') * (E='KSAOB.Debit') * (M=6012) * G )
Change amount(G), creditDebitIndicator(E), or MCC(M) in any row → this cell recalculates.</t>
        </r>
      </text>
    </comment>
    <comment ref="V15" authorId="0" shapeId="0" xr:uid="{00000000-0006-0000-0700-000038000000}">
      <text>
        <r>
          <rPr>
            <sz val="10"/>
            <rFont val="Arial"/>
            <family val="2"/>
          </rPr>
          <t>Month 7: 2025-12
Formula: SUMPRODUCT( (LEFT(C,7)='2025-12') * (E='KSAOB.Debit') * (M≠6012) * G )
Change amount(G), creditDebitIndicator(E), or MCC(M) in any row → this cell recalculates.</t>
        </r>
      </text>
    </comment>
    <comment ref="T16" authorId="0" shapeId="0" xr:uid="{00000000-0006-0000-0700-00000A000000}">
      <text>
        <r>
          <rPr>
            <sz val="10"/>
            <rFont val="Arial"/>
            <family val="2"/>
          </rPr>
          <t>Month 8: 2026-01
Formula: SUMPRODUCT( (LEFT(C,7)='2026-01')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700-000028000000}">
      <text>
        <r>
          <rPr>
            <sz val="10"/>
            <rFont val="Arial"/>
            <family val="2"/>
          </rPr>
          <t>Month 8: 2026-01
Formula: SUMPRODUCT( (LEFT(C,7)='2026-01') * (E='KSAOB.Debit') * (M=6012) * G )
Change amount(G), creditDebitIndicator(E), or MCC(M) in any row → this cell recalculates.</t>
        </r>
      </text>
    </comment>
    <comment ref="V16" authorId="0" shapeId="0" xr:uid="{00000000-0006-0000-0700-000039000000}">
      <text>
        <r>
          <rPr>
            <sz val="10"/>
            <rFont val="Arial"/>
            <family val="2"/>
          </rPr>
          <t>Month 8: 2026-01
Formula: SUMPRODUCT( (LEFT(C,7)='2026-01') * (E='KSAOB.Debit') * (M≠6012) * G )
Change amount(G), creditDebitIndicator(E), or MCC(M) in any row → this cell recalculates.</t>
        </r>
      </text>
    </comment>
    <comment ref="T17" authorId="0" shapeId="0" xr:uid="{00000000-0006-0000-0700-00000B000000}">
      <text>
        <r>
          <rPr>
            <sz val="10"/>
            <rFont val="Arial"/>
            <family val="2"/>
          </rPr>
          <t>Month 9: 2026-02
Formula: SUMPRODUCT( (LEFT(C,7)='2026-02')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700-000029000000}">
      <text>
        <r>
          <rPr>
            <sz val="10"/>
            <rFont val="Arial"/>
            <family val="2"/>
          </rPr>
          <t>Month 9: 2026-02
Formula: SUMPRODUCT( (LEFT(C,7)='2026-02') * (E='KSAOB.Debit') * (M=6012) * G )
Change amount(G), creditDebitIndicator(E), or MCC(M) in any row → this cell recalculates.</t>
        </r>
      </text>
    </comment>
    <comment ref="V17" authorId="0" shapeId="0" xr:uid="{00000000-0006-0000-0700-00003A000000}">
      <text>
        <r>
          <rPr>
            <sz val="10"/>
            <rFont val="Arial"/>
            <family val="2"/>
          </rPr>
          <t>Month 9: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700-00000C000000}">
      <text>
        <r>
          <rPr>
            <sz val="10"/>
            <rFont val="Arial"/>
            <family val="2"/>
          </rPr>
          <t>Average salary income across all 9 months.
Formula: AVERAGEIF(T9:T17,"&gt;0") — skips empty month slots.</t>
        </r>
      </text>
    </comment>
    <comment ref="T28" authorId="0" shapeId="0" xr:uid="{00000000-0006-0000-0700-00000D000000}">
      <text>
        <r>
          <rPr>
            <sz val="10"/>
            <rFont val="Arial"/>
            <family val="2"/>
          </rPr>
          <t>MEDIAN(T9:T17)
Median of all monthly salary rows. Used only to set spike threshold below.</t>
        </r>
      </text>
    </comment>
    <comment ref="T29" authorId="0" shapeId="0" xr:uid="{00000000-0006-0000-0700-00000E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700-00000F000000}">
      <text>
        <r>
          <rPr>
            <sz val="10"/>
            <rFont val="Arial"/>
            <family val="2"/>
          </rPr>
          <t>MEDIAN(MIN(T15,T29), MIN(T16,T29), MIN(T17,T29))
Takes salary from rows 15 (2025-12), 16 (2026-01), 17 (2026-02).
Each capped at spike threshold before MEDIAN → spike months don't inflate score.</t>
        </r>
      </text>
    </comment>
    <comment ref="T31" authorId="0" shapeId="0" xr:uid="{00000000-0006-0000-0700-000010000000}">
      <text>
        <r>
          <rPr>
            <sz val="10"/>
            <rFont val="Arial"/>
            <family val="2"/>
          </rPr>
          <t>=T17  (salary SUMPRODUCT for 2026-02)
Total salary/deposit credits in the MOST RECENT month only.
Represents current salary bracket for risk categorisation.</t>
        </r>
      </text>
    </comment>
    <comment ref="T32" authorId="0" shapeId="0" xr:uid="{00000000-0006-0000-0700-000011000000}">
      <text>
        <r>
          <rPr>
            <sz val="10"/>
            <rFont val="Arial"/>
            <family val="2"/>
          </rPr>
          <t>=U17  (loan SUMPRODUCT for 2026-02)
SUM of all MCC=6012 debits in the LAST MONTH only.
Change amount or MCC on any row → this value updates.</t>
        </r>
      </text>
    </comment>
    <comment ref="T33" authorId="0" shapeId="0" xr:uid="{00000000-0006-0000-0700-000012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700-000013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700-000014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700-000015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700-000016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700-00002A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700-00002B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700-00002C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700-00002D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700-00002E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700-00002F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700-000030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700-000017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700-000018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700-000019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700-00001A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700-00001B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700-00001C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700-00001D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700-00001E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700-00001F000000}">
      <text>
        <r>
          <rPr>
            <sz val="10"/>
            <rFont val="Arial"/>
            <family val="2"/>
          </rPr>
          <t>AUTO-COMPUTED
Months with salary received ÷ 9 total months.
Per month: checks creditDebitIndicator=KSAOB.Credit AND subTransactionType=KSAOB.Deposit.
Change subTransactionType on salary rows → regularity updates.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8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8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800-000020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800-000031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800-000003000000}">
      <text>
        <r>
          <rPr>
            <sz val="10"/>
            <rFont val="Arial"/>
            <family val="2"/>
          </rPr>
          <t>Month 1: 2025-04
Formula: SUMPRODUCT( (LEFT(C,7)='2025-04')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800-000021000000}">
      <text>
        <r>
          <rPr>
            <sz val="10"/>
            <rFont val="Arial"/>
            <family val="2"/>
          </rPr>
          <t>Month 1: 2025-04
Formula: SUMPRODUCT( (LEFT(C,7)='2025-04') * (E='KSAOB.Debit') * (M=6012) * G )
Change amount(G), creditDebitIndicator(E), or MCC(M) in any row → this cell recalculates.</t>
        </r>
      </text>
    </comment>
    <comment ref="V9" authorId="0" shapeId="0" xr:uid="{00000000-0006-0000-0800-000032000000}">
      <text>
        <r>
          <rPr>
            <sz val="10"/>
            <rFont val="Arial"/>
            <family val="2"/>
          </rPr>
          <t>Month 1: 2025-04
Formula: SUMPRODUCT( (LEFT(C,7)='2025-04') * (E='KSAOB.Debit') * (M≠6012) * G )
Change amount(G), creditDebitIndicator(E), or MCC(M) in any row → this cell recalculates.</t>
        </r>
      </text>
    </comment>
    <comment ref="T10" authorId="0" shapeId="0" xr:uid="{00000000-0006-0000-0800-000004000000}">
      <text>
        <r>
          <rPr>
            <sz val="10"/>
            <rFont val="Arial"/>
            <family val="2"/>
          </rPr>
          <t>Month 2: 2025-05
Formula: SUMPRODUCT( (LEFT(C,7)='2025-05')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800-000022000000}">
      <text>
        <r>
          <rPr>
            <sz val="10"/>
            <rFont val="Arial"/>
            <family val="2"/>
          </rPr>
          <t>Month 2: 2025-05
Formula: SUMPRODUCT( (LEFT(C,7)='2025-05') * (E='KSAOB.Debit') * (M=6012) * G )
Change amount(G), creditDebitIndicator(E), or MCC(M) in any row → this cell recalculates.</t>
        </r>
      </text>
    </comment>
    <comment ref="V10" authorId="0" shapeId="0" xr:uid="{00000000-0006-0000-0800-000033000000}">
      <text>
        <r>
          <rPr>
            <sz val="10"/>
            <rFont val="Arial"/>
            <family val="2"/>
          </rPr>
          <t>Month 2: 2025-05
Formula: SUMPRODUCT( (LEFT(C,7)='2025-05') * (E='KSAOB.Debit') * (M≠6012) * G )
Change amount(G), creditDebitIndicator(E), or MCC(M) in any row → this cell recalculates.</t>
        </r>
      </text>
    </comment>
    <comment ref="T11" authorId="0" shapeId="0" xr:uid="{00000000-0006-0000-0800-000005000000}">
      <text>
        <r>
          <rPr>
            <sz val="10"/>
            <rFont val="Arial"/>
            <family val="2"/>
          </rPr>
          <t>Month 3: 2025-06
Formula: SUMPRODUCT( (LEFT(C,7)='2025-06')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800-000023000000}">
      <text>
        <r>
          <rPr>
            <sz val="10"/>
            <rFont val="Arial"/>
            <family val="2"/>
          </rPr>
          <t>Month 3: 2025-06
Formula: SUMPRODUCT( (LEFT(C,7)='2025-06') * (E='KSAOB.Debit') * (M=6012) * G )
Change amount(G), creditDebitIndicator(E), or MCC(M) in any row → this cell recalculates.</t>
        </r>
      </text>
    </comment>
    <comment ref="V11" authorId="0" shapeId="0" xr:uid="{00000000-0006-0000-0800-000034000000}">
      <text>
        <r>
          <rPr>
            <sz val="10"/>
            <rFont val="Arial"/>
            <family val="2"/>
          </rPr>
          <t>Month 3: 2025-06
Formula: SUMPRODUCT( (LEFT(C,7)='2025-06') * (E='KSAOB.Debit') * (M≠6012) * G )
Change amount(G), creditDebitIndicator(E), or MCC(M) in any row → this cell recalculates.</t>
        </r>
      </text>
    </comment>
    <comment ref="T12" authorId="0" shapeId="0" xr:uid="{00000000-0006-0000-0800-000006000000}">
      <text>
        <r>
          <rPr>
            <sz val="10"/>
            <rFont val="Arial"/>
            <family val="2"/>
          </rPr>
          <t>Month 4: 2025-07
Formula: SUMPRODUCT( (LEFT(C,7)='2025-07')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800-000024000000}">
      <text>
        <r>
          <rPr>
            <sz val="10"/>
            <rFont val="Arial"/>
            <family val="2"/>
          </rPr>
          <t>Month 4: 2025-07
Formula: SUMPRODUCT( (LEFT(C,7)='2025-07') * (E='KSAOB.Debit') * (M=6012) * G )
Change amount(G), creditDebitIndicator(E), or MCC(M) in any row → this cell recalculates.</t>
        </r>
      </text>
    </comment>
    <comment ref="V12" authorId="0" shapeId="0" xr:uid="{00000000-0006-0000-0800-000035000000}">
      <text>
        <r>
          <rPr>
            <sz val="10"/>
            <rFont val="Arial"/>
            <family val="2"/>
          </rPr>
          <t>Month 4: 2025-07
Formula: SUMPRODUCT( (LEFT(C,7)='2025-07') * (E='KSAOB.Debit') * (M≠6012) * G )
Change amount(G), creditDebitIndicator(E), or MCC(M) in any row → this cell recalculates.</t>
        </r>
      </text>
    </comment>
    <comment ref="T13" authorId="0" shapeId="0" xr:uid="{00000000-0006-0000-0800-000007000000}">
      <text>
        <r>
          <rPr>
            <sz val="10"/>
            <rFont val="Arial"/>
            <family val="2"/>
          </rPr>
          <t>Month 5: 2025-08
Formula: SUMPRODUCT( (LEFT(C,7)='2025-08')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800-000025000000}">
      <text>
        <r>
          <rPr>
            <sz val="10"/>
            <rFont val="Arial"/>
            <family val="2"/>
          </rPr>
          <t>Month 5: 2025-08
Formula: SUMPRODUCT( (LEFT(C,7)='2025-08') * (E='KSAOB.Debit') * (M=6012) * G )
Change amount(G), creditDebitIndicator(E), or MCC(M) in any row → this cell recalculates.</t>
        </r>
      </text>
    </comment>
    <comment ref="V13" authorId="0" shapeId="0" xr:uid="{00000000-0006-0000-0800-000036000000}">
      <text>
        <r>
          <rPr>
            <sz val="10"/>
            <rFont val="Arial"/>
            <family val="2"/>
          </rPr>
          <t>Month 5: 2025-08
Formula: SUMPRODUCT( (LEFT(C,7)='2025-08') * (E='KSAOB.Debit') * (M≠6012) * G )
Change amount(G), creditDebitIndicator(E), or MCC(M) in any row → this cell recalculates.</t>
        </r>
      </text>
    </comment>
    <comment ref="T14" authorId="0" shapeId="0" xr:uid="{00000000-0006-0000-0800-000008000000}">
      <text>
        <r>
          <rPr>
            <sz val="10"/>
            <rFont val="Arial"/>
            <family val="2"/>
          </rPr>
          <t>Month 6: 2025-09
Formula: SUMPRODUCT( (LEFT(C,7)='2025-09')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800-000026000000}">
      <text>
        <r>
          <rPr>
            <sz val="10"/>
            <rFont val="Arial"/>
            <family val="2"/>
          </rPr>
          <t>Month 6: 2025-09
Formula: SUMPRODUCT( (LEFT(C,7)='2025-09') * (E='KSAOB.Debit') * (M=6012) * G )
Change amount(G), creditDebitIndicator(E), or MCC(M) in any row → this cell recalculates.</t>
        </r>
      </text>
    </comment>
    <comment ref="V14" authorId="0" shapeId="0" xr:uid="{00000000-0006-0000-0800-000037000000}">
      <text>
        <r>
          <rPr>
            <sz val="10"/>
            <rFont val="Arial"/>
            <family val="2"/>
          </rPr>
          <t>Month 6: 2025-09
Formula: SUMPRODUCT( (LEFT(C,7)='2025-09') * (E='KSAOB.Debit') * (M≠6012) * G )
Change amount(G), creditDebitIndicator(E), or MCC(M) in any row → this cell recalculates.</t>
        </r>
      </text>
    </comment>
    <comment ref="T15" authorId="0" shapeId="0" xr:uid="{00000000-0006-0000-0800-000009000000}">
      <text>
        <r>
          <rPr>
            <sz val="10"/>
            <rFont val="Arial"/>
            <family val="2"/>
          </rPr>
          <t>Month 7: 2025-10
Formula: SUMPRODUCT( (LEFT(C,7)='2025-10')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800-000027000000}">
      <text>
        <r>
          <rPr>
            <sz val="10"/>
            <rFont val="Arial"/>
            <family val="2"/>
          </rPr>
          <t>Month 7: 2025-10
Formula: SUMPRODUCT( (LEFT(C,7)='2025-10') * (E='KSAOB.Debit') * (M=6012) * G )
Change amount(G), creditDebitIndicator(E), or MCC(M) in any row → this cell recalculates.</t>
        </r>
      </text>
    </comment>
    <comment ref="V15" authorId="0" shapeId="0" xr:uid="{00000000-0006-0000-0800-000038000000}">
      <text>
        <r>
          <rPr>
            <sz val="10"/>
            <rFont val="Arial"/>
            <family val="2"/>
          </rPr>
          <t>Month 7: 2025-10
Formula: SUMPRODUCT( (LEFT(C,7)='2025-10') * (E='KSAOB.Debit') * (M≠6012) * G )
Change amount(G), creditDebitIndicator(E), or MCC(M) in any row → this cell recalculates.</t>
        </r>
      </text>
    </comment>
    <comment ref="T16" authorId="0" shapeId="0" xr:uid="{00000000-0006-0000-0800-00000A000000}">
      <text>
        <r>
          <rPr>
            <sz val="10"/>
            <rFont val="Arial"/>
            <family val="2"/>
          </rPr>
          <t>Month 8: 2025-11
Formula: SUMPRODUCT( (LEFT(C,7)='2025-11')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800-000028000000}">
      <text>
        <r>
          <rPr>
            <sz val="10"/>
            <rFont val="Arial"/>
            <family val="2"/>
          </rPr>
          <t>Month 8: 2025-11
Formula: SUMPRODUCT( (LEFT(C,7)='2025-11') * (E='KSAOB.Debit') * (M=6012) * G )
Change amount(G), creditDebitIndicator(E), or MCC(M) in any row → this cell recalculates.</t>
        </r>
      </text>
    </comment>
    <comment ref="V16" authorId="0" shapeId="0" xr:uid="{00000000-0006-0000-0800-000039000000}">
      <text>
        <r>
          <rPr>
            <sz val="10"/>
            <rFont val="Arial"/>
            <family val="2"/>
          </rPr>
          <t>Month 8: 2025-11
Formula: SUMPRODUCT( (LEFT(C,7)='2025-11') * (E='KSAOB.Debit') * (M≠6012) * G )
Change amount(G), creditDebitIndicator(E), or MCC(M) in any row → this cell recalculates.</t>
        </r>
      </text>
    </comment>
    <comment ref="T17" authorId="0" shapeId="0" xr:uid="{00000000-0006-0000-0800-00000B000000}">
      <text>
        <r>
          <rPr>
            <sz val="10"/>
            <rFont val="Arial"/>
            <family val="2"/>
          </rPr>
          <t>Month 9: 2025-12
Formula: SUMPRODUCT( (LEFT(C,7)='2025-12')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800-000029000000}">
      <text>
        <r>
          <rPr>
            <sz val="10"/>
            <rFont val="Arial"/>
            <family val="2"/>
          </rPr>
          <t>Month 9: 2025-12
Formula: SUMPRODUCT( (LEFT(C,7)='2025-12') * (E='KSAOB.Debit') * (M=6012) * G )
Change amount(G), creditDebitIndicator(E), or MCC(M) in any row → this cell recalculates.</t>
        </r>
      </text>
    </comment>
    <comment ref="V17" authorId="0" shapeId="0" xr:uid="{00000000-0006-0000-0800-00003A000000}">
      <text>
        <r>
          <rPr>
            <sz val="10"/>
            <rFont val="Arial"/>
            <family val="2"/>
          </rPr>
          <t>Month 9: 2025-12
Formula: SUMPRODUCT( (LEFT(C,7)='2025-12') * (E='KSAOB.Debit') * (M≠6012) * G )
Change amount(G), creditDebitIndicator(E), or MCC(M) in any row → this cell recalculates.</t>
        </r>
      </text>
    </comment>
    <comment ref="T24" authorId="0" shapeId="0" xr:uid="{00000000-0006-0000-0800-00000C000000}">
      <text>
        <r>
          <rPr>
            <sz val="10"/>
            <rFont val="Arial"/>
            <family val="2"/>
          </rPr>
          <t>Average salary income across all 9 months.
Formula: AVERAGEIF(T9:T17,"&gt;0") — skips empty month slots.</t>
        </r>
      </text>
    </comment>
    <comment ref="T28" authorId="0" shapeId="0" xr:uid="{00000000-0006-0000-0800-00000D000000}">
      <text>
        <r>
          <rPr>
            <sz val="10"/>
            <rFont val="Arial"/>
            <family val="2"/>
          </rPr>
          <t>MEDIAN(T9:T17)
Median of all monthly salary rows. Used only to set spike threshold below.</t>
        </r>
      </text>
    </comment>
    <comment ref="T29" authorId="0" shapeId="0" xr:uid="{00000000-0006-0000-0800-00000E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800-00000F000000}">
      <text>
        <r>
          <rPr>
            <sz val="10"/>
            <rFont val="Arial"/>
            <family val="2"/>
          </rPr>
          <t>MEDIAN(MIN(T15,T29), MIN(T16,T29), MIN(T17,T29))
Takes salary from rows 15 (2025-10), 16 (2025-11), 17 (2025-12).
Each capped at spike threshold before MEDIAN → spike months don't inflate score.</t>
        </r>
      </text>
    </comment>
    <comment ref="T31" authorId="0" shapeId="0" xr:uid="{00000000-0006-0000-0800-000010000000}">
      <text>
        <r>
          <rPr>
            <sz val="10"/>
            <rFont val="Arial"/>
            <family val="2"/>
          </rPr>
          <t>=T17  (salary SUMPRODUCT for 2025-12)
Total salary/deposit credits in the MOST RECENT month only.
Represents current salary bracket for risk categorisation.</t>
        </r>
      </text>
    </comment>
    <comment ref="T32" authorId="0" shapeId="0" xr:uid="{00000000-0006-0000-0800-000011000000}">
      <text>
        <r>
          <rPr>
            <sz val="10"/>
            <rFont val="Arial"/>
            <family val="2"/>
          </rPr>
          <t>=U17  (loan SUMPRODUCT for 2025-12)
SUM of all MCC=6012 debits in the LAST MONTH only.
Change amount or MCC on any row → this value updates.</t>
        </r>
      </text>
    </comment>
    <comment ref="T33" authorId="0" shapeId="0" xr:uid="{00000000-0006-0000-0800-000012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800-000013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800-000014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800-000015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800-000016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800-00002A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800-00002B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800-00002C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800-00002D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800-00002E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800-00002F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800-000030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800-000017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800-000018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800-000019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800-00001A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800-00001B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800-00001C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800-00001D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800-00001E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800-00001F000000}">
      <text>
        <r>
          <rPr>
            <sz val="10"/>
            <rFont val="Arial"/>
            <family val="2"/>
          </rPr>
          <t>AUTO-COMPUTED
Months with salary received ÷ 9 total months.
Per month: checks creditDebitIndicator=KSAOB.Credit AND subTransactionType=KSAOB.Deposit.
Change subTransactionType on salary rows → regularity updates.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9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9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900-000020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900-000031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900-000003000000}">
      <text>
        <r>
          <rPr>
            <sz val="10"/>
            <rFont val="Arial"/>
            <family val="2"/>
          </rPr>
          <t>Month 1: 2025-06
Formula: SUMPRODUCT( (LEFT(C,7)='2025-06')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900-000021000000}">
      <text>
        <r>
          <rPr>
            <sz val="10"/>
            <rFont val="Arial"/>
            <family val="2"/>
          </rPr>
          <t>Month 1: 2025-06
Formula: SUMPRODUCT( (LEFT(C,7)='2025-06') * (E='KSAOB.Debit') * (M=6012) * G )
Change amount(G), creditDebitIndicator(E), or MCC(M) in any row → this cell recalculates.</t>
        </r>
      </text>
    </comment>
    <comment ref="V9" authorId="0" shapeId="0" xr:uid="{00000000-0006-0000-0900-000032000000}">
      <text>
        <r>
          <rPr>
            <sz val="10"/>
            <rFont val="Arial"/>
            <family val="2"/>
          </rPr>
          <t>Month 1: 2025-06
Formula: SUMPRODUCT( (LEFT(C,7)='2025-06') * (E='KSAOB.Debit') * (M≠6012) * G )
Change amount(G), creditDebitIndicator(E), or MCC(M) in any row → this cell recalculates.</t>
        </r>
      </text>
    </comment>
    <comment ref="T10" authorId="0" shapeId="0" xr:uid="{00000000-0006-0000-0900-000004000000}">
      <text>
        <r>
          <rPr>
            <sz val="10"/>
            <rFont val="Arial"/>
            <family val="2"/>
          </rPr>
          <t>Month 2: 2025-07
Formula: SUMPRODUCT( (LEFT(C,7)='2025-07')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900-000022000000}">
      <text>
        <r>
          <rPr>
            <sz val="10"/>
            <rFont val="Arial"/>
            <family val="2"/>
          </rPr>
          <t>Month 2: 2025-07
Formula: SUMPRODUCT( (LEFT(C,7)='2025-07') * (E='KSAOB.Debit') * (M=6012) * G )
Change amount(G), creditDebitIndicator(E), or MCC(M) in any row → this cell recalculates.</t>
        </r>
      </text>
    </comment>
    <comment ref="V10" authorId="0" shapeId="0" xr:uid="{00000000-0006-0000-0900-000033000000}">
      <text>
        <r>
          <rPr>
            <sz val="10"/>
            <rFont val="Arial"/>
            <family val="2"/>
          </rPr>
          <t>Month 2: 2025-07
Formula: SUMPRODUCT( (LEFT(C,7)='2025-07') * (E='KSAOB.Debit') * (M≠6012) * G )
Change amount(G), creditDebitIndicator(E), or MCC(M) in any row → this cell recalculates.</t>
        </r>
      </text>
    </comment>
    <comment ref="T11" authorId="0" shapeId="0" xr:uid="{00000000-0006-0000-0900-000005000000}">
      <text>
        <r>
          <rPr>
            <sz val="10"/>
            <rFont val="Arial"/>
            <family val="2"/>
          </rPr>
          <t>Month 3: 2025-08
Formula: SUMPRODUCT( (LEFT(C,7)='2025-08')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900-000023000000}">
      <text>
        <r>
          <rPr>
            <sz val="10"/>
            <rFont val="Arial"/>
            <family val="2"/>
          </rPr>
          <t>Month 3: 2025-08
Formula: SUMPRODUCT( (LEFT(C,7)='2025-08') * (E='KSAOB.Debit') * (M=6012) * G )
Change amount(G), creditDebitIndicator(E), or MCC(M) in any row → this cell recalculates.</t>
        </r>
      </text>
    </comment>
    <comment ref="V11" authorId="0" shapeId="0" xr:uid="{00000000-0006-0000-0900-000034000000}">
      <text>
        <r>
          <rPr>
            <sz val="10"/>
            <rFont val="Arial"/>
            <family val="2"/>
          </rPr>
          <t>Month 3: 2025-08
Formula: SUMPRODUCT( (LEFT(C,7)='2025-08') * (E='KSAOB.Debit') * (M≠6012) * G )
Change amount(G), creditDebitIndicator(E), or MCC(M) in any row → this cell recalculates.</t>
        </r>
      </text>
    </comment>
    <comment ref="T12" authorId="0" shapeId="0" xr:uid="{00000000-0006-0000-0900-000006000000}">
      <text>
        <r>
          <rPr>
            <sz val="10"/>
            <rFont val="Arial"/>
            <family val="2"/>
          </rPr>
          <t>Month 4: 2025-09
Formula: SUMPRODUCT( (LEFT(C,7)='2025-09')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900-000024000000}">
      <text>
        <r>
          <rPr>
            <sz val="10"/>
            <rFont val="Arial"/>
            <family val="2"/>
          </rPr>
          <t>Month 4: 2025-09
Formula: SUMPRODUCT( (LEFT(C,7)='2025-09') * (E='KSAOB.Debit') * (M=6012) * G )
Change amount(G), creditDebitIndicator(E), or MCC(M) in any row → this cell recalculates.</t>
        </r>
      </text>
    </comment>
    <comment ref="V12" authorId="0" shapeId="0" xr:uid="{00000000-0006-0000-0900-000035000000}">
      <text>
        <r>
          <rPr>
            <sz val="10"/>
            <rFont val="Arial"/>
            <family val="2"/>
          </rPr>
          <t>Month 4: 2025-09
Formula: SUMPRODUCT( (LEFT(C,7)='2025-09') * (E='KSAOB.Debit') * (M≠6012) * G )
Change amount(G), creditDebitIndicator(E), or MCC(M) in any row → this cell recalculates.</t>
        </r>
      </text>
    </comment>
    <comment ref="T13" authorId="0" shapeId="0" xr:uid="{00000000-0006-0000-0900-000007000000}">
      <text>
        <r>
          <rPr>
            <sz val="10"/>
            <rFont val="Arial"/>
            <family val="2"/>
          </rPr>
          <t>Month 5: 2025-10
Formula: SUMPRODUCT( (LEFT(C,7)='2025-10')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900-000025000000}">
      <text>
        <r>
          <rPr>
            <sz val="10"/>
            <rFont val="Arial"/>
            <family val="2"/>
          </rPr>
          <t>Month 5: 2025-10
Formula: SUMPRODUCT( (LEFT(C,7)='2025-10') * (E='KSAOB.Debit') * (M=6012) * G )
Change amount(G), creditDebitIndicator(E), or MCC(M) in any row → this cell recalculates.</t>
        </r>
      </text>
    </comment>
    <comment ref="V13" authorId="0" shapeId="0" xr:uid="{00000000-0006-0000-0900-000036000000}">
      <text>
        <r>
          <rPr>
            <sz val="10"/>
            <rFont val="Arial"/>
            <family val="2"/>
          </rPr>
          <t>Month 5: 2025-10
Formula: SUMPRODUCT( (LEFT(C,7)='2025-10') * (E='KSAOB.Debit') * (M≠6012) * G )
Change amount(G), creditDebitIndicator(E), or MCC(M) in any row → this cell recalculates.</t>
        </r>
      </text>
    </comment>
    <comment ref="T14" authorId="0" shapeId="0" xr:uid="{00000000-0006-0000-0900-000008000000}">
      <text>
        <r>
          <rPr>
            <sz val="10"/>
            <rFont val="Arial"/>
            <family val="2"/>
          </rPr>
          <t>Month 6: 2025-11
Formula: SUMPRODUCT( (LEFT(C,7)='2025-11')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900-000026000000}">
      <text>
        <r>
          <rPr>
            <sz val="10"/>
            <rFont val="Arial"/>
            <family val="2"/>
          </rPr>
          <t>Month 6: 2025-11
Formula: SUMPRODUCT( (LEFT(C,7)='2025-11') * (E='KSAOB.Debit') * (M=6012) * G )
Change amount(G), creditDebitIndicator(E), or MCC(M) in any row → this cell recalculates.</t>
        </r>
      </text>
    </comment>
    <comment ref="V14" authorId="0" shapeId="0" xr:uid="{00000000-0006-0000-0900-000037000000}">
      <text>
        <r>
          <rPr>
            <sz val="10"/>
            <rFont val="Arial"/>
            <family val="2"/>
          </rPr>
          <t>Month 6: 2025-11
Formula: SUMPRODUCT( (LEFT(C,7)='2025-11') * (E='KSAOB.Debit') * (M≠6012) * G )
Change amount(G), creditDebitIndicator(E), or MCC(M) in any row → this cell recalculates.</t>
        </r>
      </text>
    </comment>
    <comment ref="T15" authorId="0" shapeId="0" xr:uid="{00000000-0006-0000-0900-000009000000}">
      <text>
        <r>
          <rPr>
            <sz val="10"/>
            <rFont val="Arial"/>
            <family val="2"/>
          </rPr>
          <t>Month 7: 2025-12
Formula: SUMPRODUCT( (LEFT(C,7)='2025-12') * (E='KSAOB.Credit') * (K='KSAOB.Deposit') * G )
Change amount(G), creditDebitIndicator(E), or subTransactionType(K) in any row → this cell recalculates.</t>
        </r>
      </text>
    </comment>
    <comment ref="U15" authorId="0" shapeId="0" xr:uid="{00000000-0006-0000-0900-000027000000}">
      <text>
        <r>
          <rPr>
            <sz val="10"/>
            <rFont val="Arial"/>
            <family val="2"/>
          </rPr>
          <t>Month 7: 2025-12
Formula: SUMPRODUCT( (LEFT(C,7)='2025-12') * (E='KSAOB.Debit') * (M=6012) * G )
Change amount(G), creditDebitIndicator(E), or MCC(M) in any row → this cell recalculates.</t>
        </r>
      </text>
    </comment>
    <comment ref="V15" authorId="0" shapeId="0" xr:uid="{00000000-0006-0000-0900-000038000000}">
      <text>
        <r>
          <rPr>
            <sz val="10"/>
            <rFont val="Arial"/>
            <family val="2"/>
          </rPr>
          <t>Month 7: 2025-12
Formula: SUMPRODUCT( (LEFT(C,7)='2025-12') * (E='KSAOB.Debit') * (M≠6012) * G )
Change amount(G), creditDebitIndicator(E), or MCC(M) in any row → this cell recalculates.</t>
        </r>
      </text>
    </comment>
    <comment ref="T16" authorId="0" shapeId="0" xr:uid="{00000000-0006-0000-0900-00000A000000}">
      <text>
        <r>
          <rPr>
            <sz val="10"/>
            <rFont val="Arial"/>
            <family val="2"/>
          </rPr>
          <t>Month 8: 2026-01
Formula: SUMPRODUCT( (LEFT(C,7)='2026-01') * (E='KSAOB.Credit') * (K='KSAOB.Deposit') * G )
Change amount(G), creditDebitIndicator(E), or subTransactionType(K) in any row → this cell recalculates.</t>
        </r>
      </text>
    </comment>
    <comment ref="U16" authorId="0" shapeId="0" xr:uid="{00000000-0006-0000-0900-000028000000}">
      <text>
        <r>
          <rPr>
            <sz val="10"/>
            <rFont val="Arial"/>
            <family val="2"/>
          </rPr>
          <t>Month 8: 2026-01
Formula: SUMPRODUCT( (LEFT(C,7)='2026-01') * (E='KSAOB.Debit') * (M=6012) * G )
Change amount(G), creditDebitIndicator(E), or MCC(M) in any row → this cell recalculates.</t>
        </r>
      </text>
    </comment>
    <comment ref="V16" authorId="0" shapeId="0" xr:uid="{00000000-0006-0000-0900-000039000000}">
      <text>
        <r>
          <rPr>
            <sz val="10"/>
            <rFont val="Arial"/>
            <family val="2"/>
          </rPr>
          <t>Month 8: 2026-01
Formula: SUMPRODUCT( (LEFT(C,7)='2026-01') * (E='KSAOB.Debit') * (M≠6012) * G )
Change amount(G), creditDebitIndicator(E), or MCC(M) in any row → this cell recalculates.</t>
        </r>
      </text>
    </comment>
    <comment ref="T17" authorId="0" shapeId="0" xr:uid="{00000000-0006-0000-0900-00000B000000}">
      <text>
        <r>
          <rPr>
            <sz val="10"/>
            <rFont val="Arial"/>
            <family val="2"/>
          </rPr>
          <t>Month 9: 2026-02
Formula: SUMPRODUCT( (LEFT(C,7)='2026-02') * (E='KSAOB.Credit') * (K='KSAOB.Deposit') * G )
Change amount(G), creditDebitIndicator(E), or subTransactionType(K) in any row → this cell recalculates.</t>
        </r>
      </text>
    </comment>
    <comment ref="U17" authorId="0" shapeId="0" xr:uid="{00000000-0006-0000-0900-000029000000}">
      <text>
        <r>
          <rPr>
            <sz val="10"/>
            <rFont val="Arial"/>
            <family val="2"/>
          </rPr>
          <t>Month 9: 2026-02
Formula: SUMPRODUCT( (LEFT(C,7)='2026-02') * (E='KSAOB.Debit') * (M=6012) * G )
Change amount(G), creditDebitIndicator(E), or MCC(M) in any row → this cell recalculates.</t>
        </r>
      </text>
    </comment>
    <comment ref="V17" authorId="0" shapeId="0" xr:uid="{00000000-0006-0000-0900-00003A000000}">
      <text>
        <r>
          <rPr>
            <sz val="10"/>
            <rFont val="Arial"/>
            <family val="2"/>
          </rPr>
          <t>Month 9: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900-00000C000000}">
      <text>
        <r>
          <rPr>
            <sz val="10"/>
            <rFont val="Arial"/>
            <family val="2"/>
          </rPr>
          <t>Average salary income across all 9 months.
Formula: AVERAGEIF(T9:T17,"&gt;0") — skips empty month slots.</t>
        </r>
      </text>
    </comment>
    <comment ref="T28" authorId="0" shapeId="0" xr:uid="{00000000-0006-0000-0900-00000D000000}">
      <text>
        <r>
          <rPr>
            <sz val="10"/>
            <rFont val="Arial"/>
            <family val="2"/>
          </rPr>
          <t>MEDIAN(T9:T17)
Median of all monthly salary rows. Used only to set spike threshold below.</t>
        </r>
      </text>
    </comment>
    <comment ref="T29" authorId="0" shapeId="0" xr:uid="{00000000-0006-0000-0900-00000E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900-00000F000000}">
      <text>
        <r>
          <rPr>
            <sz val="10"/>
            <rFont val="Arial"/>
            <family val="2"/>
          </rPr>
          <t>MEDIAN(MIN(T15,T29), MIN(T16,T29), MIN(T17,T29))
Takes salary from rows 15 (2025-12), 16 (2026-01), 17 (2026-02).
Each capped at spike threshold before MEDIAN → spike months don't inflate score.</t>
        </r>
      </text>
    </comment>
    <comment ref="T31" authorId="0" shapeId="0" xr:uid="{00000000-0006-0000-0900-000010000000}">
      <text>
        <r>
          <rPr>
            <sz val="10"/>
            <rFont val="Arial"/>
            <family val="2"/>
          </rPr>
          <t>=T17  (salary SUMPRODUCT for 2026-02)
Total salary/deposit credits in the MOST RECENT month only.
Represents current salary bracket for risk categorisation.</t>
        </r>
      </text>
    </comment>
    <comment ref="T32" authorId="0" shapeId="0" xr:uid="{00000000-0006-0000-0900-000011000000}">
      <text>
        <r>
          <rPr>
            <sz val="10"/>
            <rFont val="Arial"/>
            <family val="2"/>
          </rPr>
          <t>=U17  (loan SUMPRODUCT for 2026-02)
SUM of all MCC=6012 debits in the LAST MONTH only.
Change amount or MCC on any row → this value updates.</t>
        </r>
      </text>
    </comment>
    <comment ref="T33" authorId="0" shapeId="0" xr:uid="{00000000-0006-0000-0900-000012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900-000013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900-000014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900-000015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900-000016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900-00002A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900-00002B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900-00002C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900-00002D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900-00002E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900-00002F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900-000030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900-000017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900-000018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900-000019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900-00001A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900-00001B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900-00001C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900-00001D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900-00001E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900-00001F000000}">
      <text>
        <r>
          <rPr>
            <sz val="10"/>
            <rFont val="Arial"/>
            <family val="2"/>
          </rPr>
          <t>AUTO-COMPUTED
Months with salary received ÷ 9 total months.
Per month: checks creditDebitIndicator=KSAOB.Credit AND subTransactionType=KSAOB.Deposit.
Change subTransactionType on salary rows → regularity updates.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5" authorId="0" shapeId="0" xr:uid="{00000000-0006-0000-0A00-000001000000}">
      <text>
        <r>
          <rPr>
            <sz val="10"/>
            <rFont val="Arial"/>
            <family val="2"/>
          </rPr>
          <t>EDITABLE — client's age in years.
Formula applied: see factor 1 scoring bands.
All other values are auto-computed from the transaction rows below.</t>
        </r>
      </text>
    </comment>
    <comment ref="T8" authorId="0" shapeId="0" xr:uid="{00000000-0006-0000-0A00-000002000000}">
      <text>
        <r>
          <rPr>
            <sz val="10"/>
            <rFont val="Arial"/>
            <family val="2"/>
          </rPr>
          <t>SALARY INCOME column
Reads: column E (creditDebitIndicator) + column K (subTransactionType) + column G (amount)
Filter: creditDebitIndicator='KSAOB.Credit' AND subTransactionType='KSAOB.Deposit'
→ Captures salary + bonus deposits. Excludes incoming transfers.</t>
        </r>
      </text>
    </comment>
    <comment ref="U8" authorId="0" shapeId="0" xr:uid="{00000000-0006-0000-0A00-00001D000000}">
      <text>
        <r>
          <rPr>
            <sz val="10"/>
            <rFont val="Arial"/>
            <family val="2"/>
          </rPr>
          <t>LOAN PAYMENTS column
Reads: column E (creditDebitIndicator) + column M (merchantCategoryCode) + column G (amount)
Filter: creditDebitIndicator='KSAOB.Debit' AND MCC=6012 (Financial Institutions)
→ Change MCC on any row to update this column automatically.</t>
        </r>
      </text>
    </comment>
    <comment ref="V8" authorId="0" shapeId="0" xr:uid="{00000000-0006-0000-0A00-00002B000000}">
      <text>
        <r>
          <rPr>
            <sz val="10"/>
            <rFont val="Arial"/>
            <family val="2"/>
          </rPr>
          <t>OTHER EXPENSES column
Filter: creditDebitIndicator='KSAOB.Debit' AND MCC≠6012
→ All living expenses: groceries, fuel, utilities, entertainment, etc.</t>
        </r>
      </text>
    </comment>
    <comment ref="T9" authorId="0" shapeId="0" xr:uid="{00000000-0006-0000-0A00-000003000000}">
      <text>
        <r>
          <rPr>
            <sz val="10"/>
            <rFont val="Arial"/>
            <family val="2"/>
          </rPr>
          <t>Month 1: 2025-09
Formula: SUMPRODUCT( (LEFT(C,7)='2025-09') * (E='KSAOB.Credit') * (K='KSAOB.Deposit') * G )
Change amount(G), creditDebitIndicator(E), or subTransactionType(K) in any row → this cell recalculates.</t>
        </r>
      </text>
    </comment>
    <comment ref="U9" authorId="0" shapeId="0" xr:uid="{00000000-0006-0000-0A00-00001E000000}">
      <text>
        <r>
          <rPr>
            <sz val="10"/>
            <rFont val="Arial"/>
            <family val="2"/>
          </rPr>
          <t>Month 1: 2025-09
Formula: SUMPRODUCT( (LEFT(C,7)='2025-09') * (E='KSAOB.Debit') * (M=6012) * G )
Change amount(G), creditDebitIndicator(E), or MCC(M) in any row → this cell recalculates.</t>
        </r>
      </text>
    </comment>
    <comment ref="V9" authorId="0" shapeId="0" xr:uid="{00000000-0006-0000-0A00-00002C000000}">
      <text>
        <r>
          <rPr>
            <sz val="10"/>
            <rFont val="Arial"/>
            <family val="2"/>
          </rPr>
          <t>Month 1: 2025-09
Formula: SUMPRODUCT( (LEFT(C,7)='2025-09') * (E='KSAOB.Debit') * (M≠6012) * G )
Change amount(G), creditDebitIndicator(E), or MCC(M) in any row → this cell recalculates.</t>
        </r>
      </text>
    </comment>
    <comment ref="T10" authorId="0" shapeId="0" xr:uid="{00000000-0006-0000-0A00-000004000000}">
      <text>
        <r>
          <rPr>
            <sz val="10"/>
            <rFont val="Arial"/>
            <family val="2"/>
          </rPr>
          <t>Month 2: 2025-10
Formula: SUMPRODUCT( (LEFT(C,7)='2025-10') * (E='KSAOB.Credit') * (K='KSAOB.Deposit') * G )
Change amount(G), creditDebitIndicator(E), or subTransactionType(K) in any row → this cell recalculates.</t>
        </r>
      </text>
    </comment>
    <comment ref="U10" authorId="0" shapeId="0" xr:uid="{00000000-0006-0000-0A00-00001F000000}">
      <text>
        <r>
          <rPr>
            <sz val="10"/>
            <rFont val="Arial"/>
            <family val="2"/>
          </rPr>
          <t>Month 2: 2025-10
Formula: SUMPRODUCT( (LEFT(C,7)='2025-10') * (E='KSAOB.Debit') * (M=6012) * G )
Change amount(G), creditDebitIndicator(E), or MCC(M) in any row → this cell recalculates.</t>
        </r>
      </text>
    </comment>
    <comment ref="V10" authorId="0" shapeId="0" xr:uid="{00000000-0006-0000-0A00-00002D000000}">
      <text>
        <r>
          <rPr>
            <sz val="10"/>
            <rFont val="Arial"/>
            <family val="2"/>
          </rPr>
          <t>Month 2: 2025-10
Formula: SUMPRODUCT( (LEFT(C,7)='2025-10') * (E='KSAOB.Debit') * (M≠6012) * G )
Change amount(G), creditDebitIndicator(E), or MCC(M) in any row → this cell recalculates.</t>
        </r>
      </text>
    </comment>
    <comment ref="T11" authorId="0" shapeId="0" xr:uid="{00000000-0006-0000-0A00-000005000000}">
      <text>
        <r>
          <rPr>
            <sz val="10"/>
            <rFont val="Arial"/>
            <family val="2"/>
          </rPr>
          <t>Month 3: 2025-11
Formula: SUMPRODUCT( (LEFT(C,7)='2025-11') * (E='KSAOB.Credit') * (K='KSAOB.Deposit') * G )
Change amount(G), creditDebitIndicator(E), or subTransactionType(K) in any row → this cell recalculates.</t>
        </r>
      </text>
    </comment>
    <comment ref="U11" authorId="0" shapeId="0" xr:uid="{00000000-0006-0000-0A00-000020000000}">
      <text>
        <r>
          <rPr>
            <sz val="10"/>
            <rFont val="Arial"/>
            <family val="2"/>
          </rPr>
          <t>Month 3: 2025-11
Formula: SUMPRODUCT( (LEFT(C,7)='2025-11') * (E='KSAOB.Debit') * (M=6012) * G )
Change amount(G), creditDebitIndicator(E), or MCC(M) in any row → this cell recalculates.</t>
        </r>
      </text>
    </comment>
    <comment ref="V11" authorId="0" shapeId="0" xr:uid="{00000000-0006-0000-0A00-00002E000000}">
      <text>
        <r>
          <rPr>
            <sz val="10"/>
            <rFont val="Arial"/>
            <family val="2"/>
          </rPr>
          <t>Month 3: 2025-11
Formula: SUMPRODUCT( (LEFT(C,7)='2025-11') * (E='KSAOB.Debit') * (M≠6012) * G )
Change amount(G), creditDebitIndicator(E), or MCC(M) in any row → this cell recalculates.</t>
        </r>
      </text>
    </comment>
    <comment ref="T12" authorId="0" shapeId="0" xr:uid="{00000000-0006-0000-0A00-000006000000}">
      <text>
        <r>
          <rPr>
            <sz val="10"/>
            <rFont val="Arial"/>
            <family val="2"/>
          </rPr>
          <t>Month 4: 2025-12
Formula: SUMPRODUCT( (LEFT(C,7)='2025-12') * (E='KSAOB.Credit') * (K='KSAOB.Deposit') * G )
Change amount(G), creditDebitIndicator(E), or subTransactionType(K) in any row → this cell recalculates.</t>
        </r>
      </text>
    </comment>
    <comment ref="U12" authorId="0" shapeId="0" xr:uid="{00000000-0006-0000-0A00-000021000000}">
      <text>
        <r>
          <rPr>
            <sz val="10"/>
            <rFont val="Arial"/>
            <family val="2"/>
          </rPr>
          <t>Month 4: 2025-12
Formula: SUMPRODUCT( (LEFT(C,7)='2025-12') * (E='KSAOB.Debit') * (M=6012) * G )
Change amount(G), creditDebitIndicator(E), or MCC(M) in any row → this cell recalculates.</t>
        </r>
      </text>
    </comment>
    <comment ref="V12" authorId="0" shapeId="0" xr:uid="{00000000-0006-0000-0A00-00002F000000}">
      <text>
        <r>
          <rPr>
            <sz val="10"/>
            <rFont val="Arial"/>
            <family val="2"/>
          </rPr>
          <t>Month 4: 2025-12
Formula: SUMPRODUCT( (LEFT(C,7)='2025-12') * (E='KSAOB.Debit') * (M≠6012) * G )
Change amount(G), creditDebitIndicator(E), or MCC(M) in any row → this cell recalculates.</t>
        </r>
      </text>
    </comment>
    <comment ref="T13" authorId="0" shapeId="0" xr:uid="{00000000-0006-0000-0A00-000007000000}">
      <text>
        <r>
          <rPr>
            <sz val="10"/>
            <rFont val="Arial"/>
            <family val="2"/>
          </rPr>
          <t>Month 5: 2026-01
Formula: SUMPRODUCT( (LEFT(C,7)='2026-01') * (E='KSAOB.Credit') * (K='KSAOB.Deposit') * G )
Change amount(G), creditDebitIndicator(E), or subTransactionType(K) in any row → this cell recalculates.</t>
        </r>
      </text>
    </comment>
    <comment ref="U13" authorId="0" shapeId="0" xr:uid="{00000000-0006-0000-0A00-000022000000}">
      <text>
        <r>
          <rPr>
            <sz val="10"/>
            <rFont val="Arial"/>
            <family val="2"/>
          </rPr>
          <t>Month 5: 2026-01
Formula: SUMPRODUCT( (LEFT(C,7)='2026-01') * (E='KSAOB.Debit') * (M=6012) * G )
Change amount(G), creditDebitIndicator(E), or MCC(M) in any row → this cell recalculates.</t>
        </r>
      </text>
    </comment>
    <comment ref="V13" authorId="0" shapeId="0" xr:uid="{00000000-0006-0000-0A00-000030000000}">
      <text>
        <r>
          <rPr>
            <sz val="10"/>
            <rFont val="Arial"/>
            <family val="2"/>
          </rPr>
          <t>Month 5: 2026-01
Formula: SUMPRODUCT( (LEFT(C,7)='2026-01') * (E='KSAOB.Debit') * (M≠6012) * G )
Change amount(G), creditDebitIndicator(E), or MCC(M) in any row → this cell recalculates.</t>
        </r>
      </text>
    </comment>
    <comment ref="T14" authorId="0" shapeId="0" xr:uid="{00000000-0006-0000-0A00-000008000000}">
      <text>
        <r>
          <rPr>
            <sz val="10"/>
            <rFont val="Arial"/>
            <family val="2"/>
          </rPr>
          <t>Month 6: 2026-02
Formula: SUMPRODUCT( (LEFT(C,7)='2026-02') * (E='KSAOB.Credit') * (K='KSAOB.Deposit') * G )
Change amount(G), creditDebitIndicator(E), or subTransactionType(K) in any row → this cell recalculates.</t>
        </r>
      </text>
    </comment>
    <comment ref="U14" authorId="0" shapeId="0" xr:uid="{00000000-0006-0000-0A00-000023000000}">
      <text>
        <r>
          <rPr>
            <sz val="10"/>
            <rFont val="Arial"/>
            <family val="2"/>
          </rPr>
          <t>Month 6: 2026-02
Formula: SUMPRODUCT( (LEFT(C,7)='2026-02') * (E='KSAOB.Debit') * (M=6012) * G )
Change amount(G), creditDebitIndicator(E), or MCC(M) in any row → this cell recalculates.</t>
        </r>
      </text>
    </comment>
    <comment ref="V14" authorId="0" shapeId="0" xr:uid="{00000000-0006-0000-0A00-000031000000}">
      <text>
        <r>
          <rPr>
            <sz val="10"/>
            <rFont val="Arial"/>
            <family val="2"/>
          </rPr>
          <t>Month 6: 2026-02
Formula: SUMPRODUCT( (LEFT(C,7)='2026-02') * (E='KSAOB.Debit') * (M≠6012) * G )
Change amount(G), creditDebitIndicator(E), or MCC(M) in any row → this cell recalculates.</t>
        </r>
      </text>
    </comment>
    <comment ref="T24" authorId="0" shapeId="0" xr:uid="{00000000-0006-0000-0A00-000009000000}">
      <text>
        <r>
          <rPr>
            <sz val="10"/>
            <rFont val="Arial"/>
            <family val="2"/>
          </rPr>
          <t>Average salary income across all 6 months.
Formula: AVERAGEIF(T9:T14,"&gt;0") — skips empty month slots.</t>
        </r>
      </text>
    </comment>
    <comment ref="T28" authorId="0" shapeId="0" xr:uid="{00000000-0006-0000-0A00-00000A000000}">
      <text>
        <r>
          <rPr>
            <sz val="10"/>
            <rFont val="Arial"/>
            <family val="2"/>
          </rPr>
          <t>MEDIAN(T9:T14)
Median of all monthly salary rows. Used only to set spike threshold below.</t>
        </r>
      </text>
    </comment>
    <comment ref="T29" authorId="0" shapeId="0" xr:uid="{00000000-0006-0000-0A00-00000B000000}">
      <text>
        <r>
          <rPr>
            <sz val="10"/>
            <rFont val="Arial"/>
            <family val="2"/>
          </rPr>
          <t>=T28*1.30
Any month where salary &gt; this threshold is treated as a spike.
SAMA rule: exclude income spikes &gt;30% above median baseline.</t>
        </r>
      </text>
    </comment>
    <comment ref="T30" authorId="0" shapeId="0" xr:uid="{00000000-0006-0000-0A00-00000C000000}">
      <text>
        <r>
          <rPr>
            <sz val="10"/>
            <rFont val="Arial"/>
            <family val="2"/>
          </rPr>
          <t>MEDIAN(MIN(T12,T29), MIN(T13,T29), MIN(T14,T29))
Takes salary from rows 12 (2025-12), 13 (2026-01), 14 (2026-02).
Each capped at spike threshold before MEDIAN → spike months don't inflate score.</t>
        </r>
      </text>
    </comment>
    <comment ref="T31" authorId="0" shapeId="0" xr:uid="{00000000-0006-0000-0A00-00000D000000}">
      <text>
        <r>
          <rPr>
            <sz val="10"/>
            <rFont val="Arial"/>
            <family val="2"/>
          </rPr>
          <t>=T14  (salary SUMPRODUCT for 2026-02)
Total salary/deposit credits in the MOST RECENT month only.
Represents current salary bracket for risk categorisation.</t>
        </r>
      </text>
    </comment>
    <comment ref="T32" authorId="0" shapeId="0" xr:uid="{00000000-0006-0000-0A00-00000E000000}">
      <text>
        <r>
          <rPr>
            <sz val="10"/>
            <rFont val="Arial"/>
            <family val="2"/>
          </rPr>
          <t>=U14  (loan SUMPRODUCT for 2026-02)
SUM of all MCC=6012 debits in the LAST MONTH only.
Change amount or MCC on any row → this value updates.</t>
        </r>
      </text>
    </comment>
    <comment ref="T33" authorId="0" shapeId="0" xr:uid="{00000000-0006-0000-0A00-00000F000000}">
      <text>
        <r>
          <rPr>
            <sz val="10"/>
            <rFont val="Arial"/>
            <family val="2"/>
          </rPr>
          <t>=T24  (links to average row above)</t>
        </r>
      </text>
    </comment>
    <comment ref="T34" authorId="0" shapeId="0" xr:uid="{00000000-0006-0000-0A00-000010000000}">
      <text>
        <r>
          <rPr>
            <sz val="10"/>
            <rFont val="Arial"/>
            <family val="2"/>
          </rPr>
          <t>=V24  (links to average row above)</t>
        </r>
      </text>
    </comment>
    <comment ref="T35" authorId="0" shapeId="0" xr:uid="{00000000-0006-0000-0A00-000011000000}">
      <text>
        <r>
          <rPr>
            <sz val="10"/>
            <rFont val="Arial"/>
            <family val="2"/>
          </rPr>
          <t>(Avg Salary − Avg Expenses) ÷ Avg Salary
Score bands: ≤0%→0 | 1–10%→50 | 11–20%→100 | 21–30%→130 | &gt;30%→150</t>
        </r>
      </text>
    </comment>
    <comment ref="T36" authorId="0" shapeId="0" xr:uid="{00000000-0006-0000-0A00-000012000000}">
      <text>
        <r>
          <rPr>
            <sz val="10"/>
            <rFont val="Arial"/>
            <family val="2"/>
          </rPr>
          <t>Avg Salary − Avg Expenses (excl. loans)
Score bands: &lt;0→0 | 0–1,000→50 | 1,001–3,000→100 | &gt;3,000→150</t>
        </r>
      </text>
    </comment>
    <comment ref="T37" authorId="0" shapeId="0" xr:uid="{00000000-0006-0000-0A00-000013000000}">
      <text>
        <r>
          <rPr>
            <sz val="10"/>
            <rFont val="Arial"/>
            <family val="2"/>
          </rPr>
          <t>Avg Monthly Loan ÷ L3M Spike-Adjusted Median Salary
=U24 ÷ T30
Score bands: 0–10%→100 | 11–25%→70 | 26–40%→40 | 41–60%→20 | &gt;60%→0</t>
        </r>
      </text>
    </comment>
    <comment ref="U41" authorId="0" shapeId="0" xr:uid="{00000000-0006-0000-0A00-000024000000}">
      <text>
        <r>
          <rPr>
            <sz val="10"/>
            <rFont val="Arial"/>
            <family val="2"/>
          </rPr>
          <t>SCORE — nested IF on the value in T41.
18–25→30 | 26–35→80 | 36–50→150 | 51–60→100 | &gt;60→0</t>
        </r>
      </text>
    </comment>
    <comment ref="U42" authorId="0" shapeId="0" xr:uid="{00000000-0006-0000-0A00-000025000000}">
      <text>
        <r>
          <rPr>
            <sz val="10"/>
            <rFont val="Arial"/>
            <family val="2"/>
          </rPr>
          <t>SCORE — nested IF on the value in T42.
≤5,000→0 | 5,001–10,000→50 | 10,001–15,000→100 | &gt;15,000→150</t>
        </r>
      </text>
    </comment>
    <comment ref="U43" authorId="0" shapeId="0" xr:uid="{00000000-0006-0000-0A00-000026000000}">
      <text>
        <r>
          <rPr>
            <sz val="10"/>
            <rFont val="Arial"/>
            <family val="2"/>
          </rPr>
          <t>SCORE — nested IF on the value in T43.
0–1,500→150 | 1,501–3,000→130 | 3,001–4,500→110 | 4,501–9,000→80 | 9,001–15,000→40 | &gt;15,000→0</t>
        </r>
      </text>
    </comment>
    <comment ref="U44" authorId="0" shapeId="0" xr:uid="{00000000-0006-0000-0A00-000027000000}">
      <text>
        <r>
          <rPr>
            <sz val="10"/>
            <rFont val="Arial"/>
            <family val="2"/>
          </rPr>
          <t>SCORE — nested IF on the value in T44.
≤0%→0 | 1–10%→50 | 11–20%→100 | 21–30%→130 | &gt;30%→150</t>
        </r>
      </text>
    </comment>
    <comment ref="U45" authorId="0" shapeId="0" xr:uid="{00000000-0006-0000-0A00-000028000000}">
      <text>
        <r>
          <rPr>
            <sz val="10"/>
            <rFont val="Arial"/>
            <family val="2"/>
          </rPr>
          <t>SCORE — nested IF on the value in T45.
≤5,000→30 (High Risk) | 5,001–15,000→90 (Medium) | &gt;15,000→150 (Low Risk)</t>
        </r>
      </text>
    </comment>
    <comment ref="U46" authorId="0" shapeId="0" xr:uid="{00000000-0006-0000-0A00-000029000000}">
      <text>
        <r>
          <rPr>
            <sz val="10"/>
            <rFont val="Arial"/>
            <family val="2"/>
          </rPr>
          <t>SCORE — nested IF on the value in T46.
&lt;0→0 | 0–1,000→50 | 1,001–3,000→100 | &gt;3,000→150</t>
        </r>
      </text>
    </comment>
    <comment ref="U47" authorId="0" shapeId="0" xr:uid="{00000000-0006-0000-0A00-00002A000000}">
      <text>
        <r>
          <rPr>
            <sz val="10"/>
            <rFont val="Arial"/>
            <family val="2"/>
          </rPr>
          <t>SCORE — nested IF on the value in T47.
0–10%→100 | 11–25%→70 | 26–40%→40 | 41–60%→20 | &gt;60%→0</t>
        </r>
      </text>
    </comment>
    <comment ref="T49" authorId="0" shapeId="0" xr:uid="{00000000-0006-0000-0A00-000014000000}">
      <text>
        <r>
          <rPr>
            <sz val="10"/>
            <rFont val="Arial"/>
            <family val="2"/>
          </rPr>
          <t>TOTAL SCORE = sum of all 7 factor scores.
Range: 0 to 1000 points.
Changing ANY transaction value in columns A-Q will cascade through all formulas and update this.</t>
        </r>
      </text>
    </comment>
    <comment ref="T56" authorId="0" shapeId="0" xr:uid="{00000000-0006-0000-0A00-000015000000}">
      <text>
        <r>
          <rPr>
            <sz val="10"/>
            <rFont val="Arial"/>
            <family val="2"/>
          </rPr>
          <t>AUTO-COMPUTED
Avg Monthly Loan (U24) ÷ Avg Monthly Salary (T24)
Change any loan amount or salary amount → ratio updates.</t>
        </r>
      </text>
    </comment>
    <comment ref="T57" authorId="0" shapeId="0" xr:uid="{00000000-0006-0000-0A00-000016000000}">
      <text>
        <r>
          <rPr>
            <sz val="10"/>
            <rFont val="Arial"/>
            <family val="2"/>
          </rPr>
          <t>MANUAL INPUT ✏️
Total Monthly Savings ÷ Total Monthly Income
Cannot derive from transaction list — enter as decimal (e.g. 0.18 = 18%).</t>
        </r>
      </text>
    </comment>
    <comment ref="T58" authorId="0" shapeId="0" xr:uid="{00000000-0006-0000-0A00-000017000000}">
      <text>
        <r>
          <rPr>
            <sz val="10"/>
            <rFont val="Arial"/>
            <family val="2"/>
          </rPr>
          <t>AUTO-COMPUTED
Linked to T35 — same as Factor 4 input. Auto-updates.</t>
        </r>
      </text>
    </comment>
    <comment ref="T59" authorId="0" shapeId="0" xr:uid="{00000000-0006-0000-0A00-000018000000}">
      <text>
        <r>
          <rPr>
            <sz val="10"/>
            <rFont val="Arial"/>
            <family val="2"/>
          </rPr>
          <t>AUTO-COMPUTED
Linked to T36 — same as Factor 6 input. Auto-updates.</t>
        </r>
      </text>
    </comment>
    <comment ref="T60" authorId="0" shapeId="0" xr:uid="{00000000-0006-0000-0A00-000019000000}">
      <text>
        <r>
          <rPr>
            <sz val="10"/>
            <rFont val="Arial"/>
            <family val="2"/>
          </rPr>
          <t>MANUAL INPUT ✏️
Total Savings Balance ÷ Avg Monthly Expenses
Enter number of months covered (e.g. 4.5).</t>
        </r>
      </text>
    </comment>
    <comment ref="T61" authorId="0" shapeId="0" xr:uid="{00000000-0006-0000-0A00-00001A000000}">
      <text>
        <r>
          <rPr>
            <sz val="10"/>
            <rFont val="Arial"/>
            <family val="2"/>
          </rPr>
          <t>MANUAL INPUT ✏️
Sum of Daily Balances over 6 Months ÷ Number of Days
Enter 6-month average account balance in SAR.</t>
        </r>
      </text>
    </comment>
    <comment ref="T62" authorId="0" shapeId="0" xr:uid="{00000000-0006-0000-0A00-00001B000000}">
      <text>
        <r>
          <rPr>
            <sz val="10"/>
            <rFont val="Arial"/>
            <family val="2"/>
          </rPr>
          <t>MANUAL INPUT ✏️
Count of days where account balance &lt; 0
Enter number of overdraft days (0 = no overdraft).</t>
        </r>
      </text>
    </comment>
    <comment ref="T63" authorId="0" shapeId="0" xr:uid="{00000000-0006-0000-0A00-00001C000000}">
      <text>
        <r>
          <rPr>
            <sz val="10"/>
            <rFont val="Arial"/>
            <family val="2"/>
          </rPr>
          <t>AUTO-COMPUTED
Months with salary received ÷ 6 total months.
Per month: checks creditDebitIndicator=KSAOB.Credit AND subTransactionType=KSAOB.Deposit.
Change subTransactionType on salary rows → regularity updates.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<sst xmlns="http://schemas.openxmlformats.org/spreadsheetml/2006/main" count="23939" uniqueCount="4774">
  <si>
    <t>sequence_id</t>
  </si>
  <si>
    <t>accountId</t>
  </si>
  <si>
    <t>transactionDateTime</t>
  </si>
  <si>
    <t>bookingDateTime</t>
  </si>
  <si>
    <t>creditDebitIndicator</t>
  </si>
  <si>
    <t>status</t>
  </si>
  <si>
    <t>amount</t>
  </si>
  <si>
    <t>currency</t>
  </si>
  <si>
    <t>transactionInformation</t>
  </si>
  <si>
    <t>transactionType</t>
  </si>
  <si>
    <t>subTransactionType</t>
  </si>
  <si>
    <t>merchantName</t>
  </si>
  <si>
    <t>merchantCategoryCode</t>
  </si>
  <si>
    <t>counterpartyName</t>
  </si>
  <si>
    <t>counterpartyIban</t>
  </si>
  <si>
    <t>proprietaryBankIssuer</t>
  </si>
  <si>
    <t>proprietaryBankTransactionCode</t>
  </si>
  <si>
    <t>📊  CREDIT SCORING CALCULATOR  —  CLT001 AAA Khalid</t>
  </si>
  <si>
    <t>ACC-145</t>
  </si>
  <si>
    <t>2025-01-02T13:58:38</t>
  </si>
  <si>
    <t>2025-01-02T15:58:38</t>
  </si>
  <si>
    <t>KSAOB.Debit</t>
  </si>
  <si>
    <t>Booked</t>
  </si>
  <si>
    <t>SAR</t>
  </si>
  <si>
    <t>Education: Udemy</t>
  </si>
  <si>
    <t>KSAOB.ECommerce</t>
  </si>
  <si>
    <t>KSAOB.Purchase</t>
  </si>
  <si>
    <t>Udemy</t>
  </si>
  <si>
    <t>Khalid Al-Rashidi</t>
  </si>
  <si>
    <t>SA2810000012345678900001</t>
  </si>
  <si>
    <t>Saudi National Bank</t>
  </si>
  <si>
    <t>NCBKSAJE</t>
  </si>
  <si>
    <t>Period: 2025-01 → 2026-02  |  14 months  |  245 transactions  |  Income = Salary (KSAOB.Deposit) per month</t>
  </si>
  <si>
    <t>2025-01-05T03:41:29</t>
  </si>
  <si>
    <t>2025-01-05T05:41:29</t>
  </si>
  <si>
    <t>Mortgage Payment - SNB Home Finance</t>
  </si>
  <si>
    <t>KSAOB.BillPayments</t>
  </si>
  <si>
    <t>SNB Home Finance</t>
  </si>
  <si>
    <t>2025-01-06T22:16:57</t>
  </si>
  <si>
    <t>2025-01-07T00:16:57</t>
  </si>
  <si>
    <t>Restaurants: Hardee's KSA</t>
  </si>
  <si>
    <t>KSAOB.POS</t>
  </si>
  <si>
    <t>Hardee's KSA</t>
  </si>
  <si>
    <t>🔧  INPUT  —  Age (blue cell). Edit to recalculate all factor scores instantly.</t>
  </si>
  <si>
    <t>2025-01-10T07:48:43</t>
  </si>
  <si>
    <t>2025-01-10T15:36:02</t>
  </si>
  <si>
    <t>Healthcare: Al-Hammadi Hospital</t>
  </si>
  <si>
    <t>Al-Hammadi Hospital</t>
  </si>
  <si>
    <t>Age (Years)  ✏️</t>
  </si>
  <si>
    <t>← Edit this value. Drives Factor 1 (Age Range).</t>
  </si>
  <si>
    <t>2025-01-14T17:17:55</t>
  </si>
  <si>
    <t>2025-01-14T19:17:55</t>
  </si>
  <si>
    <t>Restaurants: McDonald's KSA</t>
  </si>
  <si>
    <t>McDonald's KSA</t>
  </si>
  <si>
    <t>2025-01-20T18:36:18</t>
  </si>
  <si>
    <t>2025-01-20T20:36:18</t>
  </si>
  <si>
    <t>General Purchases / مشتريات عامة</t>
  </si>
  <si>
    <t>Various Merchants</t>
  </si>
  <si>
    <t>📅  MONTHLY BREAKDOWN  —  Auto-aggregated from raw transactions (columns A–Q)</t>
  </si>
  <si>
    <t>2025-01-21T16:05:15</t>
  </si>
  <si>
    <t>2025-01-21T18:05:15</t>
  </si>
  <si>
    <t>Online Shopping: Shein</t>
  </si>
  <si>
    <t>Shein</t>
  </si>
  <si>
    <t>MONTH</t>
  </si>
  <si>
    <t>SALARY INCOME  (KSAOB.Credit + KSAOB.Deposit)  SAR</t>
  </si>
  <si>
    <t>LOAN PAYMENTS  (KSAOB.Debit, MCC=6012)  SAR</t>
  </si>
  <si>
    <t>OTHER EXPENSES  (KSAOB.Debit, MCC≠6012)  SAR</t>
  </si>
  <si>
    <t>NET FLOW  (Salary − Loan − Expenses)  SAR</t>
  </si>
  <si>
    <t>2025-01-22T15:21:17</t>
  </si>
  <si>
    <t>2025-01-22T15:35:00</t>
  </si>
  <si>
    <t>Fuel Stations: Aramco Petrol Station</t>
  </si>
  <si>
    <t>Aramco Petrol Station</t>
  </si>
  <si>
    <t>2025-01-23T12:42:05</t>
  </si>
  <si>
    <t>2025-01-23T16:32:42</t>
  </si>
  <si>
    <t>Restaurants: Nala Restaurant</t>
  </si>
  <si>
    <t>Nala Restaurant</t>
  </si>
  <si>
    <t>2025-01-24T14:47:05</t>
  </si>
  <si>
    <t>2025-01-24T20:06:48</t>
  </si>
  <si>
    <t>Entertainment: PlayStation Store</t>
  </si>
  <si>
    <t>PlayStation Store</t>
  </si>
  <si>
    <t>2025-01-26T14:00:04</t>
  </si>
  <si>
    <t>2025-01-26T16:00:04</t>
  </si>
  <si>
    <t>Grocery Stores: Al-Raya Supermarket</t>
  </si>
  <si>
    <t>Al-Raya Supermarket</t>
  </si>
  <si>
    <t>2025-01-27T14:08:30</t>
  </si>
  <si>
    <t>2025-01-27T16:08:30</t>
  </si>
  <si>
    <t>Telecom: Zain KSA</t>
  </si>
  <si>
    <t>Zain KSA</t>
  </si>
  <si>
    <t>2025-01-28T13:04:26</t>
  </si>
  <si>
    <t>2025-01-28T20:21:34</t>
  </si>
  <si>
    <t>Utilities: City Gas Company</t>
  </si>
  <si>
    <t>City Gas Company</t>
  </si>
  <si>
    <t>2025-01-30T09:28:37</t>
  </si>
  <si>
    <t>2025-01-30T14:23:36</t>
  </si>
  <si>
    <t>KSAOB.Credit</t>
  </si>
  <si>
    <t>Salary - Saudi Aramco / راتب</t>
  </si>
  <si>
    <t>KSAOB.LocalBankTransfer</t>
  </si>
  <si>
    <t>KSAOB.Deposit</t>
  </si>
  <si>
    <t>Saudi Aramco</t>
  </si>
  <si>
    <t>SA0000000000000000000100</t>
  </si>
  <si>
    <t>2025-01-31T13:03:37</t>
  </si>
  <si>
    <t>2025-01-31T15:03:37</t>
  </si>
  <si>
    <t>Grocery Stores: Panda Supermarket</t>
  </si>
  <si>
    <t>Panda Supermarket</t>
  </si>
  <si>
    <t>2025-02-02T03:37:13</t>
  </si>
  <si>
    <t>2025-02-02T05:37:13</t>
  </si>
  <si>
    <t>2025-02-02T17:19:58</t>
  </si>
  <si>
    <t>2025-02-02T19:19:58</t>
  </si>
  <si>
    <t>Miscellaneous: Various Merchants</t>
  </si>
  <si>
    <t>2025-02-03T12:50:23</t>
  </si>
  <si>
    <t>2025-02-03T14:07:12</t>
  </si>
  <si>
    <t>Fuel Stations: Shell Saudi Arabia</t>
  </si>
  <si>
    <t>Shell Saudi Arabia</t>
  </si>
  <si>
    <t>2025-02-05T17:55:40</t>
  </si>
  <si>
    <t>2025-02-05T19:55:40</t>
  </si>
  <si>
    <t>Restaurants: Texas Roadhouse</t>
  </si>
  <si>
    <t>Texas Roadhouse</t>
  </si>
  <si>
    <t>2025-02-06T20:32:20</t>
  </si>
  <si>
    <t>2025-02-06T22:32:20</t>
  </si>
  <si>
    <t>Education: GEMS Education KSA</t>
  </si>
  <si>
    <t>GEMS Education KSA</t>
  </si>
  <si>
    <t>2025-02-07T15:41:13</t>
  </si>
  <si>
    <t>2025-02-07T20:39:40</t>
  </si>
  <si>
    <t>Fuel Stations: ADNOC Fuel KSA</t>
  </si>
  <si>
    <t>ADNOC Fuel KSA</t>
  </si>
  <si>
    <t>2025-02-08T08:36:35</t>
  </si>
  <si>
    <t>2025-02-08T13:23:35</t>
  </si>
  <si>
    <t>Online Shopping: Noon.com</t>
  </si>
  <si>
    <t>Noon.com</t>
  </si>
  <si>
    <t>2025-02-10T20:55:58</t>
  </si>
  <si>
    <t>2025-02-10T22:55:58</t>
  </si>
  <si>
    <t>Grocery Stores: Carrefour Saudi</t>
  </si>
  <si>
    <t>Carrefour Saudi</t>
  </si>
  <si>
    <t>AVERAGE  (non-zero months)</t>
  </si>
  <si>
    <t>2025-02-11T08:05:25</t>
  </si>
  <si>
    <t>2025-02-11T08:11:59</t>
  </si>
  <si>
    <t>2025-02-12T19:08:38</t>
  </si>
  <si>
    <t>2025-02-12T21:08:38</t>
  </si>
  <si>
    <t>Restaurants: Al Baik</t>
  </si>
  <si>
    <t>Al Baik</t>
  </si>
  <si>
    <t>📐  SCORING METRICS  —  Intermediate values that feed the 7 Risk Factors</t>
  </si>
  <si>
    <t>2025-02-13T08:35:29</t>
  </si>
  <si>
    <t>2025-02-13T16:46:01</t>
  </si>
  <si>
    <t>Entertainment: Muvi Cinemas</t>
  </si>
  <si>
    <t>Muvi Cinemas</t>
  </si>
  <si>
    <t>METRIC  →  WHICH FACTOR IT FEEDS</t>
  </si>
  <si>
    <t>COMPUTED VALUE</t>
  </si>
  <si>
    <t>BENCHMARK</t>
  </si>
  <si>
    <t>STATUS</t>
  </si>
  <si>
    <t>FORMULA LOGIC</t>
  </si>
  <si>
    <t>2025-02-14T08:42:57</t>
  </si>
  <si>
    <t>2025-02-14T14:40:14</t>
  </si>
  <si>
    <t>Healthcare: Saudi German Hospital</t>
  </si>
  <si>
    <t>Saudi German Hospital</t>
  </si>
  <si>
    <t>▸ Overall Median Salary — all months  [helper only, not scored]</t>
  </si>
  <si>
    <t>—</t>
  </si>
  <si>
    <t>MEDIAN(T9:T22)
Median of all monthly salary rows. Used only to set spike threshold below.</t>
  </si>
  <si>
    <t>2025-02-15T14:02:36</t>
  </si>
  <si>
    <t>2025-02-15T16:02:36</t>
  </si>
  <si>
    <t>Online Shopping: Extra KSA</t>
  </si>
  <si>
    <t>Extra KSA</t>
  </si>
  <si>
    <t>▸ Spike Threshold  =  Overall Median × 130%</t>
  </si>
  <si>
    <t>130% of median</t>
  </si>
  <si>
    <t>any month where salary &gt; this threshold is treated as a spike.
sama rule: exclude income spikes &gt;30% above median baseline.</t>
  </si>
  <si>
    <t>2025-02-16T11:55:16</t>
  </si>
  <si>
    <t>2025-02-16T13:55:16</t>
  </si>
  <si>
    <t>★ L3M Salary Median — last 3 months, spike-adjusted  →  Factor 2 &amp; DPR</t>
  </si>
  <si>
    <t>MEDIAN(MIN(T20,T29), MIN(T21,T29), MIN(T22,T29))
Takes salary from rows 20 (2025-12), 21 (2026-01), 22 (2026-02).
Each capped at spike threshold before MEDIAN → spike months don't inflate score.</t>
  </si>
  <si>
    <t>2025-02-17T08:15:47</t>
  </si>
  <si>
    <t>2025-02-17T08:25:28</t>
  </si>
  <si>
    <t>★ Last Month Salary  (2026-02)  →  Factor 5 (Salary Category)</t>
  </si>
  <si>
    <t>total salary/deposit credits in the most recent month only.
represents current salary bracket for risk categorisation.</t>
  </si>
  <si>
    <t>2025-02-20T16:19:28</t>
  </si>
  <si>
    <t>2025-02-20T20:10:44</t>
  </si>
  <si>
    <t>Telecom: STC</t>
  </si>
  <si>
    <t>STC</t>
  </si>
  <si>
    <t>★ Last Month Loan Payments  (2026-02)  →  Factor 3</t>
  </si>
  <si>
    <t>sum of all mcc=6012 debits in the last month only.
change amount or mcc on any row → this value updates.</t>
  </si>
  <si>
    <t>2025-02-21T16:02:14</t>
  </si>
  <si>
    <t>2025-02-21T19:38:03</t>
  </si>
  <si>
    <t>Grocery Stores: Lulu Hypermarket</t>
  </si>
  <si>
    <t>Lulu Hypermarket</t>
  </si>
  <si>
    <t>▸ Average Monthly Salary Income  (all months)</t>
  </si>
  <si>
    <t>T24  (links to average row above)</t>
  </si>
  <si>
    <t>2025-02-23T20:08:53</t>
  </si>
  <si>
    <t>2025-02-23T22:08:53</t>
  </si>
  <si>
    <t>Miscellaneous: Uber KSA</t>
  </si>
  <si>
    <t>Uber KSA</t>
  </si>
  <si>
    <t>▸ Average Monthly Expenses  excl. loans  (all months)</t>
  </si>
  <si>
    <t>V24  (links to average row above)</t>
  </si>
  <si>
    <t>2025-02-25T12:24:52</t>
  </si>
  <si>
    <t>2025-02-25T14:24:52</t>
  </si>
  <si>
    <t>SA0000000000000000000101</t>
  </si>
  <si>
    <t>★ Surplus Ratio  →  Factor 4</t>
  </si>
  <si>
    <t>&gt; 20%</t>
  </si>
  <si>
    <t>(Avg Salary − Avg Expenses) ÷ Avg Salary
Score bands: ≤0%→0 | 1–10%→50 | 11–20%→100 | 21–30%→130 | &gt;30%→150</t>
  </si>
  <si>
    <t>2025-02-27T09:33:23</t>
  </si>
  <si>
    <t>2025-02-27T09:33:34</t>
  </si>
  <si>
    <t>Utilities: MARAFIQ Utilities</t>
  </si>
  <si>
    <t>MARAFIQ Utilities</t>
  </si>
  <si>
    <t>★ Average Cash Flow  →  Factor 6</t>
  </si>
  <si>
    <t>&gt; 0</t>
  </si>
  <si>
    <t>Avg Salary − Avg Expenses (excl. loans)
Score bands: &lt;0→0 | 0–1,000→50 | 1,001–3,000→100 | &gt;3,000→150</t>
  </si>
  <si>
    <t>2025-03-02T22:34:19</t>
  </si>
  <si>
    <t>2025-03-03T00:34:19</t>
  </si>
  <si>
    <t>★ Debt Payment Ratio  →  Factor 7</t>
  </si>
  <si>
    <t>&lt; 35%</t>
  </si>
  <si>
    <t>Avg Monthly Loan ÷ L3M Spike-Adjusted Median Salary
=U24 ÷ T30
Score bands: 0–10%→100 | 11–25%→70 | 26–40%→40 | 41–60%→20 | &gt;60%→0</t>
  </si>
  <si>
    <t>2025-03-04T03:20:38</t>
  </si>
  <si>
    <t>2025-03-04T03:29:45</t>
  </si>
  <si>
    <t>2025-03-04T22:12:06</t>
  </si>
  <si>
    <t>2025-03-05T00:12:06</t>
  </si>
  <si>
    <t>Online Shopping: Namshi.com</t>
  </si>
  <si>
    <t>Namshi.com</t>
  </si>
  <si>
    <t>🎯  RISK FACTOR SCORING  —  7 Factors | Max 1000 pts | All live formulas</t>
  </si>
  <si>
    <t>2025-03-06T12:28:29</t>
  </si>
  <si>
    <t>2025-03-06T14:28:29</t>
  </si>
  <si>
    <t>Restaurants: Kudu Restaurant</t>
  </si>
  <si>
    <t>Kudu Restaurant</t>
  </si>
  <si>
    <t>RISK FACTOR  (weight)</t>
  </si>
  <si>
    <t>INPUT  (from metrics above)</t>
  </si>
  <si>
    <t>SCORE</t>
  </si>
  <si>
    <t>MAX</t>
  </si>
  <si>
    <t>SCORING BANDS</t>
  </si>
  <si>
    <t>2025-03-08T14:22:20</t>
  </si>
  <si>
    <t>2025-03-08T16:22:20</t>
  </si>
  <si>
    <t>Factor 1 — Age Range  (15% | 150 pts)</t>
  </si>
  <si>
    <t>18–25→30 | 26–35→80 | 36–50→150 | 51–60→100 | &gt;60→0</t>
  </si>
  <si>
    <t>2025-03-10T11:15:17</t>
  </si>
  <si>
    <t>2025-03-10T13:15:17</t>
  </si>
  <si>
    <t>Factor 2 — Median Income L3M  (15% | 150 pts)</t>
  </si>
  <si>
    <t>≤5,000→0 | 5,001–10,000→50 | 10,001–15,000→100 | &gt;15,000→150</t>
  </si>
  <si>
    <t>2025-03-14T19:35:20</t>
  </si>
  <si>
    <t>2025-03-14T21:35:20</t>
  </si>
  <si>
    <t>Healthcare: Al-Dawaa Pharmacy</t>
  </si>
  <si>
    <t>Al-Dawaa Pharmacy</t>
  </si>
  <si>
    <t>Factor 3 — Last Month Loan Payment  (15% | 150 pts)</t>
  </si>
  <si>
    <t>0–1,500→150 | 1,501–3,000→130 | 3,001–4,500→110 | 4,501–9,000→80 | 9,001–15,000→40 | &gt;15,000→0</t>
  </si>
  <si>
    <t>2025-03-18T12:17:17</t>
  </si>
  <si>
    <t>2025-03-18T21:56:09</t>
  </si>
  <si>
    <t>Factor 4 — Surplus Ratio  (15% | 150 pts)</t>
  </si>
  <si>
    <t>≤0%→0 | 1–10%→50 | 11–20%→100 | 21–30%→130 | &gt;30%→150</t>
  </si>
  <si>
    <t>2025-03-19T22:06:28</t>
  </si>
  <si>
    <t>2025-03-20T00:06:28</t>
  </si>
  <si>
    <t>Grocery Stores: Tamimi Markets</t>
  </si>
  <si>
    <t>Tamimi Markets</t>
  </si>
  <si>
    <t>Factor 5 — Salary Category  (15% | 150 pts)</t>
  </si>
  <si>
    <t>≤5,000→30 (High Risk) | 5,001–15,000→90 (Medium) | &gt;15,000→150 (Low Risk)</t>
  </si>
  <si>
    <t>2025-03-21T19:27:11</t>
  </si>
  <si>
    <t>2025-03-21T22:40:34</t>
  </si>
  <si>
    <t>Factor 6 — Cash Flow  (15% | 150 pts)</t>
  </si>
  <si>
    <t>&lt;0→0 | 0–1,000→50 | 1,001–3,000→100 | &gt;3,000→150</t>
  </si>
  <si>
    <t>2025-03-22T09:59:27</t>
  </si>
  <si>
    <t>2025-03-22T10:29:39</t>
  </si>
  <si>
    <t>Restaurants: Khayal Restaurant</t>
  </si>
  <si>
    <t>Khayal Restaurant</t>
  </si>
  <si>
    <t>Factor 7 — Account DPR  (10% | 100 pts)</t>
  </si>
  <si>
    <t>0–10%→100 | 11–25%→70 | 26–40%→40 | 41–60%→20 | &gt;60%→0</t>
  </si>
  <si>
    <t>2025-03-24T08:25:04</t>
  </si>
  <si>
    <t>2025-03-24T21:55:18</t>
  </si>
  <si>
    <t>2025-03-25T07:11:12</t>
  </si>
  <si>
    <t>2025-03-25T13:53:03</t>
  </si>
  <si>
    <t>Education: Manarat Al-Riyadh Schools</t>
  </si>
  <si>
    <t>Manarat Al-Riyadh Schools</t>
  </si>
  <si>
    <t>⭐  TOTAL CREDIT SCORE</t>
  </si>
  <si>
    <t>F1(Age)+F2(Income L3M)+F3(Loan)+F4(Surplus)+F5(Salary)+F6(CashFlow)+F7(DPR)</t>
  </si>
  <si>
    <t>2025-03-27T14:39:18</t>
  </si>
  <si>
    <t>2025-03-27T16:39:18</t>
  </si>
  <si>
    <t>SA0000000000000000000102</t>
  </si>
  <si>
    <t>🏷️  CREDIT CLASS</t>
  </si>
  <si>
    <t>AAA≥900 | AA≥800 | A≥700 | BBB≥600 | BB≥500 | B≥400 | CCC≥300 | CC≥200 | C≥100 | D&lt;100</t>
  </si>
  <si>
    <t>2025-03-27T11:50:13</t>
  </si>
  <si>
    <t>2025-03-27T13:51:03</t>
  </si>
  <si>
    <t>CLASS NAME</t>
  </si>
  <si>
    <t>Excellent | Very Good | Good | Above Average | Average | Below Average | Poor | Very Poor | Extremely Poor | Default Risk</t>
  </si>
  <si>
    <t>2025-03-28T07:14:16</t>
  </si>
  <si>
    <t>2025-03-28T10:30:04</t>
  </si>
  <si>
    <t>APPROVAL LEVEL</t>
  </si>
  <si>
    <t>Very High | High | Moderate | Low | Very Low | Unlikely | Declined</t>
  </si>
  <si>
    <t>2025-03-30T10:09:06</t>
  </si>
  <si>
    <t>2025-03-30T12:28:29</t>
  </si>
  <si>
    <t>2025-04-02T03:48:53</t>
  </si>
  <si>
    <t>2025-04-02T05:48:53</t>
  </si>
  <si>
    <t>📊  OTHER METRICS  —  Industry Benchmarks  |  🟡 Yellow = enter manually  |  White = auto-computed</t>
  </si>
  <si>
    <t>2025-04-03T13:26:35</t>
  </si>
  <si>
    <t>2025-04-03T22:11:23</t>
  </si>
  <si>
    <t>Healthcare: Nahdi Pharmacy</t>
  </si>
  <si>
    <t>Nahdi Pharmacy</t>
  </si>
  <si>
    <t>METRIC</t>
  </si>
  <si>
    <t>VALUE</t>
  </si>
  <si>
    <t>INDUSTRY STANDARD</t>
  </si>
  <si>
    <t>HOW CALCULATED</t>
  </si>
  <si>
    <t>2025-04-09T16:35:33</t>
  </si>
  <si>
    <t>2025-04-09T18:44:06</t>
  </si>
  <si>
    <t>Debt-to-Income Ratio  (auto)</t>
  </si>
  <si>
    <t>Avg Monthly Loan (U24) ÷ Avg Monthly Salary (T24)
Change any loan amount or salary amount → ratio updates.</t>
  </si>
  <si>
    <t>2025-04-13T15:15:17</t>
  </si>
  <si>
    <t>2025-04-13T17:15:17</t>
  </si>
  <si>
    <t>Savings Rate  ✏️  (manual — needs savings balance data)</t>
  </si>
  <si>
    <t>&lt; 15%</t>
  </si>
  <si>
    <t>Total Monthly Savings ÷ Total Monthly Income
Cannot derive from transaction list — enter as decimal (e.g. 0.18 = 18%).</t>
  </si>
  <si>
    <t>2025-04-15T11:05:49</t>
  </si>
  <si>
    <t>2025-04-15T13:05:49</t>
  </si>
  <si>
    <t>Surplus Ratio  (auto — links to Factor 4)</t>
  </si>
  <si>
    <t>&lt; 20%</t>
  </si>
  <si>
    <t>Linked to T35 — same as Factor 4 input. Auto-updates.</t>
  </si>
  <si>
    <t>2025-04-16T17:00:45</t>
  </si>
  <si>
    <t>2025-04-16T19:00:45</t>
  </si>
  <si>
    <t>Monthly Cash Flow  (auto — links to Factor 6)</t>
  </si>
  <si>
    <t>Positive</t>
  </si>
  <si>
    <t>Linked to T36 — same as Factor 6 input. Auto-updates.</t>
  </si>
  <si>
    <t>2025-04-19T09:58:05</t>
  </si>
  <si>
    <t>2025-04-19T16:46:53</t>
  </si>
  <si>
    <t>Emergency Fund  ✏️  (manual — needs savings balance)</t>
  </si>
  <si>
    <t>&gt; 3 Months</t>
  </si>
  <si>
    <t>Total Savings Balance ÷ Avg Monthly Expenses
Enter number of months covered (e.g. 4.5).</t>
  </si>
  <si>
    <t>2025-04-20T21:38:37</t>
  </si>
  <si>
    <t>2025-04-20T23:38:37</t>
  </si>
  <si>
    <t>Online Shopping: Jarir Bookstore Online</t>
  </si>
  <si>
    <t>Jarir Bookstore Online</t>
  </si>
  <si>
    <t>Avg Balance 6M  ✏️  (manual — needs daily balance history)</t>
  </si>
  <si>
    <t>Stable</t>
  </si>
  <si>
    <t>Sum of Daily Balances over 6 Months ÷ Number of Days
Enter 6-month average account balance in SAR.</t>
  </si>
  <si>
    <t>2025-04-21T13:12:13</t>
  </si>
  <si>
    <t>2025-04-21T16:43:22</t>
  </si>
  <si>
    <t>Negative Balance Days  ✏️  (manual — needs daily balance history)</t>
  </si>
  <si>
    <t>0 Days</t>
  </si>
  <si>
    <t>Count of days where account balance &lt; 0
Enter number of overdraft days (0 = no overdraft).</t>
  </si>
  <si>
    <t>2025-04-22T12:24:41</t>
  </si>
  <si>
    <t>2025-04-22T19:23:37</t>
  </si>
  <si>
    <t>ATM Withdrawal: SNB ATM</t>
  </si>
  <si>
    <t>KSAOB.ATM</t>
  </si>
  <si>
    <t>SNB ATM</t>
  </si>
  <si>
    <t>Salary Regularity  (auto — checks KSAOB.Deposit credits per month)</t>
  </si>
  <si>
    <t>&gt; 90%</t>
  </si>
  <si>
    <t>Months with salary received ÷ 14 total months.
Per month: checks creditDebitIndicator=KSAOB.Credit AND subTransactionType=KSAOB.Deposit.
Change subTransactionType on salary rows → regularity updates.</t>
  </si>
  <si>
    <t>2025-04-23T18:32:51</t>
  </si>
  <si>
    <t>2025-04-23T21:31:02</t>
  </si>
  <si>
    <t>2025-04-24T18:48:37</t>
  </si>
  <si>
    <t>2025-04-24T20:48:37</t>
  </si>
  <si>
    <t>Restaurants: Applebee's KSA</t>
  </si>
  <si>
    <t>Applebee's KSA</t>
  </si>
  <si>
    <t>2025-04-25T10:11:41</t>
  </si>
  <si>
    <t>2025-04-25T12:11:41</t>
  </si>
  <si>
    <t>2025-04-27T18:09:49</t>
  </si>
  <si>
    <t>2025-04-27T20:09:49</t>
  </si>
  <si>
    <t>2025-04-29T08:30:08</t>
  </si>
  <si>
    <t>2025-04-29T11:56:12</t>
  </si>
  <si>
    <t>SA0000000000000000000103</t>
  </si>
  <si>
    <t>2025-04-30T16:40:09</t>
  </si>
  <si>
    <t>2025-04-30T16:43:56</t>
  </si>
  <si>
    <t>Telecom: Mobily</t>
  </si>
  <si>
    <t>Mobily</t>
  </si>
  <si>
    <t>2025-05-02T03:44:34</t>
  </si>
  <si>
    <t>2025-05-02T05:44:34</t>
  </si>
  <si>
    <t>2025-05-02T18:04:09</t>
  </si>
  <si>
    <t>2025-05-02T20:04:09</t>
  </si>
  <si>
    <t>2025-05-03T14:15:04</t>
  </si>
  <si>
    <t>2025-05-03T15:49:27</t>
  </si>
  <si>
    <t>2025-05-04T09:30:46</t>
  </si>
  <si>
    <t>2025-05-04T16:27:38</t>
  </si>
  <si>
    <t>2025-05-09T07:24:44</t>
  </si>
  <si>
    <t>2025-05-09T22:07:36</t>
  </si>
  <si>
    <t>Miscellaneous: Careem Saudi Arabia</t>
  </si>
  <si>
    <t>Careem Saudi Arabia</t>
  </si>
  <si>
    <t>2025-05-10T15:34:20</t>
  </si>
  <si>
    <t>2025-05-10T21:42:07</t>
  </si>
  <si>
    <t>2025-05-11T07:07:49</t>
  </si>
  <si>
    <t>2025-05-11T14:24:49</t>
  </si>
  <si>
    <t>2025-05-13T10:01:18</t>
  </si>
  <si>
    <t>2025-05-13T19:14:24</t>
  </si>
  <si>
    <t>2025-05-14T12:20:04</t>
  </si>
  <si>
    <t>2025-05-14T14:20:04</t>
  </si>
  <si>
    <t>2025-05-17T10:45:07</t>
  </si>
  <si>
    <t>2025-05-17T12:45:07</t>
  </si>
  <si>
    <t>2025-05-18T19:15:42</t>
  </si>
  <si>
    <t>2025-05-18T21:46:40</t>
  </si>
  <si>
    <t>2025-05-19T08:31:45</t>
  </si>
  <si>
    <t>2025-05-19T21:35:18</t>
  </si>
  <si>
    <t>Grocery Stores: Danube Hypermarket</t>
  </si>
  <si>
    <t>Danube Hypermarket</t>
  </si>
  <si>
    <t>2025-05-20T11:54:18</t>
  </si>
  <si>
    <t>2025-05-20T13:54:18</t>
  </si>
  <si>
    <t>2025-05-21T08:21:50</t>
  </si>
  <si>
    <t>2025-05-21T16:52:50</t>
  </si>
  <si>
    <t>2025-05-22T18:35:47</t>
  </si>
  <si>
    <t>2025-05-22T20:52:23</t>
  </si>
  <si>
    <t>2025-05-25T17:01:49</t>
  </si>
  <si>
    <t>2025-05-25T19:01:49</t>
  </si>
  <si>
    <t>2025-05-26T11:32:06</t>
  </si>
  <si>
    <t>2025-05-26T19:52:45</t>
  </si>
  <si>
    <t>ATM Withdrawal: Riyad Bank ATM</t>
  </si>
  <si>
    <t>Riyad Bank ATM</t>
  </si>
  <si>
    <t>2025-05-27T08:24:39</t>
  </si>
  <si>
    <t>2025-05-27T12:33:28</t>
  </si>
  <si>
    <t>SA0000000000000000000104</t>
  </si>
  <si>
    <t>2025-05-27T21:18:40</t>
  </si>
  <si>
    <t>2025-05-27T23:18:40</t>
  </si>
  <si>
    <t>2025-05-28T11:46:46</t>
  </si>
  <si>
    <t>2025-05-28T15:29:33</t>
  </si>
  <si>
    <t>2025-05-30T08:33:06</t>
  </si>
  <si>
    <t>2025-05-30T21:29:52</t>
  </si>
  <si>
    <t>2025-06-02T19:11:50</t>
  </si>
  <si>
    <t>2025-06-02T21:11:50</t>
  </si>
  <si>
    <t>2025-06-04T03:26:12</t>
  </si>
  <si>
    <t>2025-06-04T05:26:12</t>
  </si>
  <si>
    <t>2025-06-05T09:23:10</t>
  </si>
  <si>
    <t>2025-06-05T10:00:45</t>
  </si>
  <si>
    <t>2025-06-06T20:51:28</t>
  </si>
  <si>
    <t>2025-06-06T22:51:28</t>
  </si>
  <si>
    <t>2025-06-10T13:57:56</t>
  </si>
  <si>
    <t>2025-06-10T21:05:05</t>
  </si>
  <si>
    <t>2025-06-11T21:42:48</t>
  </si>
  <si>
    <t>2025-06-11T23:42:48</t>
  </si>
  <si>
    <t>2025-06-12T20:09:16</t>
  </si>
  <si>
    <t>2025-06-12T22:09:16</t>
  </si>
  <si>
    <t>2025-06-14T12:37:03</t>
  </si>
  <si>
    <t>2025-06-14T14:37:03</t>
  </si>
  <si>
    <t>2025-06-15T11:15:07</t>
  </si>
  <si>
    <t>2025-06-15T13:15:07</t>
  </si>
  <si>
    <t>2025-06-16T20:22:22</t>
  </si>
  <si>
    <t>2025-06-16T22:22:22</t>
  </si>
  <si>
    <t>2025-06-17T20:50:02</t>
  </si>
  <si>
    <t>2025-06-17T22:50:02</t>
  </si>
  <si>
    <t>2025-06-18T10:14:08</t>
  </si>
  <si>
    <t>2025-06-18T11:44:14</t>
  </si>
  <si>
    <t>2025-06-19T07:06:47</t>
  </si>
  <si>
    <t>2025-06-19T08:53:04</t>
  </si>
  <si>
    <t>2025-06-20T19:23:37</t>
  </si>
  <si>
    <t>2025-06-20T21:23:37</t>
  </si>
  <si>
    <t>2025-06-23T22:51:27</t>
  </si>
  <si>
    <t>2025-06-24T00:51:27</t>
  </si>
  <si>
    <t>2025-06-25T12:13:35</t>
  </si>
  <si>
    <t>2025-06-25T14:13:35</t>
  </si>
  <si>
    <t>2025-06-27T08:00:00</t>
  </si>
  <si>
    <t>2025-06-27T10:26:00</t>
  </si>
  <si>
    <t>SA0000000000000000000105</t>
  </si>
  <si>
    <t>2025-06-27T10:48:20</t>
  </si>
  <si>
    <t>2025-06-27T12:48:20</t>
  </si>
  <si>
    <t>2025-07-02T03:31:47</t>
  </si>
  <si>
    <t>2025-07-02T03:41:22</t>
  </si>
  <si>
    <t>2025-07-03T11:40:32</t>
  </si>
  <si>
    <t>2025-07-03T15:22:26</t>
  </si>
  <si>
    <t>2025-07-05T22:30:17</t>
  </si>
  <si>
    <t>2025-07-06T00:30:17</t>
  </si>
  <si>
    <t>2025-07-06T07:30:41</t>
  </si>
  <si>
    <t>2025-07-06T11:55:25</t>
  </si>
  <si>
    <t>2025-07-07T09:07:06</t>
  </si>
  <si>
    <t>2025-07-07T12:18:09</t>
  </si>
  <si>
    <t>2025-07-10T13:40:37</t>
  </si>
  <si>
    <t>2025-07-10T18:02:01</t>
  </si>
  <si>
    <t>2025-07-11T21:53:48</t>
  </si>
  <si>
    <t>2025-07-11T23:53:48</t>
  </si>
  <si>
    <t>2025-07-12T11:45:24</t>
  </si>
  <si>
    <t>2025-07-12T14:06:20</t>
  </si>
  <si>
    <t>2025-07-13T15:53:43</t>
  </si>
  <si>
    <t>2025-07-13T19:22:53</t>
  </si>
  <si>
    <t>2025-07-17T14:18:42</t>
  </si>
  <si>
    <t>2025-07-17T16:18:42</t>
  </si>
  <si>
    <t>2025-07-20T18:04:55</t>
  </si>
  <si>
    <t>2025-07-20T20:04:55</t>
  </si>
  <si>
    <t>2025-07-21T13:05:52</t>
  </si>
  <si>
    <t>2025-07-21T16:51:45</t>
  </si>
  <si>
    <t>2025-07-22T09:44:46</t>
  </si>
  <si>
    <t>2025-07-22T13:58:31</t>
  </si>
  <si>
    <t>2025-07-24T16:26:25</t>
  </si>
  <si>
    <t>2025-07-24T16:46:47</t>
  </si>
  <si>
    <t>2025-07-26T19:10:04</t>
  </si>
  <si>
    <t>2025-07-26T21:10:04</t>
  </si>
  <si>
    <t>2025-07-27T14:44:27</t>
  </si>
  <si>
    <t>2025-07-27T16:44:27</t>
  </si>
  <si>
    <t>2025-07-31T13:28:39</t>
  </si>
  <si>
    <t>2025-07-31T14:39:23</t>
  </si>
  <si>
    <t>SA0000000000000000000106</t>
  </si>
  <si>
    <t>2025-08-02T20:42:12</t>
  </si>
  <si>
    <t>2025-08-02T22:42:12</t>
  </si>
  <si>
    <t>2025-08-03T13:04:09</t>
  </si>
  <si>
    <t>2025-08-03T15:04:09</t>
  </si>
  <si>
    <t>2025-08-04T03:58:58</t>
  </si>
  <si>
    <t>2025-08-04T05:58:58</t>
  </si>
  <si>
    <t>2025-08-05T07:15:19</t>
  </si>
  <si>
    <t>2025-08-05T08:33:57</t>
  </si>
  <si>
    <t>2025-08-08T20:43:32</t>
  </si>
  <si>
    <t>2025-08-08T22:43:32</t>
  </si>
  <si>
    <t>2025-08-10T10:55:16</t>
  </si>
  <si>
    <t>2025-08-10T14:42:52</t>
  </si>
  <si>
    <t>2025-08-12T10:24:14</t>
  </si>
  <si>
    <t>2025-08-12T19:06:50</t>
  </si>
  <si>
    <t>2025-08-15T22:40:44</t>
  </si>
  <si>
    <t>2025-08-16T00:40:44</t>
  </si>
  <si>
    <t>2025-08-20T08:06:34</t>
  </si>
  <si>
    <t>2025-08-20T17:07:23</t>
  </si>
  <si>
    <t>2025-08-21T09:41:21</t>
  </si>
  <si>
    <t>2025-08-21T19:58:45</t>
  </si>
  <si>
    <t>2025-08-22T10:08:40</t>
  </si>
  <si>
    <t>2025-08-22T12:08:40</t>
  </si>
  <si>
    <t>2025-08-23T12:41:47</t>
  </si>
  <si>
    <t>2025-08-23T19:49:44</t>
  </si>
  <si>
    <t>Utilities: Saudi Electricity Co.</t>
  </si>
  <si>
    <t>Saudi Electricity Co.</t>
  </si>
  <si>
    <t>2025-08-24T13:54:46</t>
  </si>
  <si>
    <t>2025-08-24T14:44:47</t>
  </si>
  <si>
    <t>2025-08-25T22:12:05</t>
  </si>
  <si>
    <t>2025-08-26T00:12:05</t>
  </si>
  <si>
    <t>2025-08-26T16:02:40</t>
  </si>
  <si>
    <t>2025-08-26T18:02:40</t>
  </si>
  <si>
    <t>Entertainment: VOX Cinemas</t>
  </si>
  <si>
    <t>VOX Cinemas</t>
  </si>
  <si>
    <t>2025-08-28T10:49:38</t>
  </si>
  <si>
    <t>2025-08-28T12:49:38</t>
  </si>
  <si>
    <t>SA0000000000000000000107</t>
  </si>
  <si>
    <t>2025-08-29T11:12:31</t>
  </si>
  <si>
    <t>2025-08-29T12:32:07</t>
  </si>
  <si>
    <t>2025-09-04T03:47:08</t>
  </si>
  <si>
    <t>2025-09-04T05:47:08</t>
  </si>
  <si>
    <t>2025-09-04T08:18:10</t>
  </si>
  <si>
    <t>2025-09-04T11:43:29</t>
  </si>
  <si>
    <t>2025-09-05T11:28:23</t>
  </si>
  <si>
    <t>2025-09-05T17:23:05</t>
  </si>
  <si>
    <t>2025-09-06T07:09:50</t>
  </si>
  <si>
    <t>2025-09-06T18:53:52</t>
  </si>
  <si>
    <t>2025-09-07T10:07:29</t>
  </si>
  <si>
    <t>2025-09-07T12:07:29</t>
  </si>
  <si>
    <t>2025-09-08T20:26:29</t>
  </si>
  <si>
    <t>2025-09-08T22:26:29</t>
  </si>
  <si>
    <t>2025-09-10T09:19:55</t>
  </si>
  <si>
    <t>2025-09-10T21:55:26</t>
  </si>
  <si>
    <t>2025-09-11T11:29:43</t>
  </si>
  <si>
    <t>2025-09-11T11:33:18</t>
  </si>
  <si>
    <t>2025-09-13T18:01:19</t>
  </si>
  <si>
    <t>2025-09-13T20:01:19</t>
  </si>
  <si>
    <t>2025-09-18T16:10:50</t>
  </si>
  <si>
    <t>2025-09-18T18:10:50</t>
  </si>
  <si>
    <t>2025-09-20T15:52:39</t>
  </si>
  <si>
    <t>2025-09-20T21:54:42</t>
  </si>
  <si>
    <t>2025-09-22T17:37:24</t>
  </si>
  <si>
    <t>2025-09-22T19:37:24</t>
  </si>
  <si>
    <t>2025-09-23T13:22:57</t>
  </si>
  <si>
    <t>2025-09-23T15:08:44</t>
  </si>
  <si>
    <t>2025-09-24T20:40:28</t>
  </si>
  <si>
    <t>2025-09-24T22:40:28</t>
  </si>
  <si>
    <t>2025-09-27T18:06:03</t>
  </si>
  <si>
    <t>2025-09-27T19:46:59</t>
  </si>
  <si>
    <t>2025-09-29T16:53:14</t>
  </si>
  <si>
    <t>2025-09-29T18:53:14</t>
  </si>
  <si>
    <t>2025-09-30T11:27:30</t>
  </si>
  <si>
    <t>2025-09-30T13:27:30</t>
  </si>
  <si>
    <t>SA0000000000000000000108</t>
  </si>
  <si>
    <t>2025-10-03T03:59:58</t>
  </si>
  <si>
    <t>2025-10-03T05:59:58</t>
  </si>
  <si>
    <t>2025-10-03T13:31:45</t>
  </si>
  <si>
    <t>2025-10-03T18:57:58</t>
  </si>
  <si>
    <t>2025-10-04T13:24:23</t>
  </si>
  <si>
    <t>2025-10-04T15:24:23</t>
  </si>
  <si>
    <t>2025-10-09T10:10:12</t>
  </si>
  <si>
    <t>2025-10-09T21:55:07</t>
  </si>
  <si>
    <t>2025-10-10T11:51:22</t>
  </si>
  <si>
    <t>2025-10-10T21:25:10</t>
  </si>
  <si>
    <t>2025-10-12T13:04:37</t>
  </si>
  <si>
    <t>2025-10-12T15:04:37</t>
  </si>
  <si>
    <t>ATM Withdrawal: ANB ATM</t>
  </si>
  <si>
    <t>ANB ATM</t>
  </si>
  <si>
    <t>2025-10-13T13:21:44</t>
  </si>
  <si>
    <t>2025-10-13T15:05:32</t>
  </si>
  <si>
    <t>2025-10-14T17:46:53</t>
  </si>
  <si>
    <t>2025-10-14T20:55:27</t>
  </si>
  <si>
    <t>2025-10-16T12:49:15</t>
  </si>
  <si>
    <t>2025-10-16T14:49:15</t>
  </si>
  <si>
    <t>2025-10-17T08:14:07</t>
  </si>
  <si>
    <t>2025-10-17T10:14:07</t>
  </si>
  <si>
    <t>2025-10-18T16:07:21</t>
  </si>
  <si>
    <t>2025-10-18T17:37:38</t>
  </si>
  <si>
    <t>2025-10-19T11:06:13</t>
  </si>
  <si>
    <t>2025-10-19T12:01:38</t>
  </si>
  <si>
    <t>Restaurants: Herfy</t>
  </si>
  <si>
    <t>Herfy</t>
  </si>
  <si>
    <t>2025-10-21T10:39:39</t>
  </si>
  <si>
    <t>2025-10-21T17:08:38</t>
  </si>
  <si>
    <t>2025-10-24T22:24:18</t>
  </si>
  <si>
    <t>2025-10-25T00:24:18</t>
  </si>
  <si>
    <t>2025-10-25T09:16:31</t>
  </si>
  <si>
    <t>2025-10-25T13:33:31</t>
  </si>
  <si>
    <t>SA0000000000000000000109</t>
  </si>
  <si>
    <t>2025-10-26T20:34:46</t>
  </si>
  <si>
    <t>2025-10-26T22:34:46</t>
  </si>
  <si>
    <t>2025-10-28T09:11:28</t>
  </si>
  <si>
    <t>2025-10-28T11:11:28</t>
  </si>
  <si>
    <t>2025-10-31T09:33:54</t>
  </si>
  <si>
    <t>2025-10-31T13:00:27</t>
  </si>
  <si>
    <t>2025-11-01T03:12:36</t>
  </si>
  <si>
    <t>2025-11-01T03:26:42</t>
  </si>
  <si>
    <t>2025-11-03T09:07:30</t>
  </si>
  <si>
    <t>2025-11-03T21:26:54</t>
  </si>
  <si>
    <t>ATM Withdrawal: Al Rajhi ATM</t>
  </si>
  <si>
    <t>Al Rajhi ATM</t>
  </si>
  <si>
    <t>2025-11-05T19:03:26</t>
  </si>
  <si>
    <t>2025-11-05T21:03:26</t>
  </si>
  <si>
    <t>2025-11-06T19:54:16</t>
  </si>
  <si>
    <t>2025-11-06T21:54:16</t>
  </si>
  <si>
    <t>2025-11-07T21:07:47</t>
  </si>
  <si>
    <t>2025-11-07T23:07:47</t>
  </si>
  <si>
    <t>2025-11-08T19:35:26</t>
  </si>
  <si>
    <t>2025-11-08T21:35:26</t>
  </si>
  <si>
    <t>2025-11-10T15:45:50</t>
  </si>
  <si>
    <t>2025-11-10T17:45:50</t>
  </si>
  <si>
    <t>2025-11-12T14:47:12</t>
  </si>
  <si>
    <t>2025-11-12T18:42:02</t>
  </si>
  <si>
    <t>2025-11-13T15:03:25</t>
  </si>
  <si>
    <t>2025-11-13T16:24:57</t>
  </si>
  <si>
    <t>2025-11-14T14:37:43</t>
  </si>
  <si>
    <t>2025-11-14T17:34:29</t>
  </si>
  <si>
    <t>2025-11-16T22:48:18</t>
  </si>
  <si>
    <t>2025-11-17T00:48:18</t>
  </si>
  <si>
    <t>2025-11-17T07:13:36</t>
  </si>
  <si>
    <t>2025-11-17T21:29:15</t>
  </si>
  <si>
    <t>2025-11-18T18:57:49</t>
  </si>
  <si>
    <t>2025-11-18T21:47:56</t>
  </si>
  <si>
    <t>2025-11-19T16:44:28</t>
  </si>
  <si>
    <t>2025-11-19T17:50:28</t>
  </si>
  <si>
    <t>2025-11-23T15:31:40</t>
  </si>
  <si>
    <t>2025-11-23T17:31:40</t>
  </si>
  <si>
    <t>2025-11-24T21:01:00</t>
  </si>
  <si>
    <t>2025-11-24T23:01:00</t>
  </si>
  <si>
    <t>2025-11-27T12:52:39</t>
  </si>
  <si>
    <t>2025-11-27T14:52:39</t>
  </si>
  <si>
    <t>SA0000000000000000000110</t>
  </si>
  <si>
    <t>2025-11-30T07:13:36</t>
  </si>
  <si>
    <t>2025-11-30T12:01:40</t>
  </si>
  <si>
    <t>2025-12-02T16:20:36</t>
  </si>
  <si>
    <t>2025-12-02T18:20:36</t>
  </si>
  <si>
    <t>2025-12-03T03:22:06</t>
  </si>
  <si>
    <t>2025-12-03T03:33:10</t>
  </si>
  <si>
    <t>2025-12-03T11:37:40</t>
  </si>
  <si>
    <t>2025-12-03T21:40:55</t>
  </si>
  <si>
    <t>2025-12-05T18:34:03</t>
  </si>
  <si>
    <t>2025-12-05T20:47:32</t>
  </si>
  <si>
    <t>2025-12-06T13:27:47</t>
  </si>
  <si>
    <t>2025-12-06T18:04:17</t>
  </si>
  <si>
    <t>2025-12-08T22:38:18</t>
  </si>
  <si>
    <t>2025-12-09T00:38:18</t>
  </si>
  <si>
    <t>2025-12-09T16:17:35</t>
  </si>
  <si>
    <t>2025-12-09T18:32:24</t>
  </si>
  <si>
    <t>2025-12-13T13:19:53</t>
  </si>
  <si>
    <t>2025-12-13T15:19:53</t>
  </si>
  <si>
    <t>2025-12-14T10:14:40</t>
  </si>
  <si>
    <t>2025-12-14T21:09:53</t>
  </si>
  <si>
    <t>2025-12-17T12:49:24</t>
  </si>
  <si>
    <t>2025-12-17T14:49:24</t>
  </si>
  <si>
    <t>2025-12-19T11:23:54</t>
  </si>
  <si>
    <t>2025-12-19T13:23:54</t>
  </si>
  <si>
    <t>2025-12-20T22:04:11</t>
  </si>
  <si>
    <t>2025-12-21T00:04:11</t>
  </si>
  <si>
    <t>2025-12-21T20:10:23</t>
  </si>
  <si>
    <t>2025-12-21T22:10:23</t>
  </si>
  <si>
    <t>2025-12-25T21:00:47</t>
  </si>
  <si>
    <t>2025-12-25T23:00:47</t>
  </si>
  <si>
    <t>2025-12-27T10:29:24</t>
  </si>
  <si>
    <t>2025-12-27T17:15:38</t>
  </si>
  <si>
    <t>2025-12-28T12:20:55</t>
  </si>
  <si>
    <t>2025-12-28T12:44:43</t>
  </si>
  <si>
    <t>SA0000000000000000000111</t>
  </si>
  <si>
    <t>2025-12-28T08:07:43</t>
  </si>
  <si>
    <t>2025-12-28T09:26:33</t>
  </si>
  <si>
    <t>2025-12-29T21:23:21</t>
  </si>
  <si>
    <t>2025-12-29T23:23:21</t>
  </si>
  <si>
    <t>2025-12-30T21:52:30</t>
  </si>
  <si>
    <t>2025-12-30T23:52:30</t>
  </si>
  <si>
    <t>2026-01-03T13:13:09</t>
  </si>
  <si>
    <t>2026-01-03T17:43:42</t>
  </si>
  <si>
    <t>2026-01-05T03:19:53</t>
  </si>
  <si>
    <t>2026-01-05T05:19:53</t>
  </si>
  <si>
    <t>2026-01-05T19:35:34</t>
  </si>
  <si>
    <t>2026-01-05T19:56:33</t>
  </si>
  <si>
    <t>2026-01-07T18:54:30</t>
  </si>
  <si>
    <t>2026-01-07T20:54:30</t>
  </si>
  <si>
    <t>2026-01-08T22:27:24</t>
  </si>
  <si>
    <t>2026-01-09T00:27:24</t>
  </si>
  <si>
    <t>2026-01-09T07:21:54</t>
  </si>
  <si>
    <t>2026-01-09T19:50:48</t>
  </si>
  <si>
    <t>2026-01-11T22:04:22</t>
  </si>
  <si>
    <t>2026-01-12T00:04:22</t>
  </si>
  <si>
    <t>2026-01-12T11:47:56</t>
  </si>
  <si>
    <t>2026-01-12T19:54:39</t>
  </si>
  <si>
    <t>2026-01-14T19:54:05</t>
  </si>
  <si>
    <t>2026-01-14T21:54:05</t>
  </si>
  <si>
    <t>2026-01-16T10:54:15</t>
  </si>
  <si>
    <t>2026-01-16T19:35:46</t>
  </si>
  <si>
    <t>2026-01-19T08:16:05</t>
  </si>
  <si>
    <t>2026-01-19T15:28:09</t>
  </si>
  <si>
    <t>2026-01-20T15:44:06</t>
  </si>
  <si>
    <t>2026-01-20T17:44:06</t>
  </si>
  <si>
    <t>2026-01-21T07:43:33</t>
  </si>
  <si>
    <t>2026-01-21T15:36:50</t>
  </si>
  <si>
    <t>2026-01-23T16:47:19</t>
  </si>
  <si>
    <t>2026-01-23T20:01:01</t>
  </si>
  <si>
    <t>Entertainment: Al-Hokair Group</t>
  </si>
  <si>
    <t>Al-Hokair Group</t>
  </si>
  <si>
    <t>2026-01-26T14:08:20</t>
  </si>
  <si>
    <t>2026-01-26T14:26:53</t>
  </si>
  <si>
    <t>SA0000000000000000000112</t>
  </si>
  <si>
    <t>2026-01-28T14:29:09</t>
  </si>
  <si>
    <t>2026-01-28T16:29:09</t>
  </si>
  <si>
    <t>2026-01-31T14:31:31</t>
  </si>
  <si>
    <t>2026-01-31T15:27:03</t>
  </si>
  <si>
    <t>2026-02-02T18:34:43</t>
  </si>
  <si>
    <t>2026-02-02T20:34:43</t>
  </si>
  <si>
    <t>2026-02-03T03:23:40</t>
  </si>
  <si>
    <t>2026-02-03T03:45:33</t>
  </si>
  <si>
    <t>2026-02-06T21:47:01</t>
  </si>
  <si>
    <t>2026-02-06T22:50:44</t>
  </si>
  <si>
    <t>2026-02-08T21:05:56</t>
  </si>
  <si>
    <t>2026-02-08T23:05:56</t>
  </si>
  <si>
    <t>2026-02-11T09:33:09</t>
  </si>
  <si>
    <t>2026-02-11T21:04:27</t>
  </si>
  <si>
    <t>2026-02-13T09:19:38</t>
  </si>
  <si>
    <t>2026-02-13T09:51:07</t>
  </si>
  <si>
    <t>2026-02-14T17:05:23</t>
  </si>
  <si>
    <t>2026-02-14T19:05:23</t>
  </si>
  <si>
    <t>2026-02-19T15:32:18</t>
  </si>
  <si>
    <t>2026-02-19T17:32:18</t>
  </si>
  <si>
    <t>2026-02-22T08:52:27</t>
  </si>
  <si>
    <t>2026-02-22T12:27:36</t>
  </si>
  <si>
    <t>2026-02-23T17:08:29</t>
  </si>
  <si>
    <t>2026-02-23T22:34:36</t>
  </si>
  <si>
    <t>2026-02-24T14:56:26</t>
  </si>
  <si>
    <t>2026-02-24T16:56:26</t>
  </si>
  <si>
    <t>2026-02-25T17:03:29</t>
  </si>
  <si>
    <t>2026-02-25T20:49:11</t>
  </si>
  <si>
    <t>2026-02-27T11:45:08</t>
  </si>
  <si>
    <t>2026-02-27T13:17:34</t>
  </si>
  <si>
    <t>SA0000000000000000000113</t>
  </si>
  <si>
    <t>2026-02-27T11:53:53</t>
  </si>
  <si>
    <t>2026-02-27T21:36:02</t>
  </si>
  <si>
    <t>2026-02-28T10:25:46</t>
  </si>
  <si>
    <t>2026-02-28T14:51:09</t>
  </si>
  <si>
    <t>📊  CREDIT SCORING CALCULATOR  —  CLT002 BBB Sara</t>
  </si>
  <si>
    <t>ACC-146</t>
  </si>
  <si>
    <t>2025-03-03T03:28:54</t>
  </si>
  <si>
    <t>2025-03-03T03:48:30</t>
  </si>
  <si>
    <t>Car Loan Payment - Al Rajhi Auto Finance</t>
  </si>
  <si>
    <t>Al Rajhi Auto Finance</t>
  </si>
  <si>
    <t>Sara Al-Otaibi</t>
  </si>
  <si>
    <t>SA4420000023456789100002</t>
  </si>
  <si>
    <t>Al Rajhi Bank</t>
  </si>
  <si>
    <t>RJHISARI</t>
  </si>
  <si>
    <t>Period: 2025-03 → 2026-02  |  12 months  |  165 transactions  |  Income = Salary (KSAOB.Deposit) per month</t>
  </si>
  <si>
    <t>2025-03-05T21:07:09</t>
  </si>
  <si>
    <t>2025-03-05T23:07:09</t>
  </si>
  <si>
    <t>2025-03-06T09:07:07</t>
  </si>
  <si>
    <t>2025-03-06T19:25:06</t>
  </si>
  <si>
    <t>2025-03-07T19:10:52</t>
  </si>
  <si>
    <t>2025-03-07T21:59:16</t>
  </si>
  <si>
    <t>2025-03-11T09:34:59</t>
  </si>
  <si>
    <t>2025-03-11T19:57:16</t>
  </si>
  <si>
    <t>2025-03-12T13:00:20</t>
  </si>
  <si>
    <t>2025-03-12T17:30:02</t>
  </si>
  <si>
    <t>2025-03-18T09:42:29</t>
  </si>
  <si>
    <t>2025-03-18T12:50:11</t>
  </si>
  <si>
    <t>2025-03-19T15:26:07</t>
  </si>
  <si>
    <t>2025-03-19T22:46:41</t>
  </si>
  <si>
    <t>2025-03-22T16:43:57</t>
  </si>
  <si>
    <t>2025-03-22T18:43:57</t>
  </si>
  <si>
    <t>2025-03-24T18:42:32</t>
  </si>
  <si>
    <t>2025-03-24T20:42:32</t>
  </si>
  <si>
    <t>2025-03-26T11:10:36</t>
  </si>
  <si>
    <t>2025-03-26T13:10:36</t>
  </si>
  <si>
    <t>Salary - Riyad Bank HQ / راتب</t>
  </si>
  <si>
    <t>Riyad Bank HQ</t>
  </si>
  <si>
    <t>SA0000000000000000000114</t>
  </si>
  <si>
    <t>2025-03-26T10:08:53</t>
  </si>
  <si>
    <t>2025-03-26T15:29:27</t>
  </si>
  <si>
    <t>2025-03-27T14:17:34</t>
  </si>
  <si>
    <t>2025-03-27T14:22:42</t>
  </si>
  <si>
    <t>2025-03-30T20:58:24</t>
  </si>
  <si>
    <t>2025-03-30T22:58:24</t>
  </si>
  <si>
    <t>2025-04-02T20:11:23</t>
  </si>
  <si>
    <t>2025-04-02T21:54:04</t>
  </si>
  <si>
    <t>2025-04-04T03:26:20</t>
  </si>
  <si>
    <t>2025-04-04T05:26:20</t>
  </si>
  <si>
    <t>2025-04-09T15:34:51</t>
  </si>
  <si>
    <t>2025-04-09T19:03:00</t>
  </si>
  <si>
    <t>2025-04-12T18:14:52</t>
  </si>
  <si>
    <t>2025-04-12T21:03:52</t>
  </si>
  <si>
    <t>2025-04-15T16:23:31</t>
  </si>
  <si>
    <t>2025-04-15T18:23:31</t>
  </si>
  <si>
    <t>2025-04-16T21:45:12</t>
  </si>
  <si>
    <t>2025-04-16T23:45:12</t>
  </si>
  <si>
    <t>2025-04-17T14:15:36</t>
  </si>
  <si>
    <t>2025-04-17T16:15:36</t>
  </si>
  <si>
    <t>2025-04-18T08:25:55</t>
  </si>
  <si>
    <t>2025-04-18T15:34:27</t>
  </si>
  <si>
    <t>2025-04-20T07:29:53</t>
  </si>
  <si>
    <t>2025-04-20T19:58:11</t>
  </si>
  <si>
    <t>2025-04-21T12:10:40</t>
  </si>
  <si>
    <t>2025-04-21T14:10:40</t>
  </si>
  <si>
    <t>2025-04-29T09:44:16</t>
  </si>
  <si>
    <t>2025-04-29T10:34:27</t>
  </si>
  <si>
    <t>SA0000000000000000000115</t>
  </si>
  <si>
    <t>2025-04-29T17:47:09</t>
  </si>
  <si>
    <t>2025-04-29T19:47:09</t>
  </si>
  <si>
    <t>2025-04-30T16:32:57</t>
  </si>
  <si>
    <t>2025-04-30T18:32:57</t>
  </si>
  <si>
    <t>MEDIAN(T9:T20)
Median of all monthly salary rows. Used only to set spike threshold below.</t>
  </si>
  <si>
    <t>2025-05-02T13:45:14</t>
  </si>
  <si>
    <t>2025-05-02T20:22:00</t>
  </si>
  <si>
    <t>2025-05-05T03:25:28</t>
  </si>
  <si>
    <t>2025-05-05T05:25:28</t>
  </si>
  <si>
    <t>MEDIAN(MIN(T18,T29), MIN(T19,T29), MIN(T20,T29))
Takes salary from rows 18 (2025-12), 19 (2026-01), 20 (2026-02).
Each capped at spike threshold before MEDIAN → spike months don't inflate score.</t>
  </si>
  <si>
    <t>2025-05-05T11:32:58</t>
  </si>
  <si>
    <t>2025-05-05T22:57:11</t>
  </si>
  <si>
    <t>2025-05-06T19:12:21</t>
  </si>
  <si>
    <t>2025-05-06T21:12:21</t>
  </si>
  <si>
    <t>2025-05-07T19:12:00</t>
  </si>
  <si>
    <t>2025-05-07T21:12:00</t>
  </si>
  <si>
    <t>2025-05-09T08:44:23</t>
  </si>
  <si>
    <t>2025-05-09T21:46:00</t>
  </si>
  <si>
    <t>2025-05-12T18:54:42</t>
  </si>
  <si>
    <t>2025-05-12T22:25:01</t>
  </si>
  <si>
    <t>2025-05-13T09:23:05</t>
  </si>
  <si>
    <t>2025-05-13T20:46:17</t>
  </si>
  <si>
    <t>2025-05-20T14:09:10</t>
  </si>
  <si>
    <t>2025-05-20T16:09:10</t>
  </si>
  <si>
    <t>2025-05-21T15:06:15</t>
  </si>
  <si>
    <t>2025-05-21T17:06:15</t>
  </si>
  <si>
    <t>2025-05-22T20:25:43</t>
  </si>
  <si>
    <t>2025-05-22T22:25:43</t>
  </si>
  <si>
    <t>2025-05-23T11:10:58</t>
  </si>
  <si>
    <t>2025-05-23T13:10:58</t>
  </si>
  <si>
    <t>2025-05-25T11:16:02</t>
  </si>
  <si>
    <t>2025-05-25T13:16:02</t>
  </si>
  <si>
    <t>SA0000000000000000000116</t>
  </si>
  <si>
    <t>2025-05-29T10:17:11</t>
  </si>
  <si>
    <t>2025-05-29T19:07:59</t>
  </si>
  <si>
    <t>2025-05-31T13:40:43</t>
  </si>
  <si>
    <t>2025-05-31T16:12:07</t>
  </si>
  <si>
    <t>2025-06-03T15:34:13</t>
  </si>
  <si>
    <t>2025-06-03T17:34:13</t>
  </si>
  <si>
    <t>2025-06-04T18:46:24</t>
  </si>
  <si>
    <t>2025-06-04T19:06:37</t>
  </si>
  <si>
    <t>2025-06-05T03:10:15</t>
  </si>
  <si>
    <t>2025-06-05T03:52:56</t>
  </si>
  <si>
    <t>2025-06-10T21:58:32</t>
  </si>
  <si>
    <t>2025-06-10T23:58:32</t>
  </si>
  <si>
    <t>2025-06-11T16:28:50</t>
  </si>
  <si>
    <t>2025-06-11T18:28:50</t>
  </si>
  <si>
    <t>2025-06-14T14:11:54</t>
  </si>
  <si>
    <t>2025-06-14T16:11:54</t>
  </si>
  <si>
    <t>2025-06-15T14:39:22</t>
  </si>
  <si>
    <t>2025-06-15T18:19:38</t>
  </si>
  <si>
    <t>2025-06-17T09:29:54</t>
  </si>
  <si>
    <t>2025-06-17T11:29:54</t>
  </si>
  <si>
    <t>2025-06-22T17:12:50</t>
  </si>
  <si>
    <t>2025-06-22T21:31:16</t>
  </si>
  <si>
    <t>2025-06-23T08:02:17</t>
  </si>
  <si>
    <t>2025-06-23T14:45:54</t>
  </si>
  <si>
    <t>2025-06-26T16:07:26</t>
  </si>
  <si>
    <t>2025-06-26T21:15:18</t>
  </si>
  <si>
    <t>2025-06-29T10:04:29</t>
  </si>
  <si>
    <t>2025-06-29T12:04:29</t>
  </si>
  <si>
    <t>SA0000000000000000000117</t>
  </si>
  <si>
    <t>2025-07-03T03:34:57</t>
  </si>
  <si>
    <t>2025-07-03T05:34:57</t>
  </si>
  <si>
    <t>2025-07-03T07:43:08</t>
  </si>
  <si>
    <t>2025-07-03T15:22:52</t>
  </si>
  <si>
    <t>2025-07-06T15:24:15</t>
  </si>
  <si>
    <t>2025-07-06T17:24:15</t>
  </si>
  <si>
    <t>Online Shopping: Amazon.sa</t>
  </si>
  <si>
    <t>Amazon.sa</t>
  </si>
  <si>
    <t>2025-07-07T15:34:29</t>
  </si>
  <si>
    <t>2025-07-07T17:34:29</t>
  </si>
  <si>
    <t>2025-07-08T12:53:06</t>
  </si>
  <si>
    <t>2025-07-08T21:29:36</t>
  </si>
  <si>
    <t>2025-07-12T20:14:19</t>
  </si>
  <si>
    <t>2025-07-12T22:14:19</t>
  </si>
  <si>
    <t>2025-07-15T15:49:46</t>
  </si>
  <si>
    <t>2025-07-15T17:49:46</t>
  </si>
  <si>
    <t>2025-07-17T12:10:05</t>
  </si>
  <si>
    <t>2025-07-17T14:10:05</t>
  </si>
  <si>
    <t>Months with salary received ÷ 12 total months.
Per month: checks creditDebitIndicator=KSAOB.Credit AND subTransactionType=KSAOB.Deposit.
Change subTransactionType on salary rows → regularity updates.</t>
  </si>
  <si>
    <t>2025-07-19T15:19:24</t>
  </si>
  <si>
    <t>2025-07-19T17:19:24</t>
  </si>
  <si>
    <t>2025-07-21T13:44:22</t>
  </si>
  <si>
    <t>2025-07-21T19:36:15</t>
  </si>
  <si>
    <t>2025-07-22T20:53:16</t>
  </si>
  <si>
    <t>2025-07-22T22:53:16</t>
  </si>
  <si>
    <t>2025-07-23T08:32:10</t>
  </si>
  <si>
    <t>2025-07-23T10:14:36</t>
  </si>
  <si>
    <t>2025-07-28T18:32:56</t>
  </si>
  <si>
    <t>2025-07-28T20:32:56</t>
  </si>
  <si>
    <t>2025-07-29T11:59:02</t>
  </si>
  <si>
    <t>2025-07-29T13:59:02</t>
  </si>
  <si>
    <t>SA0000000000000000000118</t>
  </si>
  <si>
    <t>2025-07-30T07:02:26</t>
  </si>
  <si>
    <t>2025-07-30T10:51:32</t>
  </si>
  <si>
    <t>2025-08-03T22:46:23</t>
  </si>
  <si>
    <t>2025-08-04T00:46:23</t>
  </si>
  <si>
    <t>2025-08-05T03:21:53</t>
  </si>
  <si>
    <t>2025-08-05T03:56:25</t>
  </si>
  <si>
    <t>2025-08-08T15:33:58</t>
  </si>
  <si>
    <t>2025-08-08T19:37:43</t>
  </si>
  <si>
    <t>2025-08-10T17:52:53</t>
  </si>
  <si>
    <t>2025-08-10T19:52:53</t>
  </si>
  <si>
    <t>2025-08-12T19:48:59</t>
  </si>
  <si>
    <t>2025-08-12T21:48:59</t>
  </si>
  <si>
    <t>2025-08-13T21:31:58</t>
  </si>
  <si>
    <t>2025-08-13T21:40:08</t>
  </si>
  <si>
    <t>2025-08-18T16:56:52</t>
  </si>
  <si>
    <t>2025-08-18T18:56:52</t>
  </si>
  <si>
    <t>2025-08-21T08:49:18</t>
  </si>
  <si>
    <t>2025-08-21T12:39:56</t>
  </si>
  <si>
    <t>2025-08-22T12:23:19</t>
  </si>
  <si>
    <t>2025-08-22T13:55:49</t>
  </si>
  <si>
    <t>2025-08-25T10:01:29</t>
  </si>
  <si>
    <t>2025-08-25T13:03:52</t>
  </si>
  <si>
    <t>2025-08-29T12:52:29</t>
  </si>
  <si>
    <t>2025-08-29T14:23:58</t>
  </si>
  <si>
    <t>SA0000000000000000000119</t>
  </si>
  <si>
    <t>2025-08-29T08:07:09</t>
  </si>
  <si>
    <t>2025-08-29T14:31:25</t>
  </si>
  <si>
    <t>2025-09-03T18:05:17</t>
  </si>
  <si>
    <t>2025-09-03T18:24:12</t>
  </si>
  <si>
    <t>2025-09-04T03:24:53</t>
  </si>
  <si>
    <t>2025-09-04T05:24:53</t>
  </si>
  <si>
    <t>2025-09-06T08:21:10</t>
  </si>
  <si>
    <t>2025-09-06T08:55:34</t>
  </si>
  <si>
    <t>2025-09-10T22:20:09</t>
  </si>
  <si>
    <t>2025-09-11T00:20:09</t>
  </si>
  <si>
    <t>2025-09-11T16:44:27</t>
  </si>
  <si>
    <t>2025-09-11T18:44:27</t>
  </si>
  <si>
    <t>2025-09-13T14:28:17</t>
  </si>
  <si>
    <t>2025-09-13T20:37:32</t>
  </si>
  <si>
    <t>2025-09-16T14:39:24</t>
  </si>
  <si>
    <t>2025-09-16T21:00:08</t>
  </si>
  <si>
    <t>2025-09-23T07:42:54</t>
  </si>
  <si>
    <t>2025-09-23T09:42:54</t>
  </si>
  <si>
    <t>2025-09-25T09:42:12</t>
  </si>
  <si>
    <t>2025-09-25T22:42:39</t>
  </si>
  <si>
    <t>2025-09-27T21:59:36</t>
  </si>
  <si>
    <t>2025-09-27T23:59:36</t>
  </si>
  <si>
    <t>2025-09-28T10:45:05</t>
  </si>
  <si>
    <t>2025-09-28T12:18:11</t>
  </si>
  <si>
    <t>SA0000000000000000000120</t>
  </si>
  <si>
    <t>2025-09-29T21:01:26</t>
  </si>
  <si>
    <t>2025-09-29T23:01:26</t>
  </si>
  <si>
    <t>2025-09-30T07:23:16</t>
  </si>
  <si>
    <t>2025-09-30T12:17:14</t>
  </si>
  <si>
    <t>2025-10-03T03:45:35</t>
  </si>
  <si>
    <t>2025-10-03T03:51:26</t>
  </si>
  <si>
    <t>2025-10-05T19:56:07</t>
  </si>
  <si>
    <t>2025-10-05T21:56:07</t>
  </si>
  <si>
    <t>2025-10-12T18:46:35</t>
  </si>
  <si>
    <t>2025-10-12T19:45:39</t>
  </si>
  <si>
    <t>2025-10-13T16:00:09</t>
  </si>
  <si>
    <t>2025-10-13T18:00:09</t>
  </si>
  <si>
    <t>2025-10-16T21:26:31</t>
  </si>
  <si>
    <t>2025-10-16T23:26:31</t>
  </si>
  <si>
    <t>2025-10-17T08:55:07</t>
  </si>
  <si>
    <t>2025-10-17T10:55:07</t>
  </si>
  <si>
    <t>2025-10-18T21:43:57</t>
  </si>
  <si>
    <t>2025-10-18T23:43:57</t>
  </si>
  <si>
    <t>2025-10-21T16:08:40</t>
  </si>
  <si>
    <t>2025-10-21T18:08:40</t>
  </si>
  <si>
    <t>2025-10-25T08:25:25</t>
  </si>
  <si>
    <t>2025-10-25T08:38:16</t>
  </si>
  <si>
    <t>SA0000000000000000000121</t>
  </si>
  <si>
    <t>2025-10-25T13:09:52</t>
  </si>
  <si>
    <t>2025-10-25T20:49:55</t>
  </si>
  <si>
    <t>2025-10-27T12:01:36</t>
  </si>
  <si>
    <t>2025-10-27T14:01:36</t>
  </si>
  <si>
    <t>2025-10-28T16:29:47</t>
  </si>
  <si>
    <t>2025-10-28T18:29:47</t>
  </si>
  <si>
    <t>2025-10-31T17:31:40</t>
  </si>
  <si>
    <t>2025-10-31T19:31:40</t>
  </si>
  <si>
    <t>2025-11-02T03:10:57</t>
  </si>
  <si>
    <t>2025-11-02T03:47:08</t>
  </si>
  <si>
    <t>2025-11-02T16:21:08</t>
  </si>
  <si>
    <t>2025-11-02T18:21:08</t>
  </si>
  <si>
    <t>2025-11-05T17:42:14</t>
  </si>
  <si>
    <t>2025-11-05T19:42:14</t>
  </si>
  <si>
    <t>2025-11-08T17:52:21</t>
  </si>
  <si>
    <t>2025-11-08T19:52:21</t>
  </si>
  <si>
    <t>2025-11-09T20:25:11</t>
  </si>
  <si>
    <t>2025-11-09T22:25:11</t>
  </si>
  <si>
    <t>2025-11-10T15:56:09</t>
  </si>
  <si>
    <t>2025-11-10T17:56:09</t>
  </si>
  <si>
    <t>2025-11-13T10:53:14</t>
  </si>
  <si>
    <t>2025-11-13T12:53:14</t>
  </si>
  <si>
    <t>2025-11-14T14:49:54</t>
  </si>
  <si>
    <t>2025-11-14T18:04:29</t>
  </si>
  <si>
    <t>2025-11-15T12:49:53</t>
  </si>
  <si>
    <t>2025-11-15T14:49:53</t>
  </si>
  <si>
    <t>2025-11-16T14:41:09</t>
  </si>
  <si>
    <t>2025-11-16T16:41:09</t>
  </si>
  <si>
    <t>2025-11-21T09:23:43</t>
  </si>
  <si>
    <t>2025-11-21T22:18:37</t>
  </si>
  <si>
    <t>2025-11-25T18:16:11</t>
  </si>
  <si>
    <t>2025-11-25T20:16:11</t>
  </si>
  <si>
    <t>2025-11-26T07:49:02</t>
  </si>
  <si>
    <t>2025-11-26T15:05:29</t>
  </si>
  <si>
    <t>2025-11-28T09:39:20</t>
  </si>
  <si>
    <t>2025-11-28T10:35:23</t>
  </si>
  <si>
    <t>SA0000000000000000000122</t>
  </si>
  <si>
    <t>2025-11-29T12:49:41</t>
  </si>
  <si>
    <t>2025-11-29T14:49:41</t>
  </si>
  <si>
    <t>2025-11-30T07:07:25</t>
  </si>
  <si>
    <t>2025-11-30T14:36:38</t>
  </si>
  <si>
    <t>2025-12-01T03:24:40</t>
  </si>
  <si>
    <t>2025-12-01T05:24:40</t>
  </si>
  <si>
    <t>2025-12-05T10:53:19</t>
  </si>
  <si>
    <t>2025-12-05T20:02:03</t>
  </si>
  <si>
    <t>2025-12-08T21:32:18</t>
  </si>
  <si>
    <t>2025-12-08T23:32:18</t>
  </si>
  <si>
    <t>2025-12-09T07:32:50</t>
  </si>
  <si>
    <t>2025-12-09T09:08:08</t>
  </si>
  <si>
    <t>2025-12-10T12:29:59</t>
  </si>
  <si>
    <t>2025-12-10T19:11:37</t>
  </si>
  <si>
    <t>2025-12-13T07:06:59</t>
  </si>
  <si>
    <t>2025-12-13T19:33:59</t>
  </si>
  <si>
    <t>2025-12-15T14:26:03</t>
  </si>
  <si>
    <t>2025-12-15T16:26:03</t>
  </si>
  <si>
    <t>2025-12-19T08:29:01</t>
  </si>
  <si>
    <t>2025-12-19T13:14:41</t>
  </si>
  <si>
    <t>2025-12-21T21:57:49</t>
  </si>
  <si>
    <t>2025-12-21T22:21:35</t>
  </si>
  <si>
    <t>2025-12-23T13:24:00</t>
  </si>
  <si>
    <t>2025-12-23T17:40:43</t>
  </si>
  <si>
    <t>2025-12-25T12:19:00</t>
  </si>
  <si>
    <t>2025-12-25T14:15:28</t>
  </si>
  <si>
    <t>SA0000000000000000000123</t>
  </si>
  <si>
    <t>2025-12-28T07:24:10</t>
  </si>
  <si>
    <t>2025-12-28T09:51:41</t>
  </si>
  <si>
    <t>2025-12-29T07:49:38</t>
  </si>
  <si>
    <t>2025-12-29T08:00:28</t>
  </si>
  <si>
    <t>2025-12-31T07:02:51</t>
  </si>
  <si>
    <t>2025-12-31T08:44:56</t>
  </si>
  <si>
    <t>2026-01-02T03:01:04</t>
  </si>
  <si>
    <t>2026-01-02T03:14:52</t>
  </si>
  <si>
    <t>2026-01-03T22:23:27</t>
  </si>
  <si>
    <t>2026-01-04T00:23:27</t>
  </si>
  <si>
    <t>2026-01-04T12:23:50</t>
  </si>
  <si>
    <t>2026-01-04T14:11:02</t>
  </si>
  <si>
    <t>2026-01-05T19:37:32</t>
  </si>
  <si>
    <t>2026-01-05T22:59:01</t>
  </si>
  <si>
    <t>2026-01-07T12:18:48</t>
  </si>
  <si>
    <t>2026-01-07T15:09:42</t>
  </si>
  <si>
    <t>2026-01-08T10:38:11</t>
  </si>
  <si>
    <t>2026-01-08T21:27:31</t>
  </si>
  <si>
    <t>2026-01-09T09:53:04</t>
  </si>
  <si>
    <t>2026-01-09T13:38:43</t>
  </si>
  <si>
    <t>2026-01-13T14:06:15</t>
  </si>
  <si>
    <t>2026-01-13T15:08:30</t>
  </si>
  <si>
    <t>2026-01-14T20:18:20</t>
  </si>
  <si>
    <t>2026-01-14T22:18:20</t>
  </si>
  <si>
    <t>2026-01-17T07:57:49</t>
  </si>
  <si>
    <t>2026-01-17T22:38:25</t>
  </si>
  <si>
    <t>2026-01-18T22:07:49</t>
  </si>
  <si>
    <t>2026-01-19T00:07:49</t>
  </si>
  <si>
    <t>2026-01-22T09:30:39</t>
  </si>
  <si>
    <t>2026-01-22T17:17:37</t>
  </si>
  <si>
    <t>2026-01-27T11:06:31</t>
  </si>
  <si>
    <t>2026-01-27T13:06:31</t>
  </si>
  <si>
    <t>2026-01-29T09:05:01</t>
  </si>
  <si>
    <t>2026-01-29T12:13:18</t>
  </si>
  <si>
    <t>2026-01-31T14:26:53</t>
  </si>
  <si>
    <t>2026-01-31T16:26:53</t>
  </si>
  <si>
    <t>SA0000000000000000000124</t>
  </si>
  <si>
    <t>2026-02-04T03:28:43</t>
  </si>
  <si>
    <t>2026-02-04T03:58:35</t>
  </si>
  <si>
    <t>2026-02-04T18:32:23</t>
  </si>
  <si>
    <t>2026-02-04T20:32:23</t>
  </si>
  <si>
    <t>2026-02-06T07:13:32</t>
  </si>
  <si>
    <t>2026-02-06T09:13:32</t>
  </si>
  <si>
    <t>2026-02-10T19:01:51</t>
  </si>
  <si>
    <t>2026-02-10T19:02:18</t>
  </si>
  <si>
    <t>2026-02-13T11:10:42</t>
  </si>
  <si>
    <t>2026-02-13T15:08:51</t>
  </si>
  <si>
    <t>2026-02-14T08:53:07</t>
  </si>
  <si>
    <t>2026-02-14T19:50:12</t>
  </si>
  <si>
    <t>2026-02-15T12:58:12</t>
  </si>
  <si>
    <t>2026-02-15T14:58:12</t>
  </si>
  <si>
    <t>2026-02-16T09:17:45</t>
  </si>
  <si>
    <t>2026-02-16T12:44:14</t>
  </si>
  <si>
    <t>2026-02-20T07:53:30</t>
  </si>
  <si>
    <t>2026-02-20T12:33:48</t>
  </si>
  <si>
    <t>2026-02-21T17:09:30</t>
  </si>
  <si>
    <t>2026-02-21T19:09:30</t>
  </si>
  <si>
    <t>2026-02-22T17:27:34</t>
  </si>
  <si>
    <t>2026-02-22T19:27:34</t>
  </si>
  <si>
    <t>2026-02-25T19:59:44</t>
  </si>
  <si>
    <t>2026-02-25T21:59:44</t>
  </si>
  <si>
    <t>2026-02-28T11:27:47</t>
  </si>
  <si>
    <t>2026-02-28T13:27:47</t>
  </si>
  <si>
    <t>SA0000000000000000000125</t>
  </si>
  <si>
    <t>📊  CREDIT SCORING CALCULATOR  —  CLT003 B Mohammed</t>
  </si>
  <si>
    <t>ACC-147</t>
  </si>
  <si>
    <t>2025-06-04T03:50:40</t>
  </si>
  <si>
    <t>2025-06-04T05:50:40</t>
  </si>
  <si>
    <t>Credit Card Payment - Riyad Bank Credit Card</t>
  </si>
  <si>
    <t>Riyad Bank Credit Card</t>
  </si>
  <si>
    <t>SA0000000000000000000126</t>
  </si>
  <si>
    <t>Riyad Bank</t>
  </si>
  <si>
    <t>RIBLSARI</t>
  </si>
  <si>
    <t>Period: 2025-06 → 2026-02  |  9 months  |  99 transactions  |  Income = Salary (KSAOB.Deposit) per month</t>
  </si>
  <si>
    <t>2025-06-05T09:47:55</t>
  </si>
  <si>
    <t>2025-06-05T18:35:36</t>
  </si>
  <si>
    <t>SA0000000000000000000127</t>
  </si>
  <si>
    <t>2025-06-07T08:38:29</t>
  </si>
  <si>
    <t>2025-06-07T16:10:31</t>
  </si>
  <si>
    <t>SA0000000000000000000128</t>
  </si>
  <si>
    <t>2025-06-17T20:04:13</t>
  </si>
  <si>
    <t>2025-06-17T22:04:13</t>
  </si>
  <si>
    <t>SA0000000000000000000129</t>
  </si>
  <si>
    <t>2025-06-20T17:23:32</t>
  </si>
  <si>
    <t>2025-06-20T22:36:37</t>
  </si>
  <si>
    <t>SA0000000000000000000130</t>
  </si>
  <si>
    <t>2025-06-21T22:50:41</t>
  </si>
  <si>
    <t>2025-06-22T00:50:41</t>
  </si>
  <si>
    <t>SA0000000000000000000131</t>
  </si>
  <si>
    <t>2025-06-22T11:10:07</t>
  </si>
  <si>
    <t>2025-06-22T13:10:07</t>
  </si>
  <si>
    <t>SA0000000000000000000132</t>
  </si>
  <si>
    <t>2025-06-24T19:58:18</t>
  </si>
  <si>
    <t>2025-06-24T21:58:30</t>
  </si>
  <si>
    <t>SA0000000000000000000133</t>
  </si>
  <si>
    <t>2025-06-25T16:05:08</t>
  </si>
  <si>
    <t>2025-06-25T17:15:30</t>
  </si>
  <si>
    <t>SA0000000000000000000134</t>
  </si>
  <si>
    <t>2025-06-27T15:55:21</t>
  </si>
  <si>
    <t>2025-06-27T17:55:21</t>
  </si>
  <si>
    <t>SA0000000000000000000135</t>
  </si>
  <si>
    <t>2025-06-28T11:29:07</t>
  </si>
  <si>
    <t>2025-06-28T13:29:07</t>
  </si>
  <si>
    <t>Salary - Freelance Consulting / راتب</t>
  </si>
  <si>
    <t>Freelance Consulting</t>
  </si>
  <si>
    <t>SA0000000000000000000136</t>
  </si>
  <si>
    <t>2025-07-04T03:35:46</t>
  </si>
  <si>
    <t>2025-07-04T03:53:13</t>
  </si>
  <si>
    <t>SA0000000000000000000137</t>
  </si>
  <si>
    <t>2025-07-04T07:42:03</t>
  </si>
  <si>
    <t>2025-07-04T17:18:37</t>
  </si>
  <si>
    <t>SA0000000000000000000138</t>
  </si>
  <si>
    <t>2025-07-07T16:30:37</t>
  </si>
  <si>
    <t>2025-07-07T20:03:40</t>
  </si>
  <si>
    <t>SA0000000000000000000139</t>
  </si>
  <si>
    <t>2025-07-09T12:23:05</t>
  </si>
  <si>
    <t>2025-07-09T18:33:36</t>
  </si>
  <si>
    <t>SA0000000000000000000140</t>
  </si>
  <si>
    <t>2025-07-11T17:39:26</t>
  </si>
  <si>
    <t>2025-07-11T20:58:44</t>
  </si>
  <si>
    <t>SA0000000000000000000141</t>
  </si>
  <si>
    <t>2025-07-17T08:06:02</t>
  </si>
  <si>
    <t>2025-07-17T09:58:18</t>
  </si>
  <si>
    <t>SA0000000000000000000142</t>
  </si>
  <si>
    <t>2025-07-21T19:12:46</t>
  </si>
  <si>
    <t>2025-07-21T21:12:46</t>
  </si>
  <si>
    <t>SA0000000000000000000143</t>
  </si>
  <si>
    <t>2025-07-24T18:06:41</t>
  </si>
  <si>
    <t>2025-07-24T20:06:41</t>
  </si>
  <si>
    <t>SA0000000000000000000144</t>
  </si>
  <si>
    <t>2025-07-26T13:04:03</t>
  </si>
  <si>
    <t>2025-07-26T14:12:12</t>
  </si>
  <si>
    <t>SA0000000000000000000145</t>
  </si>
  <si>
    <t>2025-07-30T14:21:29</t>
  </si>
  <si>
    <t>2025-07-30T16:21:29</t>
  </si>
  <si>
    <t>SA0000000000000000000146</t>
  </si>
  <si>
    <t>2025-07-31T09:37:05</t>
  </si>
  <si>
    <t>2025-07-31T14:52:46</t>
  </si>
  <si>
    <t>SA0000000000000000000147</t>
  </si>
  <si>
    <t>2025-08-02T03:44:41</t>
  </si>
  <si>
    <t>2025-08-02T05:44:41</t>
  </si>
  <si>
    <t>SA0000000000000000000148</t>
  </si>
  <si>
    <t>2025-08-02T19:51:29</t>
  </si>
  <si>
    <t>2025-08-02T21:51:29</t>
  </si>
  <si>
    <t>SA0000000000000000000149</t>
  </si>
  <si>
    <t>2025-08-03T12:38:57</t>
  </si>
  <si>
    <t>2025-08-03T14:01:45</t>
  </si>
  <si>
    <t>SA0000000000000000000150</t>
  </si>
  <si>
    <t>2025-08-05T07:55:38</t>
  </si>
  <si>
    <t>2025-08-05T10:55:26</t>
  </si>
  <si>
    <t>SA0000000000000000000151</t>
  </si>
  <si>
    <t>2025-08-07T16:15:22</t>
  </si>
  <si>
    <t>2025-08-07T18:15:22</t>
  </si>
  <si>
    <t>SA0000000000000000000152</t>
  </si>
  <si>
    <t>MEDIAN(T9:T17)
Median of all monthly salary rows. Used only to set spike threshold below.</t>
  </si>
  <si>
    <t>2025-08-11T14:58:00</t>
  </si>
  <si>
    <t>2025-08-11T16:58:00</t>
  </si>
  <si>
    <t>SA0000000000000000000153</t>
  </si>
  <si>
    <t>2025-08-21T13:59:56</t>
  </si>
  <si>
    <t>2025-08-21T18:48:16</t>
  </si>
  <si>
    <t>SA0000000000000000000154</t>
  </si>
  <si>
    <t>MEDIAN(MIN(T15,T29), MIN(T16,T29), MIN(T17,T29))
Takes salary from rows 15 (2025-12), 16 (2026-01), 17 (2026-02).
Each capped at spike threshold before MEDIAN → spike months don't inflate score.</t>
  </si>
  <si>
    <t>2025-08-25T09:20:40</t>
  </si>
  <si>
    <t>2025-08-25T14:58:24</t>
  </si>
  <si>
    <t>SA0000000000000000000155</t>
  </si>
  <si>
    <t>2025-08-26T13:05:10</t>
  </si>
  <si>
    <t>2025-08-26T21:14:45</t>
  </si>
  <si>
    <t>SA0000000000000000000156</t>
  </si>
  <si>
    <t>2025-08-30T13:20:32</t>
  </si>
  <si>
    <t>2025-08-30T16:04:34</t>
  </si>
  <si>
    <t>SA0000000000000000000157</t>
  </si>
  <si>
    <t>2025-08-31T16:42:24</t>
  </si>
  <si>
    <t>2025-08-31T18:42:24</t>
  </si>
  <si>
    <t>SA0000000000000000000158</t>
  </si>
  <si>
    <t>2025-09-03T19:20:12</t>
  </si>
  <si>
    <t>2025-09-03T21:20:12</t>
  </si>
  <si>
    <t>SA0000000000000000000159</t>
  </si>
  <si>
    <t>2025-09-04T03:07:54</t>
  </si>
  <si>
    <t>2025-09-04T03:13:58</t>
  </si>
  <si>
    <t>SA0000000000000000000160</t>
  </si>
  <si>
    <t>2025-09-06T14:45:43</t>
  </si>
  <si>
    <t>2025-09-06T16:45:43</t>
  </si>
  <si>
    <t>SA0000000000000000000161</t>
  </si>
  <si>
    <t>2025-09-07T20:52:44</t>
  </si>
  <si>
    <t>2025-09-07T22:52:44</t>
  </si>
  <si>
    <t>SA0000000000000000000162</t>
  </si>
  <si>
    <t>2025-09-08T22:42:59</t>
  </si>
  <si>
    <t>2025-09-09T00:42:59</t>
  </si>
  <si>
    <t>SA0000000000000000000163</t>
  </si>
  <si>
    <t>2025-09-10T08:51:23</t>
  </si>
  <si>
    <t>2025-09-10T16:39:46</t>
  </si>
  <si>
    <t>SA0000000000000000000164</t>
  </si>
  <si>
    <t>2025-09-22T11:46:59</t>
  </si>
  <si>
    <t>2025-09-22T13:26:56</t>
  </si>
  <si>
    <t>SA0000000000000000000165</t>
  </si>
  <si>
    <t>2025-09-23T20:35:44</t>
  </si>
  <si>
    <t>2025-09-23T22:35:44</t>
  </si>
  <si>
    <t>SA0000000000000000000166</t>
  </si>
  <si>
    <t>2025-09-24T09:09:29</t>
  </si>
  <si>
    <t>2025-09-24T13:57:07</t>
  </si>
  <si>
    <t>SA0000000000000000000167</t>
  </si>
  <si>
    <t>2025-09-26T09:00:43</t>
  </si>
  <si>
    <t>2025-09-26T12:43:31</t>
  </si>
  <si>
    <t>SA0000000000000000000168</t>
  </si>
  <si>
    <t>2025-09-30T20:38:30</t>
  </si>
  <si>
    <t>2025-09-30T22:38:30</t>
  </si>
  <si>
    <t>SA0000000000000000000169</t>
  </si>
  <si>
    <t>2025-10-02T21:14:47</t>
  </si>
  <si>
    <t>2025-10-02T23:14:47</t>
  </si>
  <si>
    <t>SA0000000000000000000170</t>
  </si>
  <si>
    <t>2025-10-03T03:58:59</t>
  </si>
  <si>
    <t>2025-10-03T05:58:59</t>
  </si>
  <si>
    <t>SA0000000000000000000171</t>
  </si>
  <si>
    <t>2025-10-05T12:37:12</t>
  </si>
  <si>
    <t>2025-10-05T20:14:18</t>
  </si>
  <si>
    <t>SA0000000000000000000172</t>
  </si>
  <si>
    <t>2025-10-07T18:54:27</t>
  </si>
  <si>
    <t>2025-10-07T20:54:27</t>
  </si>
  <si>
    <t>SA0000000000000000000173</t>
  </si>
  <si>
    <t>2025-10-09T20:57:10</t>
  </si>
  <si>
    <t>2025-10-09T22:57:10</t>
  </si>
  <si>
    <t>SA0000000000000000000174</t>
  </si>
  <si>
    <t>2025-10-10T16:00:32</t>
  </si>
  <si>
    <t>2025-10-10T18:00:32</t>
  </si>
  <si>
    <t>SA0000000000000000000175</t>
  </si>
  <si>
    <t>2025-10-14T19:51:37</t>
  </si>
  <si>
    <t>2025-10-14T22:58:17</t>
  </si>
  <si>
    <t>SA0000000000000000000176</t>
  </si>
  <si>
    <t>2025-10-19T13:39:56</t>
  </si>
  <si>
    <t>2025-10-19T15:39:56</t>
  </si>
  <si>
    <t>SA0000000000000000000177</t>
  </si>
  <si>
    <t>2025-10-22T08:35:34</t>
  </si>
  <si>
    <t>2025-10-22T09:37:24</t>
  </si>
  <si>
    <t>SA0000000000000000000178</t>
  </si>
  <si>
    <t>2025-10-25T12:01:55</t>
  </si>
  <si>
    <t>2025-10-25T14:22:26</t>
  </si>
  <si>
    <t>SA0000000000000000000179</t>
  </si>
  <si>
    <t>2025-10-25T18:23:01</t>
  </si>
  <si>
    <t>2025-10-25T20:23:01</t>
  </si>
  <si>
    <t>SA0000000000000000000180</t>
  </si>
  <si>
    <t>2025-10-29T21:09:14</t>
  </si>
  <si>
    <t>2025-10-29T23:09:14</t>
  </si>
  <si>
    <t>SA0000000000000000000181</t>
  </si>
  <si>
    <t>2025-11-01T03:19:59</t>
  </si>
  <si>
    <t>2025-11-01T03:21:45</t>
  </si>
  <si>
    <t>SA0000000000000000000182</t>
  </si>
  <si>
    <t>2025-11-06T13:43:07</t>
  </si>
  <si>
    <t>2025-11-06T15:43:07</t>
  </si>
  <si>
    <t>SA0000000000000000000183</t>
  </si>
  <si>
    <t>2025-11-08T13:43:13</t>
  </si>
  <si>
    <t>2025-11-08T15:43:13</t>
  </si>
  <si>
    <t>SA0000000000000000000184</t>
  </si>
  <si>
    <t>2025-11-09T07:06:56</t>
  </si>
  <si>
    <t>2025-11-09T09:06:56</t>
  </si>
  <si>
    <t>SA0000000000000000000185</t>
  </si>
  <si>
    <t>2025-11-10T20:18:58</t>
  </si>
  <si>
    <t>2025-11-10T22:18:58</t>
  </si>
  <si>
    <t>SA0000000000000000000186</t>
  </si>
  <si>
    <t>2025-11-14T20:48:51</t>
  </si>
  <si>
    <t>2025-11-14T22:48:51</t>
  </si>
  <si>
    <t>SA0000000000000000000187</t>
  </si>
  <si>
    <t>Months with salary received ÷ 9 total months.
Per month: checks creditDebitIndicator=KSAOB.Credit AND subTransactionType=KSAOB.Deposit.
Change subTransactionType on salary rows → regularity updates.</t>
  </si>
  <si>
    <t>2025-11-17T08:29:48</t>
  </si>
  <si>
    <t>2025-11-17T15:49:48</t>
  </si>
  <si>
    <t>SA0000000000000000000188</t>
  </si>
  <si>
    <t>2025-11-18T19:38:21</t>
  </si>
  <si>
    <t>2025-11-18T21:38:21</t>
  </si>
  <si>
    <t>SA0000000000000000000189</t>
  </si>
  <si>
    <t>2025-11-21T18:12:04</t>
  </si>
  <si>
    <t>2025-11-21T22:03:32</t>
  </si>
  <si>
    <t>SA0000000000000000000190</t>
  </si>
  <si>
    <t>2025-11-26T13:41:21</t>
  </si>
  <si>
    <t>2025-11-26T14:57:34</t>
  </si>
  <si>
    <t>SA0000000000000000000191</t>
  </si>
  <si>
    <t>2025-11-29T18:01:31</t>
  </si>
  <si>
    <t>2025-11-29T20:01:31</t>
  </si>
  <si>
    <t>SA0000000000000000000192</t>
  </si>
  <si>
    <t>2025-12-03T21:47:05</t>
  </si>
  <si>
    <t>2025-12-03T23:47:05</t>
  </si>
  <si>
    <t>SA0000000000000000000193</t>
  </si>
  <si>
    <t>2025-12-04T03:52:25</t>
  </si>
  <si>
    <t>2025-12-04T05:52:25</t>
  </si>
  <si>
    <t>SA0000000000000000000194</t>
  </si>
  <si>
    <t>2025-12-04T14:14:52</t>
  </si>
  <si>
    <t>2025-12-04T14:56:17</t>
  </si>
  <si>
    <t>SA0000000000000000000195</t>
  </si>
  <si>
    <t>2025-12-06T15:37:56</t>
  </si>
  <si>
    <t>2025-12-06T17:37:56</t>
  </si>
  <si>
    <t>SA0000000000000000000196</t>
  </si>
  <si>
    <t>2025-12-11T13:38:38</t>
  </si>
  <si>
    <t>2025-12-11T15:38:38</t>
  </si>
  <si>
    <t>SA0000000000000000000197</t>
  </si>
  <si>
    <t>2025-12-14T12:04:57</t>
  </si>
  <si>
    <t>2025-12-14T18:52:59</t>
  </si>
  <si>
    <t>SA0000000000000000000198</t>
  </si>
  <si>
    <t>2025-12-17T22:06:42</t>
  </si>
  <si>
    <t>2025-12-18T00:06:42</t>
  </si>
  <si>
    <t>SA0000000000000000000199</t>
  </si>
  <si>
    <t>2025-12-18T22:32:14</t>
  </si>
  <si>
    <t>2025-12-19T00:32:14</t>
  </si>
  <si>
    <t>SA0000000000000000000200</t>
  </si>
  <si>
    <t>2025-12-19T11:26:23</t>
  </si>
  <si>
    <t>2025-12-19T14:55:34</t>
  </si>
  <si>
    <t>SA0000000000000000000201</t>
  </si>
  <si>
    <t>2025-12-21T10:33:42</t>
  </si>
  <si>
    <t>2025-12-21T16:55:51</t>
  </si>
  <si>
    <t>SA0000000000000000000202</t>
  </si>
  <si>
    <t>2025-12-22T12:35:01</t>
  </si>
  <si>
    <t>2025-12-22T17:02:15</t>
  </si>
  <si>
    <t>SA0000000000000000000203</t>
  </si>
  <si>
    <t>2025-12-26T21:19:29</t>
  </si>
  <si>
    <t>2025-12-26T22:46:54</t>
  </si>
  <si>
    <t>SA0000000000000000000204</t>
  </si>
  <si>
    <t>2025-12-28T12:54:38</t>
  </si>
  <si>
    <t>2025-12-28T14:01:56</t>
  </si>
  <si>
    <t>SA0000000000000000000205</t>
  </si>
  <si>
    <t>2026-01-04T03:11:40</t>
  </si>
  <si>
    <t>2026-01-04T03:52:57</t>
  </si>
  <si>
    <t>SA0000000000000000000206</t>
  </si>
  <si>
    <t>2026-01-12T10:23:54</t>
  </si>
  <si>
    <t>2026-01-12T12:23:54</t>
  </si>
  <si>
    <t>SA0000000000000000000207</t>
  </si>
  <si>
    <t>2026-01-18T17:56:54</t>
  </si>
  <si>
    <t>2026-01-18T19:56:54</t>
  </si>
  <si>
    <t>SA0000000000000000000208</t>
  </si>
  <si>
    <t>2026-01-21T16:45:56</t>
  </si>
  <si>
    <t>2026-01-21T17:31:32</t>
  </si>
  <si>
    <t>SA0000000000000000000209</t>
  </si>
  <si>
    <t>2026-01-22T18:39:38</t>
  </si>
  <si>
    <t>2026-01-22T20:04:00</t>
  </si>
  <si>
    <t>SA0000000000000000000210</t>
  </si>
  <si>
    <t>2026-01-23T14:28:38</t>
  </si>
  <si>
    <t>2026-01-23T17:33:05</t>
  </si>
  <si>
    <t>SA0000000000000000000211</t>
  </si>
  <si>
    <t>2026-01-25T18:12:51</t>
  </si>
  <si>
    <t>2026-01-25T20:12:51</t>
  </si>
  <si>
    <t>SA0000000000000000000212</t>
  </si>
  <si>
    <t>2026-01-27T08:31:37</t>
  </si>
  <si>
    <t>2026-01-27T14:49:22</t>
  </si>
  <si>
    <t>SA0000000000000000000213</t>
  </si>
  <si>
    <t>2026-01-29T18:41:43</t>
  </si>
  <si>
    <t>2026-01-29T20:41:43</t>
  </si>
  <si>
    <t>SA0000000000000000000214</t>
  </si>
  <si>
    <t>2026-01-31T17:32:32</t>
  </si>
  <si>
    <t>2026-01-31T19:32:32</t>
  </si>
  <si>
    <t>SA0000000000000000000215</t>
  </si>
  <si>
    <t>2026-02-02T03:02:19</t>
  </si>
  <si>
    <t>2026-02-02T03:29:44</t>
  </si>
  <si>
    <t>SA0000000000000000000216</t>
  </si>
  <si>
    <t>2026-02-04T20:21:57</t>
  </si>
  <si>
    <t>2026-02-04T22:21:57</t>
  </si>
  <si>
    <t>SA0000000000000000000217</t>
  </si>
  <si>
    <t>2026-02-09T13:27:25</t>
  </si>
  <si>
    <t>2026-02-09T15:27:25</t>
  </si>
  <si>
    <t>SA0000000000000000000218</t>
  </si>
  <si>
    <t>2026-02-12T14:42:18</t>
  </si>
  <si>
    <t>2026-02-12T16:42:18</t>
  </si>
  <si>
    <t>SA0000000000000000000219</t>
  </si>
  <si>
    <t>2026-02-13T17:41:35</t>
  </si>
  <si>
    <t>2026-02-13T19:41:35</t>
  </si>
  <si>
    <t>SA0000000000000000000220</t>
  </si>
  <si>
    <t>2026-02-14T07:19:09</t>
  </si>
  <si>
    <t>2026-02-14T22:49:47</t>
  </si>
  <si>
    <t>SA0000000000000000000221</t>
  </si>
  <si>
    <t>2026-02-22T08:24:22</t>
  </si>
  <si>
    <t>2026-02-22T16:59:55</t>
  </si>
  <si>
    <t>SA0000000000000000000222</t>
  </si>
  <si>
    <t>2026-02-25T09:25:40</t>
  </si>
  <si>
    <t>2026-02-25T14:24:29</t>
  </si>
  <si>
    <t>SA0000000000000000000223</t>
  </si>
  <si>
    <t>2026-02-28T21:29:52</t>
  </si>
  <si>
    <t>2026-02-28T22:54:31</t>
  </si>
  <si>
    <t>SA0000000000000000000224</t>
  </si>
  <si>
    <t>📊  CREDIT SCORING CALCULATOR  —  CLT004 CCC Amal</t>
  </si>
  <si>
    <t>ACC-148</t>
  </si>
  <si>
    <t>2025-09-02T03:46:12</t>
  </si>
  <si>
    <t>2025-09-02T05:46:12</t>
  </si>
  <si>
    <t>Personal Loan (BNPL) Payment - tamara - BNPL</t>
  </si>
  <si>
    <t>tamara - BNPL</t>
  </si>
  <si>
    <t>SA0000000000000000000225</t>
  </si>
  <si>
    <t>Arab National Bank</t>
  </si>
  <si>
    <t>ARNBSARI</t>
  </si>
  <si>
    <t>Period: 2025-09 → 2026-02  |  6 months  |  53 transactions  |  Income = Salary (KSAOB.Deposit) per month</t>
  </si>
  <si>
    <t>2025-09-04T17:50:37</t>
  </si>
  <si>
    <t>2025-09-04T19:50:37</t>
  </si>
  <si>
    <t>SA0000000000000000000226</t>
  </si>
  <si>
    <t>2025-09-05T07:59:17</t>
  </si>
  <si>
    <t>2025-09-05T09:59:17</t>
  </si>
  <si>
    <t>SA0000000000000000000227</t>
  </si>
  <si>
    <t>2025-09-13T14:32:06</t>
  </si>
  <si>
    <t>2025-09-13T21:28:39</t>
  </si>
  <si>
    <t>SA0000000000000000000228</t>
  </si>
  <si>
    <t>2025-09-15T20:14:25</t>
  </si>
  <si>
    <t>2025-09-15T22:14:25</t>
  </si>
  <si>
    <t>SA0000000000000000000229</t>
  </si>
  <si>
    <t>2025-09-17T20:43:37</t>
  </si>
  <si>
    <t>2025-09-17T22:43:37</t>
  </si>
  <si>
    <t>SA0000000000000000000230</t>
  </si>
  <si>
    <t>2025-09-25T11:43:14</t>
  </si>
  <si>
    <t>2025-09-25T18:27:48</t>
  </si>
  <si>
    <t>SA0000000000000000000231</t>
  </si>
  <si>
    <t>2025-09-30T08:44:34</t>
  </si>
  <si>
    <t>2025-09-30T10:44:34</t>
  </si>
  <si>
    <t>Salary - Retail Chain (Hourly) / راتب</t>
  </si>
  <si>
    <t>Retail Chain (Hourly)</t>
  </si>
  <si>
    <t>SA0000000000000000000232</t>
  </si>
  <si>
    <t>2025-09-30T17:32:21</t>
  </si>
  <si>
    <t>2025-09-30T19:32:21</t>
  </si>
  <si>
    <t>SA0000000000000000000233</t>
  </si>
  <si>
    <t>2025-10-05T03:41:39</t>
  </si>
  <si>
    <t>2025-10-05T05:41:39</t>
  </si>
  <si>
    <t>SA0000000000000000000234</t>
  </si>
  <si>
    <t>2025-10-08T16:43:25</t>
  </si>
  <si>
    <t>2025-10-08T18:43:25</t>
  </si>
  <si>
    <t>SA0000000000000000000235</t>
  </si>
  <si>
    <t>2025-10-10T08:05:48</t>
  </si>
  <si>
    <t>2025-10-10T20:03:36</t>
  </si>
  <si>
    <t>SA0000000000000000000236</t>
  </si>
  <si>
    <t>2025-10-14T12:05:52</t>
  </si>
  <si>
    <t>2025-10-14T18:07:02</t>
  </si>
  <si>
    <t>SA0000000000000000000237</t>
  </si>
  <si>
    <t>2025-10-21T11:11:01</t>
  </si>
  <si>
    <t>2025-10-21T22:05:55</t>
  </si>
  <si>
    <t>SA0000000000000000000238</t>
  </si>
  <si>
    <t>2025-10-27T14:50:44</t>
  </si>
  <si>
    <t>2025-10-27T16:50:44</t>
  </si>
  <si>
    <t>SA0000000000000000000239</t>
  </si>
  <si>
    <t>2025-10-27T14:08:54</t>
  </si>
  <si>
    <t>2025-10-27T16:08:54</t>
  </si>
  <si>
    <t>SA0000000000000000000240</t>
  </si>
  <si>
    <t>2025-10-29T10:27:47</t>
  </si>
  <si>
    <t>2025-10-29T15:22:43</t>
  </si>
  <si>
    <t>SA0000000000000000000241</t>
  </si>
  <si>
    <t>2025-10-30T17:29:42</t>
  </si>
  <si>
    <t>2025-10-30T19:29:42</t>
  </si>
  <si>
    <t>SA0000000000000000000242</t>
  </si>
  <si>
    <t>2025-11-02T03:59:50</t>
  </si>
  <si>
    <t>2025-11-02T05:59:50</t>
  </si>
  <si>
    <t>SA0000000000000000000243</t>
  </si>
  <si>
    <t>2025-11-08T13:52:10</t>
  </si>
  <si>
    <t>2025-11-08T20:37:05</t>
  </si>
  <si>
    <t>SA0000000000000000000244</t>
  </si>
  <si>
    <t>2025-11-18T18:53:46</t>
  </si>
  <si>
    <t>2025-11-18T20:53:46</t>
  </si>
  <si>
    <t>SA0000000000000000000245</t>
  </si>
  <si>
    <t>2025-11-19T09:06:58</t>
  </si>
  <si>
    <t>2025-11-19T10:51:55</t>
  </si>
  <si>
    <t>SA0000000000000000000246</t>
  </si>
  <si>
    <t>2025-11-20T16:40:30</t>
  </si>
  <si>
    <t>2025-11-20T20:45:10</t>
  </si>
  <si>
    <t>SA0000000000000000000247</t>
  </si>
  <si>
    <t>2025-11-23T17:15:43</t>
  </si>
  <si>
    <t>2025-11-23T19:15:43</t>
  </si>
  <si>
    <t>SA0000000000000000000248</t>
  </si>
  <si>
    <t>2025-11-25T20:06:21</t>
  </si>
  <si>
    <t>2025-11-25T22:06:21</t>
  </si>
  <si>
    <t>SA0000000000000000000249</t>
  </si>
  <si>
    <t>2025-11-27T11:35:28</t>
  </si>
  <si>
    <t>2025-11-27T14:34:46</t>
  </si>
  <si>
    <t>SA0000000000000000000250</t>
  </si>
  <si>
    <t>2025-11-28T16:52:49</t>
  </si>
  <si>
    <t>2025-11-28T18:52:49</t>
  </si>
  <si>
    <t>SA0000000000000000000251</t>
  </si>
  <si>
    <t>MEDIAN(T9:T14)
Median of all monthly salary rows. Used only to set spike threshold below.</t>
  </si>
  <si>
    <t>2025-12-01T03:30:39</t>
  </si>
  <si>
    <t>2025-12-01T03:34:14</t>
  </si>
  <si>
    <t>SA0000000000000000000252</t>
  </si>
  <si>
    <t>2025-12-05T09:10:57</t>
  </si>
  <si>
    <t>2025-12-05T15:53:03</t>
  </si>
  <si>
    <t>SA0000000000000000000253</t>
  </si>
  <si>
    <t>MEDIAN(MIN(T12,T29), MIN(T13,T29), MIN(T14,T29))
Takes salary from rows 12 (2025-12), 13 (2026-01), 14 (2026-02).
Each capped at spike threshold before MEDIAN → spike months don't inflate score.</t>
  </si>
  <si>
    <t>2025-12-14T14:53:15</t>
  </si>
  <si>
    <t>2025-12-14T20:11:56</t>
  </si>
  <si>
    <t>SA0000000000000000000254</t>
  </si>
  <si>
    <t>2025-12-21T18:11:45</t>
  </si>
  <si>
    <t>2025-12-21T21:24:10</t>
  </si>
  <si>
    <t>SA0000000000000000000255</t>
  </si>
  <si>
    <t>2025-12-22T22:32:16</t>
  </si>
  <si>
    <t>2025-12-23T00:32:16</t>
  </si>
  <si>
    <t>SA0000000000000000000256</t>
  </si>
  <si>
    <t>2025-12-23T22:11:29</t>
  </si>
  <si>
    <t>2025-12-24T00:11:29</t>
  </si>
  <si>
    <t>SA0000000000000000000257</t>
  </si>
  <si>
    <t>2025-12-27T17:25:57</t>
  </si>
  <si>
    <t>2025-12-27T19:25:57</t>
  </si>
  <si>
    <t>SA0000000000000000000258</t>
  </si>
  <si>
    <t>2025-12-30T13:52:00</t>
  </si>
  <si>
    <t>2025-12-30T14:09:20</t>
  </si>
  <si>
    <t>SA0000000000000000000259</t>
  </si>
  <si>
    <t>2026-01-03T14:26:41</t>
  </si>
  <si>
    <t>2026-01-03T20:03:42</t>
  </si>
  <si>
    <t>SA0000000000000000000260</t>
  </si>
  <si>
    <t>2026-01-05T03:01:24</t>
  </si>
  <si>
    <t>2026-01-05T03:06:06</t>
  </si>
  <si>
    <t>SA0000000000000000000261</t>
  </si>
  <si>
    <t>2026-01-05T10:10:23</t>
  </si>
  <si>
    <t>2026-01-05T19:42:18</t>
  </si>
  <si>
    <t>SA0000000000000000000262</t>
  </si>
  <si>
    <t>2026-01-14T15:01:27</t>
  </si>
  <si>
    <t>2026-01-14T17:01:27</t>
  </si>
  <si>
    <t>SA0000000000000000000263</t>
  </si>
  <si>
    <t>2026-01-24T17:42:30</t>
  </si>
  <si>
    <t>2026-01-24T20:13:57</t>
  </si>
  <si>
    <t>SA0000000000000000000264</t>
  </si>
  <si>
    <t>2026-01-26T08:28:00</t>
  </si>
  <si>
    <t>2026-01-26T08:35:16</t>
  </si>
  <si>
    <t>SA0000000000000000000265</t>
  </si>
  <si>
    <t>2026-01-29T18:37:18</t>
  </si>
  <si>
    <t>2026-01-29T20:37:18</t>
  </si>
  <si>
    <t>SA0000000000000000000266</t>
  </si>
  <si>
    <t>2026-01-31T13:39:11</t>
  </si>
  <si>
    <t>2026-01-31T15:39:11</t>
  </si>
  <si>
    <t>SA0000000000000000000267</t>
  </si>
  <si>
    <t>2026-02-04T03:40:00</t>
  </si>
  <si>
    <t>2026-02-04T05:40:00</t>
  </si>
  <si>
    <t>SA0000000000000000000268</t>
  </si>
  <si>
    <t>2026-02-07T16:10:49</t>
  </si>
  <si>
    <t>2026-02-07T16:51:04</t>
  </si>
  <si>
    <t>SA0000000000000000000269</t>
  </si>
  <si>
    <t>2026-02-08T10:38:55</t>
  </si>
  <si>
    <t>2026-02-08T16:51:19</t>
  </si>
  <si>
    <t>SA0000000000000000000270</t>
  </si>
  <si>
    <t>2026-02-10T22:47:15</t>
  </si>
  <si>
    <t>2026-02-11T00:47:15</t>
  </si>
  <si>
    <t>SA0000000000000000000271</t>
  </si>
  <si>
    <t>2026-02-16T16:08:59</t>
  </si>
  <si>
    <t>2026-02-16T18:08:59</t>
  </si>
  <si>
    <t>SA0000000000000000000272</t>
  </si>
  <si>
    <t>2026-02-19T12:56:00</t>
  </si>
  <si>
    <t>2026-02-19T22:07:22</t>
  </si>
  <si>
    <t>SA0000000000000000000273</t>
  </si>
  <si>
    <t>2026-02-25T20:17:36</t>
  </si>
  <si>
    <t>2026-02-25T22:17:36</t>
  </si>
  <si>
    <t>SA0000000000000000000274</t>
  </si>
  <si>
    <t>2026-02-27T12:44:01</t>
  </si>
  <si>
    <t>2026-02-27T14:44:01</t>
  </si>
  <si>
    <t>SA0000000000000000000275</t>
  </si>
  <si>
    <t>2026-02-27T16:05:09</t>
  </si>
  <si>
    <t>2026-02-27T21:01:26</t>
  </si>
  <si>
    <t>SA0000000000000000000276</t>
  </si>
  <si>
    <t>2026-02-28T22:11:32</t>
  </si>
  <si>
    <t>2026-03-01T00:11:32</t>
  </si>
  <si>
    <t>SA0000000000000000000277</t>
  </si>
  <si>
    <t>Months with salary received ÷ 6 total months.
Per month: checks creditDebitIndicator=KSAOB.Credit AND subTransactionType=KSAOB.Deposit.
Change subTransactionType on salary rows → regularity updates.</t>
  </si>
  <si>
    <t>📊  CREDIT SCORING CALCULATOR  —  CLT005 AAA Faisal</t>
  </si>
  <si>
    <t>ACC-149</t>
  </si>
  <si>
    <t>2024-12-02T09:25:12</t>
  </si>
  <si>
    <t>2024-12-02T14:01:54</t>
  </si>
  <si>
    <t>SA0000000000000000000278</t>
  </si>
  <si>
    <t>SABB</t>
  </si>
  <si>
    <t>SABBSARI</t>
  </si>
  <si>
    <t>Period: 2024-12 → 2026-02  |  15 months  |  295 transactions  |  Income = Salary (KSAOB.Deposit) per month</t>
  </si>
  <si>
    <t>2024-12-03T03:33:06</t>
  </si>
  <si>
    <t>2024-12-03T05:33:06</t>
  </si>
  <si>
    <t>Mortgage Payment - SABB Home Finance</t>
  </si>
  <si>
    <t>SABB Home Finance</t>
  </si>
  <si>
    <t>SA0000000000000000000279</t>
  </si>
  <si>
    <t>2024-12-03T22:16:06</t>
  </si>
  <si>
    <t>2024-12-04T00:16:06</t>
  </si>
  <si>
    <t>SA0000000000000000000280</t>
  </si>
  <si>
    <t>2024-12-05T21:46:47</t>
  </si>
  <si>
    <t>2024-12-05T23:46:47</t>
  </si>
  <si>
    <t>SA0000000000000000000281</t>
  </si>
  <si>
    <t>2024-12-06T21:56:15</t>
  </si>
  <si>
    <t>2024-12-06T23:56:15</t>
  </si>
  <si>
    <t>SA0000000000000000000282</t>
  </si>
  <si>
    <t>2024-12-07T10:05:13</t>
  </si>
  <si>
    <t>2024-12-07T18:48:55</t>
  </si>
  <si>
    <t>SA0000000000000000000283</t>
  </si>
  <si>
    <t>2024-12-09T20:17:56</t>
  </si>
  <si>
    <t>2024-12-09T22:08:21</t>
  </si>
  <si>
    <t>SA0000000000000000000284</t>
  </si>
  <si>
    <t>2024-12-10T21:54:35</t>
  </si>
  <si>
    <t>2024-12-10T23:54:35</t>
  </si>
  <si>
    <t>SA0000000000000000000285</t>
  </si>
  <si>
    <t>2024-12-11T08:11:55</t>
  </si>
  <si>
    <t>2024-12-11T19:57:00</t>
  </si>
  <si>
    <t>SA0000000000000000000286</t>
  </si>
  <si>
    <t>2024-12-12T20:51:09</t>
  </si>
  <si>
    <t>2024-12-12T21:27:44</t>
  </si>
  <si>
    <t>SA0000000000000000000287</t>
  </si>
  <si>
    <t>2024-12-13T19:56:53</t>
  </si>
  <si>
    <t>2024-12-13T21:56:53</t>
  </si>
  <si>
    <t>SA0000000000000000000288</t>
  </si>
  <si>
    <t>2024-12-14T09:43:46</t>
  </si>
  <si>
    <t>2024-12-14T20:59:36</t>
  </si>
  <si>
    <t>SA0000000000000000000289</t>
  </si>
  <si>
    <t>2024-12-15T20:40:31</t>
  </si>
  <si>
    <t>2024-12-15T22:40:31</t>
  </si>
  <si>
    <t>SA0000000000000000000290</t>
  </si>
  <si>
    <t>2024-12-19T20:48:05</t>
  </si>
  <si>
    <t>2024-12-19T22:48:05</t>
  </si>
  <si>
    <t>SA0000000000000000000291</t>
  </si>
  <si>
    <t>2024-12-21T15:29:36</t>
  </si>
  <si>
    <t>2024-12-21T17:22:16</t>
  </si>
  <si>
    <t>SA0000000000000000000292</t>
  </si>
  <si>
    <t>2024-12-22T15:35:45</t>
  </si>
  <si>
    <t>2024-12-22T17:35:45</t>
  </si>
  <si>
    <t>SA0000000000000000000293</t>
  </si>
  <si>
    <t>2024-12-23T11:22:41</t>
  </si>
  <si>
    <t>2024-12-23T13:22:41</t>
  </si>
  <si>
    <t>SA0000000000000000000294</t>
  </si>
  <si>
    <t>2024-12-25T13:55:58</t>
  </si>
  <si>
    <t>2024-12-25T15:13:48</t>
  </si>
  <si>
    <t>SA0000000000000000000295</t>
  </si>
  <si>
    <t>2024-12-26T13:49:44</t>
  </si>
  <si>
    <t>2024-12-26T18:04:46</t>
  </si>
  <si>
    <t>SA0000000000000000000296</t>
  </si>
  <si>
    <t>2024-12-27T10:13:01</t>
  </si>
  <si>
    <t>2024-12-27T16:36:39</t>
  </si>
  <si>
    <t>SA0000000000000000000297</t>
  </si>
  <si>
    <t>2024-12-29T22:41:25</t>
  </si>
  <si>
    <t>2024-12-30T00:41:25</t>
  </si>
  <si>
    <t>SA0000000000000000000298</t>
  </si>
  <si>
    <t>2024-12-30T14:31:20</t>
  </si>
  <si>
    <t>2024-12-30T16:31:20</t>
  </si>
  <si>
    <t>Salary - SABIC / راتب</t>
  </si>
  <si>
    <t>SABIC</t>
  </si>
  <si>
    <t>SA0000000000000000000299</t>
  </si>
  <si>
    <t>2024-12-30T07:21:02</t>
  </si>
  <si>
    <t>2024-12-30T10:44:46</t>
  </si>
  <si>
    <t>SA0000000000000000000300</t>
  </si>
  <si>
    <t>2024-12-31T07:48:47</t>
  </si>
  <si>
    <t>2024-12-31T16:29:21</t>
  </si>
  <si>
    <t>SA0000000000000000000301</t>
  </si>
  <si>
    <t>2025-01-04T03:55:09</t>
  </si>
  <si>
    <t>2025-01-04T05:55:09</t>
  </si>
  <si>
    <t>SA0000000000000000000302</t>
  </si>
  <si>
    <t>2025-01-05T20:28:10</t>
  </si>
  <si>
    <t>2025-01-05T22:28:10</t>
  </si>
  <si>
    <t>SA0000000000000000000303</t>
  </si>
  <si>
    <t>2025-01-06T10:41:50</t>
  </si>
  <si>
    <t>2025-01-06T12:41:50</t>
  </si>
  <si>
    <t>SA0000000000000000000304</t>
  </si>
  <si>
    <t>MEDIAN(T9:T23)
Median of all monthly salary rows. Used only to set spike threshold below.</t>
  </si>
  <si>
    <t>2025-01-08T22:21:23</t>
  </si>
  <si>
    <t>2025-01-08T22:37:55</t>
  </si>
  <si>
    <t>SA0000000000000000000305</t>
  </si>
  <si>
    <t>2025-01-10T08:41:27</t>
  </si>
  <si>
    <t>2025-01-10T16:08:47</t>
  </si>
  <si>
    <t>SA0000000000000000000306</t>
  </si>
  <si>
    <t>MEDIAN(MIN(T21,T29), MIN(T22,T29), MIN(T23,T29))
Takes salary from rows 21 (2025-12), 22 (2026-01), 23 (2026-02).
Each capped at spike threshold before MEDIAN → spike months don't inflate score.</t>
  </si>
  <si>
    <t>2025-01-11T12:51:24</t>
  </si>
  <si>
    <t>2025-01-11T14:51:24</t>
  </si>
  <si>
    <t>SA0000000000000000000307</t>
  </si>
  <si>
    <t>2025-01-13T22:12:29</t>
  </si>
  <si>
    <t>2025-01-14T00:12:29</t>
  </si>
  <si>
    <t>SA0000000000000000000308</t>
  </si>
  <si>
    <t>2025-01-15T08:46:02</t>
  </si>
  <si>
    <t>2025-01-15T15:22:13</t>
  </si>
  <si>
    <t>SA0000000000000000000309</t>
  </si>
  <si>
    <t>2025-01-16T16:37:10</t>
  </si>
  <si>
    <t>2025-01-16T18:37:10</t>
  </si>
  <si>
    <t>SA0000000000000000000310</t>
  </si>
  <si>
    <t>2025-01-17T16:48:24</t>
  </si>
  <si>
    <t>2025-01-17T21:40:45</t>
  </si>
  <si>
    <t>SA0000000000000000000311</t>
  </si>
  <si>
    <t>2025-01-19T08:35:03</t>
  </si>
  <si>
    <t>2025-01-19T21:07:29</t>
  </si>
  <si>
    <t>SA0000000000000000000312</t>
  </si>
  <si>
    <t>2025-01-20T12:27:44</t>
  </si>
  <si>
    <t>2025-01-20T14:27:44</t>
  </si>
  <si>
    <t>SA0000000000000000000313</t>
  </si>
  <si>
    <t>2025-01-21T21:42:02</t>
  </si>
  <si>
    <t>2025-01-21T23:42:02</t>
  </si>
  <si>
    <t>SA0000000000000000000314</t>
  </si>
  <si>
    <t>2025-01-22T09:21:40</t>
  </si>
  <si>
    <t>2025-01-22T18:40:24</t>
  </si>
  <si>
    <t>SA0000000000000000000315</t>
  </si>
  <si>
    <t>2025-01-23T22:49:56</t>
  </si>
  <si>
    <t>2025-01-24T00:49:56</t>
  </si>
  <si>
    <t>SA0000000000000000000316</t>
  </si>
  <si>
    <t>2025-01-25T13:04:07</t>
  </si>
  <si>
    <t>2025-01-25T18:17:49</t>
  </si>
  <si>
    <t>SA0000000000000000000317</t>
  </si>
  <si>
    <t>2025-01-27T20:33:25</t>
  </si>
  <si>
    <t>2025-01-27T20:59:23</t>
  </si>
  <si>
    <t>SA0000000000000000000318</t>
  </si>
  <si>
    <t>2025-01-30T09:26:33</t>
  </si>
  <si>
    <t>2025-01-30T10:52:59</t>
  </si>
  <si>
    <t>SA0000000000000000000319</t>
  </si>
  <si>
    <t>2025-02-01T03:28:17</t>
  </si>
  <si>
    <t>2025-02-01T03:57:11</t>
  </si>
  <si>
    <t>SA0000000000000000000320</t>
  </si>
  <si>
    <t>2025-02-03T12:48:49</t>
  </si>
  <si>
    <t>2025-02-03T15:39:18</t>
  </si>
  <si>
    <t>SA0000000000000000000321</t>
  </si>
  <si>
    <t>2025-02-04T10:42:56</t>
  </si>
  <si>
    <t>2025-02-04T16:36:10</t>
  </si>
  <si>
    <t>SA0000000000000000000322</t>
  </si>
  <si>
    <t>2025-02-05T16:46:09</t>
  </si>
  <si>
    <t>2025-02-05T18:46:09</t>
  </si>
  <si>
    <t>SA0000000000000000000323</t>
  </si>
  <si>
    <t>2025-02-06T15:33:53</t>
  </si>
  <si>
    <t>2025-02-06T16:45:46</t>
  </si>
  <si>
    <t>SA0000000000000000000324</t>
  </si>
  <si>
    <t>2025-02-10T21:54:54</t>
  </si>
  <si>
    <t>2025-02-10T21:59:03</t>
  </si>
  <si>
    <t>SA0000000000000000000325</t>
  </si>
  <si>
    <t>2025-02-11T17:21:47</t>
  </si>
  <si>
    <t>2025-02-11T19:21:47</t>
  </si>
  <si>
    <t>SA0000000000000000000326</t>
  </si>
  <si>
    <t>2025-02-12T07:41:30</t>
  </si>
  <si>
    <t>2025-02-12T14:30:25</t>
  </si>
  <si>
    <t>SA0000000000000000000327</t>
  </si>
  <si>
    <t>2025-02-13T21:22:48</t>
  </si>
  <si>
    <t>2025-02-13T23:22:48</t>
  </si>
  <si>
    <t>SA0000000000000000000328</t>
  </si>
  <si>
    <t>2025-02-15T07:52:46</t>
  </si>
  <si>
    <t>2025-02-15T12:55:28</t>
  </si>
  <si>
    <t>SA0000000000000000000329</t>
  </si>
  <si>
    <t>2025-02-18T10:40:02</t>
  </si>
  <si>
    <t>2025-02-18T14:49:52</t>
  </si>
  <si>
    <t>SA0000000000000000000330</t>
  </si>
  <si>
    <t>2025-02-19T17:24:09</t>
  </si>
  <si>
    <t>2025-02-19T17:30:22</t>
  </si>
  <si>
    <t>SA0000000000000000000331</t>
  </si>
  <si>
    <t>2025-02-20T07:54:14</t>
  </si>
  <si>
    <t>2025-02-20T17:44:44</t>
  </si>
  <si>
    <t>SA0000000000000000000332</t>
  </si>
  <si>
    <t>2025-02-23T14:50:13</t>
  </si>
  <si>
    <t>2025-02-23T21:03:42</t>
  </si>
  <si>
    <t>SA0000000000000000000333</t>
  </si>
  <si>
    <t>2025-02-24T20:49:56</t>
  </si>
  <si>
    <t>2025-02-24T22:49:56</t>
  </si>
  <si>
    <t>SA0000000000000000000334</t>
  </si>
  <si>
    <t>2025-02-25T09:41:43</t>
  </si>
  <si>
    <t>2025-02-25T10:06:44</t>
  </si>
  <si>
    <t>SA0000000000000000000335</t>
  </si>
  <si>
    <t>2025-02-25T19:01:15</t>
  </si>
  <si>
    <t>2025-02-25T20:59:27</t>
  </si>
  <si>
    <t>SA0000000000000000000336</t>
  </si>
  <si>
    <t>2025-02-26T08:09:01</t>
  </si>
  <si>
    <t>2025-02-26T16:01:16</t>
  </si>
  <si>
    <t>SA0000000000000000000337</t>
  </si>
  <si>
    <t>2025-02-28T15:27:22</t>
  </si>
  <si>
    <t>2025-02-28T16:33:16</t>
  </si>
  <si>
    <t>SA0000000000000000000338</t>
  </si>
  <si>
    <t>2025-03-02T03:52:57</t>
  </si>
  <si>
    <t>2025-03-02T05:52:57</t>
  </si>
  <si>
    <t>SA0000000000000000000339</t>
  </si>
  <si>
    <t>Months with salary received ÷ 15 total months.
Per month: checks creditDebitIndicator=KSAOB.Credit AND subTransactionType=KSAOB.Deposit.
Change subTransactionType on salary rows → regularity updates.</t>
  </si>
  <si>
    <t>2025-03-02T07:02:14</t>
  </si>
  <si>
    <t>2025-03-02T08:12:05</t>
  </si>
  <si>
    <t>SA0000000000000000000340</t>
  </si>
  <si>
    <t>2025-03-03T12:31:37</t>
  </si>
  <si>
    <t>2025-03-03T14:31:37</t>
  </si>
  <si>
    <t>SA0000000000000000000341</t>
  </si>
  <si>
    <t>2025-03-04T08:36:45</t>
  </si>
  <si>
    <t>2025-03-04T21:04:57</t>
  </si>
  <si>
    <t>SA0000000000000000000342</t>
  </si>
  <si>
    <t>2025-03-09T07:28:01</t>
  </si>
  <si>
    <t>2025-03-09T18:41:46</t>
  </si>
  <si>
    <t>SA0000000000000000000343</t>
  </si>
  <si>
    <t>2025-03-12T18:44:08</t>
  </si>
  <si>
    <t>2025-03-12T20:44:08</t>
  </si>
  <si>
    <t>SA0000000000000000000344</t>
  </si>
  <si>
    <t>2025-03-14T16:27:46</t>
  </si>
  <si>
    <t>2025-03-14T18:27:46</t>
  </si>
  <si>
    <t>SA0000000000000000000345</t>
  </si>
  <si>
    <t>2025-03-15T10:25:59</t>
  </si>
  <si>
    <t>2025-03-15T15:46:14</t>
  </si>
  <si>
    <t>SA0000000000000000000346</t>
  </si>
  <si>
    <t>2025-03-18T20:58:04</t>
  </si>
  <si>
    <t>2025-03-18T22:58:04</t>
  </si>
  <si>
    <t>SA0000000000000000000347</t>
  </si>
  <si>
    <t>2025-03-19T20:51:02</t>
  </si>
  <si>
    <t>2025-03-19T21:05:09</t>
  </si>
  <si>
    <t>SA0000000000000000000348</t>
  </si>
  <si>
    <t>2025-03-20T07:33:31</t>
  </si>
  <si>
    <t>2025-03-20T07:53:44</t>
  </si>
  <si>
    <t>SA0000000000000000000349</t>
  </si>
  <si>
    <t>2025-03-21T10:38:39</t>
  </si>
  <si>
    <t>2025-03-21T22:32:42</t>
  </si>
  <si>
    <t>SA0000000000000000000350</t>
  </si>
  <si>
    <t>2025-03-23T08:58:55</t>
  </si>
  <si>
    <t>2025-03-23T12:18:33</t>
  </si>
  <si>
    <t>SA0000000000000000000351</t>
  </si>
  <si>
    <t>2025-03-25T11:20:01</t>
  </si>
  <si>
    <t>2025-03-25T11:31:01</t>
  </si>
  <si>
    <t>SA0000000000000000000352</t>
  </si>
  <si>
    <t>2025-03-26T22:06:23</t>
  </si>
  <si>
    <t>2025-03-27T00:06:23</t>
  </si>
  <si>
    <t>SA0000000000000000000353</t>
  </si>
  <si>
    <t>2025-03-27T19:49:11</t>
  </si>
  <si>
    <t>2025-03-27T21:49:11</t>
  </si>
  <si>
    <t>SA0000000000000000000354</t>
  </si>
  <si>
    <t>2025-03-29T12:26:09</t>
  </si>
  <si>
    <t>2025-03-29T22:14:40</t>
  </si>
  <si>
    <t>SA0000000000000000000355</t>
  </si>
  <si>
    <t>2025-03-30T09:40:57</t>
  </si>
  <si>
    <t>2025-03-30T20:09:37</t>
  </si>
  <si>
    <t>SA0000000000000000000356</t>
  </si>
  <si>
    <t>2025-03-31T14:25:51</t>
  </si>
  <si>
    <t>2025-03-31T16:25:51</t>
  </si>
  <si>
    <t>SA0000000000000000000357</t>
  </si>
  <si>
    <t>2025-03-31T10:02:47</t>
  </si>
  <si>
    <t>2025-03-31T21:03:40</t>
  </si>
  <si>
    <t>SA0000000000000000000358</t>
  </si>
  <si>
    <t>2025-04-02T03:49:20</t>
  </si>
  <si>
    <t>2025-04-02T05:49:20</t>
  </si>
  <si>
    <t>SA0000000000000000000359</t>
  </si>
  <si>
    <t>2025-04-02T09:13:42</t>
  </si>
  <si>
    <t>2025-04-02T21:02:11</t>
  </si>
  <si>
    <t>SA0000000000000000000360</t>
  </si>
  <si>
    <t>2025-04-03T12:51:37</t>
  </si>
  <si>
    <t>2025-04-03T20:41:42</t>
  </si>
  <si>
    <t>SA0000000000000000000361</t>
  </si>
  <si>
    <t>2025-04-04T10:54:31</t>
  </si>
  <si>
    <t>2025-04-04T18:02:29</t>
  </si>
  <si>
    <t>SA0000000000000000000362</t>
  </si>
  <si>
    <t>2025-04-08T19:17:51</t>
  </si>
  <si>
    <t>2025-04-08T21:17:51</t>
  </si>
  <si>
    <t>SA0000000000000000000363</t>
  </si>
  <si>
    <t>2025-04-09T14:28:39</t>
  </si>
  <si>
    <t>2025-04-09T14:38:41</t>
  </si>
  <si>
    <t>SA0000000000000000000364</t>
  </si>
  <si>
    <t>2025-04-10T18:19:30</t>
  </si>
  <si>
    <t>2025-04-10T20:19:30</t>
  </si>
  <si>
    <t>SA0000000000000000000365</t>
  </si>
  <si>
    <t>2025-04-11T19:39:19</t>
  </si>
  <si>
    <t>2025-04-11T21:39:19</t>
  </si>
  <si>
    <t>SA0000000000000000000366</t>
  </si>
  <si>
    <t>2025-04-15T18:53:54</t>
  </si>
  <si>
    <t>2025-04-15T19:31:40</t>
  </si>
  <si>
    <t>SA0000000000000000000367</t>
  </si>
  <si>
    <t>2025-04-16T09:32:05</t>
  </si>
  <si>
    <t>2025-04-16T16:38:45</t>
  </si>
  <si>
    <t>SA0000000000000000000368</t>
  </si>
  <si>
    <t>2025-04-18T21:34:41</t>
  </si>
  <si>
    <t>2025-04-18T23:34:41</t>
  </si>
  <si>
    <t>SA0000000000000000000369</t>
  </si>
  <si>
    <t>2025-04-19T08:20:26</t>
  </si>
  <si>
    <t>2025-04-19T19:48:20</t>
  </si>
  <si>
    <t>SA0000000000000000000370</t>
  </si>
  <si>
    <t>2025-04-23T17:59:22</t>
  </si>
  <si>
    <t>2025-04-23T20:55:19</t>
  </si>
  <si>
    <t>SA0000000000000000000371</t>
  </si>
  <si>
    <t>2025-04-26T08:54:55</t>
  </si>
  <si>
    <t>2025-04-26T17:12:00</t>
  </si>
  <si>
    <t>SA0000000000000000000372</t>
  </si>
  <si>
    <t>2025-04-27T18:20:30</t>
  </si>
  <si>
    <t>2025-04-27T20:20:30</t>
  </si>
  <si>
    <t>SA0000000000000000000373</t>
  </si>
  <si>
    <t>2025-04-28T19:32:45</t>
  </si>
  <si>
    <t>2025-04-28T21:32:45</t>
  </si>
  <si>
    <t>SA0000000000000000000374</t>
  </si>
  <si>
    <t>2025-04-29T12:19:54</t>
  </si>
  <si>
    <t>2025-04-29T14:06:13</t>
  </si>
  <si>
    <t>SA0000000000000000000375</t>
  </si>
  <si>
    <t>2025-04-29T16:00:30</t>
  </si>
  <si>
    <t>2025-04-29T16:05:40</t>
  </si>
  <si>
    <t>SA0000000000000000000376</t>
  </si>
  <si>
    <t>2025-04-30T13:33:47</t>
  </si>
  <si>
    <t>2025-04-30T15:33:47</t>
  </si>
  <si>
    <t>SA0000000000000000000377</t>
  </si>
  <si>
    <t>2025-05-03T19:52:15</t>
  </si>
  <si>
    <t>2025-05-03T21:52:15</t>
  </si>
  <si>
    <t>SA0000000000000000000378</t>
  </si>
  <si>
    <t>2025-05-04T03:08:24</t>
  </si>
  <si>
    <t>2025-05-04T03:34:44</t>
  </si>
  <si>
    <t>SA0000000000000000000379</t>
  </si>
  <si>
    <t>2025-05-04T17:01:18</t>
  </si>
  <si>
    <t>2025-05-04T18:25:33</t>
  </si>
  <si>
    <t>SA0000000000000000000380</t>
  </si>
  <si>
    <t>2025-05-05T10:41:06</t>
  </si>
  <si>
    <t>2025-05-05T21:03:47</t>
  </si>
  <si>
    <t>SA0000000000000000000381</t>
  </si>
  <si>
    <t>2025-05-06T14:14:51</t>
  </si>
  <si>
    <t>2025-05-06T16:05:25</t>
  </si>
  <si>
    <t>SA0000000000000000000382</t>
  </si>
  <si>
    <t>2025-05-07T20:33:41</t>
  </si>
  <si>
    <t>2025-05-07T22:33:41</t>
  </si>
  <si>
    <t>SA0000000000000000000383</t>
  </si>
  <si>
    <t>2025-05-09T15:02:53</t>
  </si>
  <si>
    <t>2025-05-09T17:02:53</t>
  </si>
  <si>
    <t>SA0000000000000000000384</t>
  </si>
  <si>
    <t>2025-05-10T10:43:28</t>
  </si>
  <si>
    <t>2025-05-10T16:17:31</t>
  </si>
  <si>
    <t>SA0000000000000000000385</t>
  </si>
  <si>
    <t>2025-05-12T22:56:15</t>
  </si>
  <si>
    <t>2025-05-13T00:56:15</t>
  </si>
  <si>
    <t>SA0000000000000000000386</t>
  </si>
  <si>
    <t>2025-05-13T18:45:22</t>
  </si>
  <si>
    <t>2025-05-13T19:52:09</t>
  </si>
  <si>
    <t>SA0000000000000000000387</t>
  </si>
  <si>
    <t>2025-05-15T21:21:26</t>
  </si>
  <si>
    <t>2025-05-15T23:21:26</t>
  </si>
  <si>
    <t>SA0000000000000000000388</t>
  </si>
  <si>
    <t>2025-05-16T15:39:05</t>
  </si>
  <si>
    <t>2025-05-16T17:01:23</t>
  </si>
  <si>
    <t>SA0000000000000000000389</t>
  </si>
  <si>
    <t>2025-05-18T21:22:33</t>
  </si>
  <si>
    <t>2025-05-18T21:52:21</t>
  </si>
  <si>
    <t>SA0000000000000000000390</t>
  </si>
  <si>
    <t>2025-05-20T16:07:14</t>
  </si>
  <si>
    <t>2025-05-20T18:07:14</t>
  </si>
  <si>
    <t>SA0000000000000000000391</t>
  </si>
  <si>
    <t>2025-05-23T12:37:54</t>
  </si>
  <si>
    <t>2025-05-23T17:06:26</t>
  </si>
  <si>
    <t>SA0000000000000000000392</t>
  </si>
  <si>
    <t>2025-05-25T09:57:48</t>
  </si>
  <si>
    <t>2025-05-25T20:36:47</t>
  </si>
  <si>
    <t>SA0000000000000000000393</t>
  </si>
  <si>
    <t>2025-05-29T14:12:17</t>
  </si>
  <si>
    <t>2025-05-29T16:12:17</t>
  </si>
  <si>
    <t>SA0000000000000000000394</t>
  </si>
  <si>
    <t>2025-05-29T11:21:05</t>
  </si>
  <si>
    <t>2025-05-29T13:21:05</t>
  </si>
  <si>
    <t>SA0000000000000000000395</t>
  </si>
  <si>
    <t>2025-05-31T07:22:20</t>
  </si>
  <si>
    <t>2025-05-31T22:23:13</t>
  </si>
  <si>
    <t>SA0000000000000000000396</t>
  </si>
  <si>
    <t>2025-06-03T13:30:04</t>
  </si>
  <si>
    <t>2025-06-03T18:09:56</t>
  </si>
  <si>
    <t>SA0000000000000000000397</t>
  </si>
  <si>
    <t>2025-06-04T19:45:03</t>
  </si>
  <si>
    <t>2025-06-04T21:45:03</t>
  </si>
  <si>
    <t>SA0000000000000000000398</t>
  </si>
  <si>
    <t>2025-06-05T03:46:27</t>
  </si>
  <si>
    <t>2025-06-05T05:46:27</t>
  </si>
  <si>
    <t>SA0000000000000000000399</t>
  </si>
  <si>
    <t>2025-06-06T18:00:44</t>
  </si>
  <si>
    <t>2025-06-06T20:00:44</t>
  </si>
  <si>
    <t>SA0000000000000000000400</t>
  </si>
  <si>
    <t>2025-06-09T14:16:42</t>
  </si>
  <si>
    <t>2025-06-09T22:18:12</t>
  </si>
  <si>
    <t>SA0000000000000000000401</t>
  </si>
  <si>
    <t>2025-06-10T19:44:33</t>
  </si>
  <si>
    <t>2025-06-10T21:44:33</t>
  </si>
  <si>
    <t>SA0000000000000000000402</t>
  </si>
  <si>
    <t>2025-06-12T15:20:37</t>
  </si>
  <si>
    <t>2025-06-12T17:20:37</t>
  </si>
  <si>
    <t>SA0000000000000000000403</t>
  </si>
  <si>
    <t>2025-06-13T14:22:54</t>
  </si>
  <si>
    <t>2025-06-13T16:22:54</t>
  </si>
  <si>
    <t>SA0000000000000000000404</t>
  </si>
  <si>
    <t>2025-06-16T08:32:45</t>
  </si>
  <si>
    <t>2025-06-16T14:58:15</t>
  </si>
  <si>
    <t>SA0000000000000000000405</t>
  </si>
  <si>
    <t>2025-06-19T22:11:20</t>
  </si>
  <si>
    <t>2025-06-20T00:11:20</t>
  </si>
  <si>
    <t>SA0000000000000000000406</t>
  </si>
  <si>
    <t>2025-06-20T08:02:55</t>
  </si>
  <si>
    <t>2025-06-20T18:45:23</t>
  </si>
  <si>
    <t>SA0000000000000000000407</t>
  </si>
  <si>
    <t>2025-06-21T13:44:04</t>
  </si>
  <si>
    <t>2025-06-21T16:58:36</t>
  </si>
  <si>
    <t>SA0000000000000000000408</t>
  </si>
  <si>
    <t>2025-06-22T11:51:22</t>
  </si>
  <si>
    <t>2025-06-22T15:40:12</t>
  </si>
  <si>
    <t>SA0000000000000000000409</t>
  </si>
  <si>
    <t>2025-06-23T10:43:08</t>
  </si>
  <si>
    <t>2025-06-23T19:41:53</t>
  </si>
  <si>
    <t>SA0000000000000000000410</t>
  </si>
  <si>
    <t>2025-06-24T17:37:09</t>
  </si>
  <si>
    <t>2025-06-24T19:37:09</t>
  </si>
  <si>
    <t>SA0000000000000000000411</t>
  </si>
  <si>
    <t>2025-06-25T13:10:35</t>
  </si>
  <si>
    <t>2025-06-25T20:43:54</t>
  </si>
  <si>
    <t>SA0000000000000000000412</t>
  </si>
  <si>
    <t>2025-06-26T10:44:17</t>
  </si>
  <si>
    <t>2025-06-26T14:50:43</t>
  </si>
  <si>
    <t>SA0000000000000000000413</t>
  </si>
  <si>
    <t>2025-06-26T19:15:57</t>
  </si>
  <si>
    <t>2025-06-26T21:15:57</t>
  </si>
  <si>
    <t>SA0000000000000000000414</t>
  </si>
  <si>
    <t>2025-06-28T19:47:00</t>
  </si>
  <si>
    <t>2025-06-28T20:02:05</t>
  </si>
  <si>
    <t>SA0000000000000000000415</t>
  </si>
  <si>
    <t>2025-06-29T15:51:23</t>
  </si>
  <si>
    <t>2025-06-29T19:28:43</t>
  </si>
  <si>
    <t>SA0000000000000000000416</t>
  </si>
  <si>
    <t>2025-06-30T16:29:46</t>
  </si>
  <si>
    <t>2025-06-30T18:10:47</t>
  </si>
  <si>
    <t>SA0000000000000000000417</t>
  </si>
  <si>
    <t>2025-07-02T03:07:53</t>
  </si>
  <si>
    <t>2025-07-02T03:19:47</t>
  </si>
  <si>
    <t>SA0000000000000000000418</t>
  </si>
  <si>
    <t>2025-07-03T17:58:32</t>
  </si>
  <si>
    <t>2025-07-03T19:58:32</t>
  </si>
  <si>
    <t>SA0000000000000000000419</t>
  </si>
  <si>
    <t>2025-07-04T20:29:30</t>
  </si>
  <si>
    <t>2025-07-04T20:42:38</t>
  </si>
  <si>
    <t>SA0000000000000000000420</t>
  </si>
  <si>
    <t>2025-07-07T08:03:09</t>
  </si>
  <si>
    <t>2025-07-07T22:52:16</t>
  </si>
  <si>
    <t>SA0000000000000000000421</t>
  </si>
  <si>
    <t>2025-07-08T21:41:30</t>
  </si>
  <si>
    <t>2025-07-08T23:41:30</t>
  </si>
  <si>
    <t>SA0000000000000000000422</t>
  </si>
  <si>
    <t>2025-07-09T09:58:40</t>
  </si>
  <si>
    <t>2025-07-09T13:23:12</t>
  </si>
  <si>
    <t>SA0000000000000000000423</t>
  </si>
  <si>
    <t>2025-07-10T13:50:11</t>
  </si>
  <si>
    <t>2025-07-10T15:50:11</t>
  </si>
  <si>
    <t>SA0000000000000000000424</t>
  </si>
  <si>
    <t>2025-07-13T07:46:37</t>
  </si>
  <si>
    <t>2025-07-13T18:44:41</t>
  </si>
  <si>
    <t>SA0000000000000000000425</t>
  </si>
  <si>
    <t>2025-07-14T07:30:37</t>
  </si>
  <si>
    <t>2025-07-14T22:18:28</t>
  </si>
  <si>
    <t>SA0000000000000000000426</t>
  </si>
  <si>
    <t>2025-07-16T20:32:27</t>
  </si>
  <si>
    <t>2025-07-16T22:32:27</t>
  </si>
  <si>
    <t>SA0000000000000000000427</t>
  </si>
  <si>
    <t>2025-07-21T17:13:01</t>
  </si>
  <si>
    <t>2025-07-21T19:13:01</t>
  </si>
  <si>
    <t>SA0000000000000000000428</t>
  </si>
  <si>
    <t>2025-07-22T16:31:27</t>
  </si>
  <si>
    <t>2025-07-22T18:31:27</t>
  </si>
  <si>
    <t>SA0000000000000000000429</t>
  </si>
  <si>
    <t>2025-07-23T16:30:42</t>
  </si>
  <si>
    <t>2025-07-23T19:04:03</t>
  </si>
  <si>
    <t>SA0000000000000000000430</t>
  </si>
  <si>
    <t>2025-07-25T11:59:43</t>
  </si>
  <si>
    <t>2025-07-25T20:52:04</t>
  </si>
  <si>
    <t>SA0000000000000000000431</t>
  </si>
  <si>
    <t>2025-07-26T10:16:00</t>
  </si>
  <si>
    <t>2025-07-26T11:23:24</t>
  </si>
  <si>
    <t>SA0000000000000000000432</t>
  </si>
  <si>
    <t>2025-07-26T11:59:22</t>
  </si>
  <si>
    <t>2025-07-26T14:34:16</t>
  </si>
  <si>
    <t>SA0000000000000000000433</t>
  </si>
  <si>
    <t>2025-07-27T14:44:55</t>
  </si>
  <si>
    <t>2025-07-27T16:44:55</t>
  </si>
  <si>
    <t>Annual Performance Bonus - SABIC / مكافأة أداء</t>
  </si>
  <si>
    <t>SA0000000000000000000434</t>
  </si>
  <si>
    <t>2025-07-28T19:01:57</t>
  </si>
  <si>
    <t>2025-07-28T21:01:57</t>
  </si>
  <si>
    <t>SA0000000000000000000435</t>
  </si>
  <si>
    <t>2025-07-29T10:03:53</t>
  </si>
  <si>
    <t>2025-07-29T18:37:05</t>
  </si>
  <si>
    <t>SA0000000000000000000436</t>
  </si>
  <si>
    <t>2025-07-31T14:41:45</t>
  </si>
  <si>
    <t>2025-07-31T16:41:45</t>
  </si>
  <si>
    <t>SA0000000000000000000437</t>
  </si>
  <si>
    <t>2025-08-03T03:19:58</t>
  </si>
  <si>
    <t>2025-08-03T03:54:32</t>
  </si>
  <si>
    <t>SA0000000000000000000438</t>
  </si>
  <si>
    <t>2025-08-04T08:51:18</t>
  </si>
  <si>
    <t>2025-08-04T11:42:55</t>
  </si>
  <si>
    <t>SA0000000000000000000439</t>
  </si>
  <si>
    <t>2025-08-09T17:00:32</t>
  </si>
  <si>
    <t>2025-08-09T19:00:32</t>
  </si>
  <si>
    <t>SA0000000000000000000440</t>
  </si>
  <si>
    <t>2025-08-10T17:54:09</t>
  </si>
  <si>
    <t>2025-08-10T19:54:09</t>
  </si>
  <si>
    <t>SA0000000000000000000441</t>
  </si>
  <si>
    <t>2025-08-11T09:27:47</t>
  </si>
  <si>
    <t>2025-08-11T12:23:18</t>
  </si>
  <si>
    <t>SA0000000000000000000442</t>
  </si>
  <si>
    <t>2025-08-12T21:00:53</t>
  </si>
  <si>
    <t>2025-08-12T21:53:50</t>
  </si>
  <si>
    <t>SA0000000000000000000443</t>
  </si>
  <si>
    <t>2025-08-15T20:09:48</t>
  </si>
  <si>
    <t>2025-08-15T21:21:00</t>
  </si>
  <si>
    <t>SA0000000000000000000444</t>
  </si>
  <si>
    <t>2025-08-16T19:44:16</t>
  </si>
  <si>
    <t>2025-08-16T22:16:00</t>
  </si>
  <si>
    <t>SA0000000000000000000445</t>
  </si>
  <si>
    <t>2025-08-17T15:47:57</t>
  </si>
  <si>
    <t>2025-08-17T17:47:57</t>
  </si>
  <si>
    <t>SA0000000000000000000446</t>
  </si>
  <si>
    <t>2025-08-19T11:00:36</t>
  </si>
  <si>
    <t>2025-08-19T13:00:36</t>
  </si>
  <si>
    <t>SA0000000000000000000447</t>
  </si>
  <si>
    <t>2025-08-21T16:01:49</t>
  </si>
  <si>
    <t>2025-08-21T18:10:47</t>
  </si>
  <si>
    <t>SA0000000000000000000448</t>
  </si>
  <si>
    <t>2025-08-22T16:55:19</t>
  </si>
  <si>
    <t>2025-08-22T18:55:19</t>
  </si>
  <si>
    <t>SA0000000000000000000449</t>
  </si>
  <si>
    <t>2025-08-23T11:15:30</t>
  </si>
  <si>
    <t>2025-08-23T13:44:39</t>
  </si>
  <si>
    <t>SA0000000000000000000450</t>
  </si>
  <si>
    <t>2025-08-24T10:40:54</t>
  </si>
  <si>
    <t>2025-08-24T12:05:51</t>
  </si>
  <si>
    <t>SA0000000000000000000451</t>
  </si>
  <si>
    <t>2025-08-26T20:12:13</t>
  </si>
  <si>
    <t>2025-08-26T22:22:36</t>
  </si>
  <si>
    <t>SA0000000000000000000452</t>
  </si>
  <si>
    <t>2025-08-29T18:32:59</t>
  </si>
  <si>
    <t>2025-08-29T19:45:51</t>
  </si>
  <si>
    <t>SA0000000000000000000453</t>
  </si>
  <si>
    <t>2025-08-30T13:39:43</t>
  </si>
  <si>
    <t>2025-08-30T18:49:30</t>
  </si>
  <si>
    <t>SA0000000000000000000454</t>
  </si>
  <si>
    <t>2025-08-31T12:52:48</t>
  </si>
  <si>
    <t>2025-08-31T14:52:48</t>
  </si>
  <si>
    <t>SA0000000000000000000455</t>
  </si>
  <si>
    <t>2025-09-04T03:13:54</t>
  </si>
  <si>
    <t>2025-09-04T03:59:38</t>
  </si>
  <si>
    <t>SA0000000000000000000456</t>
  </si>
  <si>
    <t>2025-09-04T13:08:23</t>
  </si>
  <si>
    <t>2025-09-04T19:24:47</t>
  </si>
  <si>
    <t>SA0000000000000000000457</t>
  </si>
  <si>
    <t>2025-09-05T13:11:18</t>
  </si>
  <si>
    <t>2025-09-05T15:11:18</t>
  </si>
  <si>
    <t>SA0000000000000000000458</t>
  </si>
  <si>
    <t>2025-09-06T22:01:55</t>
  </si>
  <si>
    <t>2025-09-07T00:01:55</t>
  </si>
  <si>
    <t>SA0000000000000000000459</t>
  </si>
  <si>
    <t>2025-09-10T08:02:58</t>
  </si>
  <si>
    <t>2025-09-10T16:39:27</t>
  </si>
  <si>
    <t>SA0000000000000000000460</t>
  </si>
  <si>
    <t>2025-09-11T10:41:56</t>
  </si>
  <si>
    <t>2025-09-11T19:55:03</t>
  </si>
  <si>
    <t>SA0000000000000000000461</t>
  </si>
  <si>
    <t>2025-09-13T18:06:27</t>
  </si>
  <si>
    <t>2025-09-13T19:22:54</t>
  </si>
  <si>
    <t>SA0000000000000000000462</t>
  </si>
  <si>
    <t>2025-09-14T19:24:59</t>
  </si>
  <si>
    <t>2025-09-14T21:24:59</t>
  </si>
  <si>
    <t>SA0000000000000000000463</t>
  </si>
  <si>
    <t>2025-09-15T12:27:46</t>
  </si>
  <si>
    <t>2025-09-15T16:08:37</t>
  </si>
  <si>
    <t>SA0000000000000000000464</t>
  </si>
  <si>
    <t>2025-09-16T09:58:03</t>
  </si>
  <si>
    <t>2025-09-16T18:50:52</t>
  </si>
  <si>
    <t>SA0000000000000000000465</t>
  </si>
  <si>
    <t>2025-09-19T19:53:09</t>
  </si>
  <si>
    <t>2025-09-19T21:53:09</t>
  </si>
  <si>
    <t>SA0000000000000000000466</t>
  </si>
  <si>
    <t>2025-09-22T11:06:33</t>
  </si>
  <si>
    <t>2025-09-22T13:06:33</t>
  </si>
  <si>
    <t>SA0000000000000000000467</t>
  </si>
  <si>
    <t>2025-09-24T08:46:49</t>
  </si>
  <si>
    <t>2025-09-24T16:13:24</t>
  </si>
  <si>
    <t>SA0000000000000000000468</t>
  </si>
  <si>
    <t>2025-09-26T11:24:09</t>
  </si>
  <si>
    <t>2025-09-26T14:28:01</t>
  </si>
  <si>
    <t>SA0000000000000000000469</t>
  </si>
  <si>
    <t>2025-09-28T12:02:36</t>
  </si>
  <si>
    <t>2025-09-28T14:24:04</t>
  </si>
  <si>
    <t>SA0000000000000000000470</t>
  </si>
  <si>
    <t>2025-09-29T14:53:19</t>
  </si>
  <si>
    <t>2025-09-29T16:53:19</t>
  </si>
  <si>
    <t>SA0000000000000000000471</t>
  </si>
  <si>
    <t>2025-09-29T16:27:44</t>
  </si>
  <si>
    <t>2025-09-29T18:27:44</t>
  </si>
  <si>
    <t>SA0000000000000000000472</t>
  </si>
  <si>
    <t>2025-09-30T18:18:38</t>
  </si>
  <si>
    <t>2025-09-30T21:34:03</t>
  </si>
  <si>
    <t>SA0000000000000000000473</t>
  </si>
  <si>
    <t>2025-10-02T09:20:27</t>
  </si>
  <si>
    <t>2025-10-02T17:37:58</t>
  </si>
  <si>
    <t>SA0000000000000000000474</t>
  </si>
  <si>
    <t>2025-10-04T16:04:22</t>
  </si>
  <si>
    <t>2025-10-04T22:14:12</t>
  </si>
  <si>
    <t>SA0000000000000000000475</t>
  </si>
  <si>
    <t>2025-10-05T03:57:18</t>
  </si>
  <si>
    <t>2025-10-05T05:57:18</t>
  </si>
  <si>
    <t>SA0000000000000000000476</t>
  </si>
  <si>
    <t>2025-10-06T18:39:38</t>
  </si>
  <si>
    <t>2025-10-06T20:39:38</t>
  </si>
  <si>
    <t>SA0000000000000000000477</t>
  </si>
  <si>
    <t>2025-10-07T08:27:20</t>
  </si>
  <si>
    <t>2025-10-07T20:49:32</t>
  </si>
  <si>
    <t>SA0000000000000000000478</t>
  </si>
  <si>
    <t>2025-10-09T10:43:39</t>
  </si>
  <si>
    <t>2025-10-09T12:43:39</t>
  </si>
  <si>
    <t>SA0000000000000000000479</t>
  </si>
  <si>
    <t>2025-10-10T13:49:19</t>
  </si>
  <si>
    <t>2025-10-10T19:18:05</t>
  </si>
  <si>
    <t>SA0000000000000000000480</t>
  </si>
  <si>
    <t>2025-10-11T09:14:19</t>
  </si>
  <si>
    <t>2025-10-11T11:14:19</t>
  </si>
  <si>
    <t>SA0000000000000000000481</t>
  </si>
  <si>
    <t>2025-10-12T15:17:00</t>
  </si>
  <si>
    <t>2025-10-12T17:17:00</t>
  </si>
  <si>
    <t>SA0000000000000000000482</t>
  </si>
  <si>
    <t>2025-10-14T21:49:23</t>
  </si>
  <si>
    <t>2025-10-14T23:49:23</t>
  </si>
  <si>
    <t>SA0000000000000000000483</t>
  </si>
  <si>
    <t>2025-10-15T11:52:58</t>
  </si>
  <si>
    <t>2025-10-15T13:52:58</t>
  </si>
  <si>
    <t>SA0000000000000000000484</t>
  </si>
  <si>
    <t>2025-10-16T13:44:11</t>
  </si>
  <si>
    <t>2025-10-16T15:44:11</t>
  </si>
  <si>
    <t>SA0000000000000000000485</t>
  </si>
  <si>
    <t>2025-10-19T09:03:03</t>
  </si>
  <si>
    <t>2025-10-19T11:16:20</t>
  </si>
  <si>
    <t>SA0000000000000000000486</t>
  </si>
  <si>
    <t>2025-10-20T18:03:34</t>
  </si>
  <si>
    <t>2025-10-20T19:29:09</t>
  </si>
  <si>
    <t>SA0000000000000000000487</t>
  </si>
  <si>
    <t>2025-10-22T14:11:24</t>
  </si>
  <si>
    <t>2025-10-22T17:03:41</t>
  </si>
  <si>
    <t>SA0000000000000000000488</t>
  </si>
  <si>
    <t>2025-10-23T18:30:48</t>
  </si>
  <si>
    <t>2025-10-23T20:30:48</t>
  </si>
  <si>
    <t>SA0000000000000000000489</t>
  </si>
  <si>
    <t>2025-10-25T18:15:59</t>
  </si>
  <si>
    <t>2025-10-25T20:15:59</t>
  </si>
  <si>
    <t>SA0000000000000000000490</t>
  </si>
  <si>
    <t>2025-10-27T08:02:03</t>
  </si>
  <si>
    <t>2025-10-27T18:58:35</t>
  </si>
  <si>
    <t>SA0000000000000000000491</t>
  </si>
  <si>
    <t>2025-10-28T15:42:12</t>
  </si>
  <si>
    <t>2025-10-28T17:42:12</t>
  </si>
  <si>
    <t>SA0000000000000000000492</t>
  </si>
  <si>
    <t>2025-10-29T14:29:09</t>
  </si>
  <si>
    <t>2025-10-29T16:29:09</t>
  </si>
  <si>
    <t>SA0000000000000000000493</t>
  </si>
  <si>
    <t>2025-10-31T14:49:24</t>
  </si>
  <si>
    <t>2025-10-31T16:49:24</t>
  </si>
  <si>
    <t>SA0000000000000000000494</t>
  </si>
  <si>
    <t>2025-11-02T03:24:26</t>
  </si>
  <si>
    <t>2025-11-02T05:24:26</t>
  </si>
  <si>
    <t>SA0000000000000000000495</t>
  </si>
  <si>
    <t>2025-11-02T19:09:01</t>
  </si>
  <si>
    <t>2025-11-02T21:09:01</t>
  </si>
  <si>
    <t>SA0000000000000000000496</t>
  </si>
  <si>
    <t>2025-11-04T13:49:47</t>
  </si>
  <si>
    <t>2025-11-04T18:15:56</t>
  </si>
  <si>
    <t>SA0000000000000000000497</t>
  </si>
  <si>
    <t>2025-11-05T13:03:50</t>
  </si>
  <si>
    <t>2025-11-05T22:36:59</t>
  </si>
  <si>
    <t>SA0000000000000000000498</t>
  </si>
  <si>
    <t>2025-11-07T10:10:09</t>
  </si>
  <si>
    <t>2025-11-07T16:50:49</t>
  </si>
  <si>
    <t>SA0000000000000000000499</t>
  </si>
  <si>
    <t>2025-11-08T12:12:45</t>
  </si>
  <si>
    <t>2025-11-08T14:12:45</t>
  </si>
  <si>
    <t>SA0000000000000000000500</t>
  </si>
  <si>
    <t>2025-11-09T22:02:43</t>
  </si>
  <si>
    <t>2025-11-10T00:02:43</t>
  </si>
  <si>
    <t>SA0000000000000000000501</t>
  </si>
  <si>
    <t>2025-11-10T10:22:05</t>
  </si>
  <si>
    <t>2025-11-10T20:32:14</t>
  </si>
  <si>
    <t>SA0000000000000000000502</t>
  </si>
  <si>
    <t>2025-11-12T13:12:10</t>
  </si>
  <si>
    <t>2025-11-12T22:02:08</t>
  </si>
  <si>
    <t>SA0000000000000000000503</t>
  </si>
  <si>
    <t>2025-11-16T19:18:00</t>
  </si>
  <si>
    <t>2025-11-16T20:18:05</t>
  </si>
  <si>
    <t>SA0000000000000000000504</t>
  </si>
  <si>
    <t>2025-11-17T20:02:27</t>
  </si>
  <si>
    <t>2025-11-17T22:02:27</t>
  </si>
  <si>
    <t>SA0000000000000000000505</t>
  </si>
  <si>
    <t>2025-11-18T16:53:52</t>
  </si>
  <si>
    <t>2025-11-18T18:53:52</t>
  </si>
  <si>
    <t>SA0000000000000000000506</t>
  </si>
  <si>
    <t>2025-11-19T08:56:31</t>
  </si>
  <si>
    <t>2025-11-19T18:05:25</t>
  </si>
  <si>
    <t>SA0000000000000000000507</t>
  </si>
  <si>
    <t>2025-11-21T13:48:23</t>
  </si>
  <si>
    <t>2025-11-21T20:31:40</t>
  </si>
  <si>
    <t>SA0000000000000000000508</t>
  </si>
  <si>
    <t>2025-11-23T12:52:58</t>
  </si>
  <si>
    <t>2025-11-23T13:36:44</t>
  </si>
  <si>
    <t>SA0000000000000000000509</t>
  </si>
  <si>
    <t>2025-11-24T11:51:06</t>
  </si>
  <si>
    <t>2025-11-24T21:00:10</t>
  </si>
  <si>
    <t>SA0000000000000000000510</t>
  </si>
  <si>
    <t>2025-11-26T07:57:25</t>
  </si>
  <si>
    <t>2025-11-26T11:52:01</t>
  </si>
  <si>
    <t>SA0000000000000000000511</t>
  </si>
  <si>
    <t>2025-11-27T09:05:11</t>
  </si>
  <si>
    <t>2025-11-27T11:05:11</t>
  </si>
  <si>
    <t>SA0000000000000000000512</t>
  </si>
  <si>
    <t>2025-11-28T10:39:28</t>
  </si>
  <si>
    <t>2025-11-28T12:39:28</t>
  </si>
  <si>
    <t>SA0000000000000000000513</t>
  </si>
  <si>
    <t>2025-11-28T12:17:53</t>
  </si>
  <si>
    <t>2025-11-28T14:17:53</t>
  </si>
  <si>
    <t>SA0000000000000000000514</t>
  </si>
  <si>
    <t>2025-11-29T21:34:40</t>
  </si>
  <si>
    <t>2025-11-29T23:34:40</t>
  </si>
  <si>
    <t>SA0000000000000000000515</t>
  </si>
  <si>
    <t>2025-12-02T08:59:38</t>
  </si>
  <si>
    <t>2025-12-02T10:24:54</t>
  </si>
  <si>
    <t>SA0000000000000000000516</t>
  </si>
  <si>
    <t>2025-12-03T03:21:09</t>
  </si>
  <si>
    <t>2025-12-03T05:21:09</t>
  </si>
  <si>
    <t>SA0000000000000000000517</t>
  </si>
  <si>
    <t>2025-12-03T17:32:27</t>
  </si>
  <si>
    <t>2025-12-03T19:32:27</t>
  </si>
  <si>
    <t>SA0000000000000000000518</t>
  </si>
  <si>
    <t>2025-12-06T21:28:42</t>
  </si>
  <si>
    <t>2025-12-06T23:28:42</t>
  </si>
  <si>
    <t>SA0000000000000000000519</t>
  </si>
  <si>
    <t>2025-12-08T22:25:39</t>
  </si>
  <si>
    <t>2025-12-09T00:25:39</t>
  </si>
  <si>
    <t>SA0000000000000000000520</t>
  </si>
  <si>
    <t>2025-12-11T12:41:46</t>
  </si>
  <si>
    <t>2025-12-11T14:41:46</t>
  </si>
  <si>
    <t>SA0000000000000000000521</t>
  </si>
  <si>
    <t>2025-12-13T10:36:52</t>
  </si>
  <si>
    <t>2025-12-13T19:42:40</t>
  </si>
  <si>
    <t>SA0000000000000000000522</t>
  </si>
  <si>
    <t>2025-12-14T11:17:18</t>
  </si>
  <si>
    <t>2025-12-14T14:41:28</t>
  </si>
  <si>
    <t>SA0000000000000000000523</t>
  </si>
  <si>
    <t>2025-12-16T12:28:46</t>
  </si>
  <si>
    <t>2025-12-16T12:59:28</t>
  </si>
  <si>
    <t>SA0000000000000000000524</t>
  </si>
  <si>
    <t>2025-12-18T07:04:36</t>
  </si>
  <si>
    <t>2025-12-18T09:26:23</t>
  </si>
  <si>
    <t>SA0000000000000000000525</t>
  </si>
  <si>
    <t>2025-12-19T21:58:12</t>
  </si>
  <si>
    <t>2025-12-19T23:58:12</t>
  </si>
  <si>
    <t>SA0000000000000000000526</t>
  </si>
  <si>
    <t>2025-12-20T20:18:25</t>
  </si>
  <si>
    <t>2025-12-20T22:18:25</t>
  </si>
  <si>
    <t>SA0000000000000000000527</t>
  </si>
  <si>
    <t>2025-12-21T21:46:08</t>
  </si>
  <si>
    <t>2025-12-21T23:46:08</t>
  </si>
  <si>
    <t>SA0000000000000000000528</t>
  </si>
  <si>
    <t>2025-12-23T09:32:29</t>
  </si>
  <si>
    <t>2025-12-23T10:29:07</t>
  </si>
  <si>
    <t>SA0000000000000000000529</t>
  </si>
  <si>
    <t>2025-12-24T11:16:10</t>
  </si>
  <si>
    <t>2025-12-24T20:19:13</t>
  </si>
  <si>
    <t>SA0000000000000000000530</t>
  </si>
  <si>
    <t>2025-12-25T11:28:42</t>
  </si>
  <si>
    <t>2025-12-25T13:28:42</t>
  </si>
  <si>
    <t>SA0000000000000000000531</t>
  </si>
  <si>
    <t>2025-12-25T15:40:14</t>
  </si>
  <si>
    <t>2025-12-25T17:40:14</t>
  </si>
  <si>
    <t>SA0000000000000000000532</t>
  </si>
  <si>
    <t>2025-12-27T21:04:06</t>
  </si>
  <si>
    <t>2025-12-27T23:04:06</t>
  </si>
  <si>
    <t>SA0000000000000000000533</t>
  </si>
  <si>
    <t>2025-12-28T07:06:42</t>
  </si>
  <si>
    <t>2025-12-28T13:40:34</t>
  </si>
  <si>
    <t>SA0000000000000000000534</t>
  </si>
  <si>
    <t>2026-01-03T03:38:35</t>
  </si>
  <si>
    <t>2026-01-03T05:38:35</t>
  </si>
  <si>
    <t>SA0000000000000000000535</t>
  </si>
  <si>
    <t>2026-01-07T07:13:40</t>
  </si>
  <si>
    <t>2026-01-07T09:17:32</t>
  </si>
  <si>
    <t>SA0000000000000000000536</t>
  </si>
  <si>
    <t>2026-01-10T10:00:30</t>
  </si>
  <si>
    <t>2026-01-10T19:45:40</t>
  </si>
  <si>
    <t>SA0000000000000000000537</t>
  </si>
  <si>
    <t>2026-01-13T20:16:23</t>
  </si>
  <si>
    <t>2026-01-13T21:48:04</t>
  </si>
  <si>
    <t>SA0000000000000000000538</t>
  </si>
  <si>
    <t>2026-01-14T16:33:22</t>
  </si>
  <si>
    <t>2026-01-14T19:49:39</t>
  </si>
  <si>
    <t>SA0000000000000000000539</t>
  </si>
  <si>
    <t>2026-01-15T22:04:21</t>
  </si>
  <si>
    <t>2026-01-16T00:04:21</t>
  </si>
  <si>
    <t>SA0000000000000000000540</t>
  </si>
  <si>
    <t>2026-01-16T15:01:44</t>
  </si>
  <si>
    <t>2026-01-16T17:01:44</t>
  </si>
  <si>
    <t>SA0000000000000000000541</t>
  </si>
  <si>
    <t>2026-01-17T18:55:51</t>
  </si>
  <si>
    <t>2026-01-17T20:55:51</t>
  </si>
  <si>
    <t>SA0000000000000000000542</t>
  </si>
  <si>
    <t>2026-01-18T15:38:45</t>
  </si>
  <si>
    <t>2026-01-18T17:38:45</t>
  </si>
  <si>
    <t>SA0000000000000000000543</t>
  </si>
  <si>
    <t>2026-01-19T08:19:06</t>
  </si>
  <si>
    <t>2026-01-19T08:40:04</t>
  </si>
  <si>
    <t>SA0000000000000000000544</t>
  </si>
  <si>
    <t>2026-01-20T13:35:59</t>
  </si>
  <si>
    <t>2026-01-20T15:35:59</t>
  </si>
  <si>
    <t>SA0000000000000000000545</t>
  </si>
  <si>
    <t>2026-01-22T09:08:03</t>
  </si>
  <si>
    <t>2026-01-22T18:56:38</t>
  </si>
  <si>
    <t>SA0000000000000000000546</t>
  </si>
  <si>
    <t>2026-01-24T20:06:16</t>
  </si>
  <si>
    <t>2026-01-24T22:06:16</t>
  </si>
  <si>
    <t>SA0000000000000000000547</t>
  </si>
  <si>
    <t>2026-01-26T07:05:29</t>
  </si>
  <si>
    <t>2026-01-26T21:11:54</t>
  </si>
  <si>
    <t>SA0000000000000000000548</t>
  </si>
  <si>
    <t>2026-01-28T19:45:22</t>
  </si>
  <si>
    <t>2026-01-28T21:45:22</t>
  </si>
  <si>
    <t>SA0000000000000000000549</t>
  </si>
  <si>
    <t>2026-01-29T08:45:27</t>
  </si>
  <si>
    <t>2026-01-29T14:27:35</t>
  </si>
  <si>
    <t>SA0000000000000000000550</t>
  </si>
  <si>
    <t>2026-01-29T08:38:56</t>
  </si>
  <si>
    <t>2026-01-29T09:02:00</t>
  </si>
  <si>
    <t>SA0000000000000000000551</t>
  </si>
  <si>
    <t>2026-02-01T03:01:47</t>
  </si>
  <si>
    <t>2026-02-01T03:38:40</t>
  </si>
  <si>
    <t>SA0000000000000000000552</t>
  </si>
  <si>
    <t>2026-02-02T18:36:54</t>
  </si>
  <si>
    <t>2026-02-02T21:14:08</t>
  </si>
  <si>
    <t>SA0000000000000000000553</t>
  </si>
  <si>
    <t>2026-02-03T11:15:43</t>
  </si>
  <si>
    <t>2026-02-03T13:15:43</t>
  </si>
  <si>
    <t>SA0000000000000000000554</t>
  </si>
  <si>
    <t>2026-02-04T10:42:10</t>
  </si>
  <si>
    <t>2026-02-04T12:30:10</t>
  </si>
  <si>
    <t>SA0000000000000000000555</t>
  </si>
  <si>
    <t>2026-02-07T08:32:45</t>
  </si>
  <si>
    <t>2026-02-07T10:49:32</t>
  </si>
  <si>
    <t>SA0000000000000000000556</t>
  </si>
  <si>
    <t>2026-02-08T07:46:58</t>
  </si>
  <si>
    <t>2026-02-08T22:29:41</t>
  </si>
  <si>
    <t>SA0000000000000000000557</t>
  </si>
  <si>
    <t>2026-02-09T12:12:28</t>
  </si>
  <si>
    <t>2026-02-09T19:05:52</t>
  </si>
  <si>
    <t>SA0000000000000000000558</t>
  </si>
  <si>
    <t>2026-02-10T15:36:11</t>
  </si>
  <si>
    <t>2026-02-10T17:36:11</t>
  </si>
  <si>
    <t>SA0000000000000000000559</t>
  </si>
  <si>
    <t>2026-02-11T21:32:13</t>
  </si>
  <si>
    <t>2026-02-11T23:32:13</t>
  </si>
  <si>
    <t>SA0000000000000000000560</t>
  </si>
  <si>
    <t>2026-02-12T19:21:04</t>
  </si>
  <si>
    <t>2026-02-12T21:21:04</t>
  </si>
  <si>
    <t>SA0000000000000000000561</t>
  </si>
  <si>
    <t>2026-02-13T22:38:30</t>
  </si>
  <si>
    <t>2026-02-14T00:38:30</t>
  </si>
  <si>
    <t>SA0000000000000000000562</t>
  </si>
  <si>
    <t>2026-02-14T19:40:19</t>
  </si>
  <si>
    <t>2026-02-14T21:40:19</t>
  </si>
  <si>
    <t>SA0000000000000000000563</t>
  </si>
  <si>
    <t>2026-02-16T11:29:56</t>
  </si>
  <si>
    <t>2026-02-16T14:56:10</t>
  </si>
  <si>
    <t>SA0000000000000000000564</t>
  </si>
  <si>
    <t>2026-02-19T18:37:33</t>
  </si>
  <si>
    <t>2026-02-19T21:57:31</t>
  </si>
  <si>
    <t>SA0000000000000000000565</t>
  </si>
  <si>
    <t>2026-02-20T16:30:15</t>
  </si>
  <si>
    <t>2026-02-20T18:07:02</t>
  </si>
  <si>
    <t>SA0000000000000000000566</t>
  </si>
  <si>
    <t>2026-02-21T19:32:18</t>
  </si>
  <si>
    <t>2026-02-21T21:32:18</t>
  </si>
  <si>
    <t>SA0000000000000000000567</t>
  </si>
  <si>
    <t>2026-02-23T11:10:41</t>
  </si>
  <si>
    <t>2026-02-23T22:59:59</t>
  </si>
  <si>
    <t>SA0000000000000000000568</t>
  </si>
  <si>
    <t>2026-02-25T12:22:03</t>
  </si>
  <si>
    <t>2026-02-25T14:22:03</t>
  </si>
  <si>
    <t>SA0000000000000000000569</t>
  </si>
  <si>
    <t>2026-02-27T07:20:15</t>
  </si>
  <si>
    <t>2026-02-27T07:58:58</t>
  </si>
  <si>
    <t>SA0000000000000000000570</t>
  </si>
  <si>
    <t>2026-02-28T10:15:25</t>
  </si>
  <si>
    <t>2026-02-28T12:15:25</t>
  </si>
  <si>
    <t>SA0000000000000000000571</t>
  </si>
  <si>
    <t>2026-02-28T12:58:12</t>
  </si>
  <si>
    <t>2026-02-28T21:43:55</t>
  </si>
  <si>
    <t>SA0000000000000000000572</t>
  </si>
  <si>
    <t>📊  CREDIT SCORING CALCULATOR  —  CLT006 AA Reem</t>
  </si>
  <si>
    <t>ACC-150</t>
  </si>
  <si>
    <t>2025-02-02T16:35:41</t>
  </si>
  <si>
    <t>2025-02-02T18:35:41</t>
  </si>
  <si>
    <t>SA0000000000000000000573</t>
  </si>
  <si>
    <t>Alinma Bank</t>
  </si>
  <si>
    <t>INMASARI</t>
  </si>
  <si>
    <t>Period: 2025-02 → 2026-01  |  12 months  |  213 transactions  |  Income = Salary (KSAOB.Deposit) per month</t>
  </si>
  <si>
    <t>2025-02-03T12:57:01</t>
  </si>
  <si>
    <t>2025-02-03T16:41:34</t>
  </si>
  <si>
    <t>SA0000000000000000000574</t>
  </si>
  <si>
    <t>2025-02-04T03:00:44</t>
  </si>
  <si>
    <t>2025-02-04T03:20:26</t>
  </si>
  <si>
    <t>Car Loan Payment - Alinma Auto Finance</t>
  </si>
  <si>
    <t>Alinma Auto Finance</t>
  </si>
  <si>
    <t>SA0000000000000000000575</t>
  </si>
  <si>
    <t>2025-02-04T09:44:25</t>
  </si>
  <si>
    <t>2025-02-04T20:28:44</t>
  </si>
  <si>
    <t>SA0000000000000000000576</t>
  </si>
  <si>
    <t>2025-02-05T15:56:18</t>
  </si>
  <si>
    <t>2025-02-05T22:29:41</t>
  </si>
  <si>
    <t>SA0000000000000000000577</t>
  </si>
  <si>
    <t>2025-02-07T13:41:29</t>
  </si>
  <si>
    <t>2025-02-07T15:41:29</t>
  </si>
  <si>
    <t>SA0000000000000000000578</t>
  </si>
  <si>
    <t>2025-02-08T15:36:54</t>
  </si>
  <si>
    <t>2025-02-08T21:08:19</t>
  </si>
  <si>
    <t>SA0000000000000000000579</t>
  </si>
  <si>
    <t>2025-02-09T20:47:29</t>
  </si>
  <si>
    <t>2025-02-09T22:47:29</t>
  </si>
  <si>
    <t>SA0000000000000000000580</t>
  </si>
  <si>
    <t>2025-02-10T16:48:33</t>
  </si>
  <si>
    <t>2025-02-10T18:48:33</t>
  </si>
  <si>
    <t>SA0000000000000000000581</t>
  </si>
  <si>
    <t>2025-02-11T16:47:47</t>
  </si>
  <si>
    <t>2025-02-11T18:47:47</t>
  </si>
  <si>
    <t>SA0000000000000000000582</t>
  </si>
  <si>
    <t>2025-02-13T20:15:34</t>
  </si>
  <si>
    <t>2025-02-13T22:15:34</t>
  </si>
  <si>
    <t>SA0000000000000000000583</t>
  </si>
  <si>
    <t>2025-02-15T22:23:50</t>
  </si>
  <si>
    <t>2025-02-16T00:23:50</t>
  </si>
  <si>
    <t>SA0000000000000000000584</t>
  </si>
  <si>
    <t>2025-02-16T22:00:01</t>
  </si>
  <si>
    <t>2025-02-17T00:00:01</t>
  </si>
  <si>
    <t>SA0000000000000000000585</t>
  </si>
  <si>
    <t>2025-02-17T13:19:48</t>
  </si>
  <si>
    <t>2025-02-17T15:16:09</t>
  </si>
  <si>
    <t>SA0000000000000000000586</t>
  </si>
  <si>
    <t>2025-02-21T14:49:07</t>
  </si>
  <si>
    <t>2025-02-21T21:51:15</t>
  </si>
  <si>
    <t>SA0000000000000000000587</t>
  </si>
  <si>
    <t>2025-02-23T18:41:17</t>
  </si>
  <si>
    <t>2025-02-23T22:25:22</t>
  </si>
  <si>
    <t>SA0000000000000000000588</t>
  </si>
  <si>
    <t>2025-02-24T21:11:03</t>
  </si>
  <si>
    <t>2025-02-24T23:11:03</t>
  </si>
  <si>
    <t>SA0000000000000000000589</t>
  </si>
  <si>
    <t>2025-02-26T18:53:34</t>
  </si>
  <si>
    <t>2025-02-26T20:53:34</t>
  </si>
  <si>
    <t>SA0000000000000000000590</t>
  </si>
  <si>
    <t>2025-02-28T11:26:07</t>
  </si>
  <si>
    <t>2025-02-28T12:38:01</t>
  </si>
  <si>
    <t>Salary - Alinma Bank / راتب</t>
  </si>
  <si>
    <t>SA0000000000000000000591</t>
  </si>
  <si>
    <t>2025-02-28T17:51:13</t>
  </si>
  <si>
    <t>2025-02-28T19:51:13</t>
  </si>
  <si>
    <t>SA0000000000000000000592</t>
  </si>
  <si>
    <t>2025-03-02T07:09:10</t>
  </si>
  <si>
    <t>2025-03-02T12:43:19</t>
  </si>
  <si>
    <t>SA0000000000000000000593</t>
  </si>
  <si>
    <t>2025-03-04T03:03:41</t>
  </si>
  <si>
    <t>2025-03-04T03:31:14</t>
  </si>
  <si>
    <t>SA0000000000000000000594</t>
  </si>
  <si>
    <t>2025-03-05T09:17:21</t>
  </si>
  <si>
    <t>2025-03-05T18:52:02</t>
  </si>
  <si>
    <t>SA0000000000000000000595</t>
  </si>
  <si>
    <t>2025-03-07T12:53:36</t>
  </si>
  <si>
    <t>2025-03-07T21:41:03</t>
  </si>
  <si>
    <t>SA0000000000000000000596</t>
  </si>
  <si>
    <t>2025-03-08T11:16:30</t>
  </si>
  <si>
    <t>2025-03-08T19:07:29</t>
  </si>
  <si>
    <t>SA0000000000000000000597</t>
  </si>
  <si>
    <t>2025-03-10T11:34:46</t>
  </si>
  <si>
    <t>2025-03-10T17:21:34</t>
  </si>
  <si>
    <t>SA0000000000000000000598</t>
  </si>
  <si>
    <t>2025-03-11T15:34:33</t>
  </si>
  <si>
    <t>2025-03-11T17:38:32</t>
  </si>
  <si>
    <t>SA0000000000000000000599</t>
  </si>
  <si>
    <t>2025-03-13T12:26:09</t>
  </si>
  <si>
    <t>2025-03-13T22:23:43</t>
  </si>
  <si>
    <t>SA0000000000000000000600</t>
  </si>
  <si>
    <t>2025-03-14T15:57:30</t>
  </si>
  <si>
    <t>2025-03-14T17:57:30</t>
  </si>
  <si>
    <t>SA0000000000000000000601</t>
  </si>
  <si>
    <t>MEDIAN(MIN(T18,T29), MIN(T19,T29), MIN(T20,T29))
Takes salary from rows 18 (2025-11), 19 (2025-12), 20 (2026-01).
Each capped at spike threshold before MEDIAN → spike months don't inflate score.</t>
  </si>
  <si>
    <t>2025-03-15T11:27:06</t>
  </si>
  <si>
    <t>2025-03-15T16:58:02</t>
  </si>
  <si>
    <t>SA0000000000000000000602</t>
  </si>
  <si>
    <t>★ Last Month Salary  (2026-01)  →  Factor 5 (Salary Category)</t>
  </si>
  <si>
    <t>2025-03-21T20:54:40</t>
  </si>
  <si>
    <t>2025-03-21T22:54:40</t>
  </si>
  <si>
    <t>SA0000000000000000000603</t>
  </si>
  <si>
    <t>★ Last Month Loan Payments  (2026-01)  →  Factor 3</t>
  </si>
  <si>
    <t>2025-03-22T15:25:19</t>
  </si>
  <si>
    <t>2025-03-22T17:25:19</t>
  </si>
  <si>
    <t>SA0000000000000000000604</t>
  </si>
  <si>
    <t>2025-03-27T14:28:46</t>
  </si>
  <si>
    <t>2025-03-27T19:37:50</t>
  </si>
  <si>
    <t>SA0000000000000000000605</t>
  </si>
  <si>
    <t>2025-03-29T12:37:14</t>
  </si>
  <si>
    <t>2025-03-29T19:49:59</t>
  </si>
  <si>
    <t>SA0000000000000000000606</t>
  </si>
  <si>
    <t>2025-03-30T14:46:15</t>
  </si>
  <si>
    <t>2025-03-30T16:46:15</t>
  </si>
  <si>
    <t>SA0000000000000000000607</t>
  </si>
  <si>
    <t>2025-03-31T18:33:48</t>
  </si>
  <si>
    <t>2025-03-31T20:33:48</t>
  </si>
  <si>
    <t>SA0000000000000000000608</t>
  </si>
  <si>
    <t>2025-04-02T21:54:59</t>
  </si>
  <si>
    <t>2025-04-02T23:54:59</t>
  </si>
  <si>
    <t>SA0000000000000000000609</t>
  </si>
  <si>
    <t>2025-04-03T15:25:00</t>
  </si>
  <si>
    <t>2025-04-03T17:25:00</t>
  </si>
  <si>
    <t>SA0000000000000000000610</t>
  </si>
  <si>
    <t>2025-04-04T20:09:07</t>
  </si>
  <si>
    <t>2025-04-04T22:16:49</t>
  </si>
  <si>
    <t>SA0000000000000000000611</t>
  </si>
  <si>
    <t>2025-04-05T03:47:24</t>
  </si>
  <si>
    <t>2025-04-05T03:57:58</t>
  </si>
  <si>
    <t>SA0000000000000000000612</t>
  </si>
  <si>
    <t>2025-04-05T17:16:25</t>
  </si>
  <si>
    <t>2025-04-05T19:16:25</t>
  </si>
  <si>
    <t>SA0000000000000000000613</t>
  </si>
  <si>
    <t>2025-04-08T22:11:07</t>
  </si>
  <si>
    <t>2025-04-09T00:11:07</t>
  </si>
  <si>
    <t>SA0000000000000000000614</t>
  </si>
  <si>
    <t>2025-04-10T22:12:00</t>
  </si>
  <si>
    <t>2025-04-11T00:12:00</t>
  </si>
  <si>
    <t>SA0000000000000000000615</t>
  </si>
  <si>
    <t>2025-04-14T15:08:49</t>
  </si>
  <si>
    <t>2025-04-14T17:08:49</t>
  </si>
  <si>
    <t>SA0000000000000000000616</t>
  </si>
  <si>
    <t>2025-04-19T18:58:59</t>
  </si>
  <si>
    <t>2025-04-19T20:58:59</t>
  </si>
  <si>
    <t>SA0000000000000000000617</t>
  </si>
  <si>
    <t>2025-04-21T09:12:58</t>
  </si>
  <si>
    <t>2025-04-21T17:54:19</t>
  </si>
  <si>
    <t>SA0000000000000000000618</t>
  </si>
  <si>
    <t>2025-04-24T15:22:24</t>
  </si>
  <si>
    <t>2025-04-24T17:22:24</t>
  </si>
  <si>
    <t>SA0000000000000000000619</t>
  </si>
  <si>
    <t>2025-04-25T09:02:50</t>
  </si>
  <si>
    <t>2025-04-25T12:26:10</t>
  </si>
  <si>
    <t>SA0000000000000000000620</t>
  </si>
  <si>
    <t>2025-04-26T08:56:47</t>
  </si>
  <si>
    <t>2025-04-26T10:23:34</t>
  </si>
  <si>
    <t>SA0000000000000000000621</t>
  </si>
  <si>
    <t>2025-04-26T22:13:49</t>
  </si>
  <si>
    <t>2025-04-27T00:13:49</t>
  </si>
  <si>
    <t>SA0000000000000000000622</t>
  </si>
  <si>
    <t>2025-04-27T08:02:27</t>
  </si>
  <si>
    <t>2025-04-27T22:35:44</t>
  </si>
  <si>
    <t>SA0000000000000000000623</t>
  </si>
  <si>
    <t>2025-04-29T14:21:09</t>
  </si>
  <si>
    <t>2025-04-29T16:21:09</t>
  </si>
  <si>
    <t>SA0000000000000000000624</t>
  </si>
  <si>
    <t>2025-05-02T21:23:29</t>
  </si>
  <si>
    <t>2025-05-02T23:23:29</t>
  </si>
  <si>
    <t>SA0000000000000000000625</t>
  </si>
  <si>
    <t>2025-05-03T18:25:17</t>
  </si>
  <si>
    <t>2025-05-03T20:25:17</t>
  </si>
  <si>
    <t>SA0000000000000000000626</t>
  </si>
  <si>
    <t>2025-05-04T19:05:09</t>
  </si>
  <si>
    <t>2025-05-04T21:05:09</t>
  </si>
  <si>
    <t>SA0000000000000000000627</t>
  </si>
  <si>
    <t>2025-05-05T03:14:16</t>
  </si>
  <si>
    <t>2025-05-05T05:14:16</t>
  </si>
  <si>
    <t>SA0000000000000000000628</t>
  </si>
  <si>
    <t>2025-05-05T15:47:22</t>
  </si>
  <si>
    <t>2025-05-05T17:47:22</t>
  </si>
  <si>
    <t>SA0000000000000000000629</t>
  </si>
  <si>
    <t>2025-05-06T18:26:45</t>
  </si>
  <si>
    <t>2025-05-06T20:26:45</t>
  </si>
  <si>
    <t>SA0000000000000000000630</t>
  </si>
  <si>
    <t>2025-05-07T16:29:29</t>
  </si>
  <si>
    <t>2025-05-07T18:29:29</t>
  </si>
  <si>
    <t>SA0000000000000000000631</t>
  </si>
  <si>
    <t>2025-05-08T21:08:28</t>
  </si>
  <si>
    <t>2025-05-08T23:08:28</t>
  </si>
  <si>
    <t>SA0000000000000000000632</t>
  </si>
  <si>
    <t>2025-05-09T12:58:38</t>
  </si>
  <si>
    <t>2025-05-09T19:22:15</t>
  </si>
  <si>
    <t>SA0000000000000000000633</t>
  </si>
  <si>
    <t>2025-05-11T13:54:46</t>
  </si>
  <si>
    <t>2025-05-11T15:54:46</t>
  </si>
  <si>
    <t>SA0000000000000000000634</t>
  </si>
  <si>
    <t>2025-05-14T10:23:21</t>
  </si>
  <si>
    <t>2025-05-14T18:36:39</t>
  </si>
  <si>
    <t>SA0000000000000000000635</t>
  </si>
  <si>
    <t>2025-05-15T10:09:07</t>
  </si>
  <si>
    <t>2025-05-15T13:51:55</t>
  </si>
  <si>
    <t>SA0000000000000000000636</t>
  </si>
  <si>
    <t>2025-05-16T22:35:46</t>
  </si>
  <si>
    <t>2025-05-17T00:35:46</t>
  </si>
  <si>
    <t>SA0000000000000000000637</t>
  </si>
  <si>
    <t>2025-05-19T14:17:24</t>
  </si>
  <si>
    <t>2025-05-19T15:30:42</t>
  </si>
  <si>
    <t>SA0000000000000000000638</t>
  </si>
  <si>
    <t>2025-05-20T11:08:53</t>
  </si>
  <si>
    <t>2025-05-20T11:20:44</t>
  </si>
  <si>
    <t>SA0000000000000000000639</t>
  </si>
  <si>
    <t>2025-05-22T09:55:40</t>
  </si>
  <si>
    <t>2025-05-22T11:55:40</t>
  </si>
  <si>
    <t>SA0000000000000000000640</t>
  </si>
  <si>
    <t>2025-05-26T19:23:28</t>
  </si>
  <si>
    <t>2025-05-26T21:23:28</t>
  </si>
  <si>
    <t>SA0000000000000000000641</t>
  </si>
  <si>
    <t>2025-05-27T11:10:12</t>
  </si>
  <si>
    <t>2025-05-27T12:50:34</t>
  </si>
  <si>
    <t>SA0000000000000000000642</t>
  </si>
  <si>
    <t>2025-05-28T08:03:39</t>
  </si>
  <si>
    <t>2025-05-28T12:51:25</t>
  </si>
  <si>
    <t>SA0000000000000000000643</t>
  </si>
  <si>
    <t>2025-05-29T16:00:42</t>
  </si>
  <si>
    <t>2025-05-29T18:51:27</t>
  </si>
  <si>
    <t>SA0000000000000000000644</t>
  </si>
  <si>
    <t>2025-05-30T21:30:02</t>
  </si>
  <si>
    <t>2025-05-30T23:30:02</t>
  </si>
  <si>
    <t>SA0000000000000000000645</t>
  </si>
  <si>
    <t>2025-05-31T09:14:06</t>
  </si>
  <si>
    <t>2025-05-31T10:35:56</t>
  </si>
  <si>
    <t>SA0000000000000000000646</t>
  </si>
  <si>
    <t>2025-06-03T03:16:23</t>
  </si>
  <si>
    <t>2025-06-03T03:23:40</t>
  </si>
  <si>
    <t>SA0000000000000000000647</t>
  </si>
  <si>
    <t>2025-06-03T17:09:25</t>
  </si>
  <si>
    <t>2025-06-03T19:09:25</t>
  </si>
  <si>
    <t>SA0000000000000000000648</t>
  </si>
  <si>
    <t>2025-06-05T10:04:06</t>
  </si>
  <si>
    <t>2025-06-05T12:04:06</t>
  </si>
  <si>
    <t>SA0000000000000000000649</t>
  </si>
  <si>
    <t>2025-06-11T19:17:32</t>
  </si>
  <si>
    <t>2025-06-11T21:17:32</t>
  </si>
  <si>
    <t>SA0000000000000000000650</t>
  </si>
  <si>
    <t>2025-06-13T20:42:45</t>
  </si>
  <si>
    <t>2025-06-13T22:42:45</t>
  </si>
  <si>
    <t>SA0000000000000000000651</t>
  </si>
  <si>
    <t>2025-06-17T15:20:15</t>
  </si>
  <si>
    <t>2025-06-17T19:23:33</t>
  </si>
  <si>
    <t>SA0000000000000000000652</t>
  </si>
  <si>
    <t>2025-06-18T09:50:24</t>
  </si>
  <si>
    <t>2025-06-18T11:50:24</t>
  </si>
  <si>
    <t>SA0000000000000000000653</t>
  </si>
  <si>
    <t>2025-06-20T12:30:14</t>
  </si>
  <si>
    <t>2025-06-20T15:10:33</t>
  </si>
  <si>
    <t>SA0000000000000000000654</t>
  </si>
  <si>
    <t>2025-06-22T11:25:22</t>
  </si>
  <si>
    <t>2025-06-22T13:25:22</t>
  </si>
  <si>
    <t>SA0000000000000000000655</t>
  </si>
  <si>
    <t>2025-06-23T17:11:53</t>
  </si>
  <si>
    <t>2025-06-23T19:11:53</t>
  </si>
  <si>
    <t>SA0000000000000000000656</t>
  </si>
  <si>
    <t>2025-06-24T18:08:02</t>
  </si>
  <si>
    <t>2025-06-24T22:08:49</t>
  </si>
  <si>
    <t>SA0000000000000000000657</t>
  </si>
  <si>
    <t>2025-06-26T07:16:53</t>
  </si>
  <si>
    <t>2025-06-26T21:17:51</t>
  </si>
  <si>
    <t>SA0000000000000000000658</t>
  </si>
  <si>
    <t>2025-06-28T13:10:28</t>
  </si>
  <si>
    <t>2025-06-28T15:10:28</t>
  </si>
  <si>
    <t>SA0000000000000000000659</t>
  </si>
  <si>
    <t>2025-06-28T13:20:14</t>
  </si>
  <si>
    <t>2025-06-28T15:20:14</t>
  </si>
  <si>
    <t>SA0000000000000000000660</t>
  </si>
  <si>
    <t>2025-06-29T07:29:41</t>
  </si>
  <si>
    <t>2025-06-29T16:21:29</t>
  </si>
  <si>
    <t>SA0000000000000000000661</t>
  </si>
  <si>
    <t>2025-06-30T09:40:18</t>
  </si>
  <si>
    <t>2025-06-30T15:02:42</t>
  </si>
  <si>
    <t>SA0000000000000000000662</t>
  </si>
  <si>
    <t>2025-07-01T03:07:52</t>
  </si>
  <si>
    <t>2025-07-01T03:53:18</t>
  </si>
  <si>
    <t>SA0000000000000000000663</t>
  </si>
  <si>
    <t>2025-07-03T13:34:43</t>
  </si>
  <si>
    <t>2025-07-03T15:03:51</t>
  </si>
  <si>
    <t>SA0000000000000000000664</t>
  </si>
  <si>
    <t>2025-07-04T19:45:18</t>
  </si>
  <si>
    <t>2025-07-04T21:45:18</t>
  </si>
  <si>
    <t>SA0000000000000000000665</t>
  </si>
  <si>
    <t>2025-07-06T11:14:19</t>
  </si>
  <si>
    <t>2025-07-06T14:42:28</t>
  </si>
  <si>
    <t>SA0000000000000000000666</t>
  </si>
  <si>
    <t>2025-07-07T15:00:09</t>
  </si>
  <si>
    <t>2025-07-07T19:48:05</t>
  </si>
  <si>
    <t>SA0000000000000000000667</t>
  </si>
  <si>
    <t>2025-07-09T11:52:12</t>
  </si>
  <si>
    <t>2025-07-09T15:55:58</t>
  </si>
  <si>
    <t>SA0000000000000000000668</t>
  </si>
  <si>
    <t>2025-07-10T14:35:54</t>
  </si>
  <si>
    <t>2025-07-10T18:20:23</t>
  </si>
  <si>
    <t>SA0000000000000000000669</t>
  </si>
  <si>
    <t>2025-07-15T08:21:34</t>
  </si>
  <si>
    <t>2025-07-15T18:27:22</t>
  </si>
  <si>
    <t>SA0000000000000000000670</t>
  </si>
  <si>
    <t>2025-07-17T11:06:45</t>
  </si>
  <si>
    <t>2025-07-17T15:50:59</t>
  </si>
  <si>
    <t>SA0000000000000000000671</t>
  </si>
  <si>
    <t>2025-07-21T18:58:19</t>
  </si>
  <si>
    <t>2025-07-21T20:58:19</t>
  </si>
  <si>
    <t>SA0000000000000000000672</t>
  </si>
  <si>
    <t>2025-07-26T13:25:46</t>
  </si>
  <si>
    <t>2025-07-26T15:25:46</t>
  </si>
  <si>
    <t>SA0000000000000000000673</t>
  </si>
  <si>
    <t>2025-07-26T22:55:29</t>
  </si>
  <si>
    <t>2025-07-27T00:55:29</t>
  </si>
  <si>
    <t>SA0000000000000000000674</t>
  </si>
  <si>
    <t>2025-07-27T07:28:04</t>
  </si>
  <si>
    <t>2025-07-27T11:15:12</t>
  </si>
  <si>
    <t>SA0000000000000000000675</t>
  </si>
  <si>
    <t>2025-07-28T19:09:41</t>
  </si>
  <si>
    <t>2025-07-28T21:09:41</t>
  </si>
  <si>
    <t>SA0000000000000000000676</t>
  </si>
  <si>
    <t>2025-07-30T12:31:59</t>
  </si>
  <si>
    <t>2025-07-30T13:24:40</t>
  </si>
  <si>
    <t>SA0000000000000000000677</t>
  </si>
  <si>
    <t>2025-08-02T08:11:49</t>
  </si>
  <si>
    <t>2025-08-02T17:58:48</t>
  </si>
  <si>
    <t>SA0000000000000000000678</t>
  </si>
  <si>
    <t>2025-08-03T14:31:58</t>
  </si>
  <si>
    <t>2025-08-03T16:31:58</t>
  </si>
  <si>
    <t>SA0000000000000000000679</t>
  </si>
  <si>
    <t>2025-08-04T03:21:43</t>
  </si>
  <si>
    <t>2025-08-04T03:52:04</t>
  </si>
  <si>
    <t>SA0000000000000000000680</t>
  </si>
  <si>
    <t>2025-08-04T22:51:21</t>
  </si>
  <si>
    <t>2025-08-05T00:51:21</t>
  </si>
  <si>
    <t>SA0000000000000000000681</t>
  </si>
  <si>
    <t>2025-08-05T07:28:53</t>
  </si>
  <si>
    <t>2025-08-05T21:23:30</t>
  </si>
  <si>
    <t>SA0000000000000000000682</t>
  </si>
  <si>
    <t>2025-08-08T10:31:51</t>
  </si>
  <si>
    <t>2025-08-08T10:59:39</t>
  </si>
  <si>
    <t>SA0000000000000000000683</t>
  </si>
  <si>
    <t>2025-08-11T17:34:47</t>
  </si>
  <si>
    <t>2025-08-11T19:34:47</t>
  </si>
  <si>
    <t>SA0000000000000000000684</t>
  </si>
  <si>
    <t>2025-08-15T12:39:08</t>
  </si>
  <si>
    <t>2025-08-15T19:24:37</t>
  </si>
  <si>
    <t>SA0000000000000000000685</t>
  </si>
  <si>
    <t>2025-08-16T19:10:18</t>
  </si>
  <si>
    <t>2025-08-16T20:48:23</t>
  </si>
  <si>
    <t>SA0000000000000000000686</t>
  </si>
  <si>
    <t>2025-08-18T21:19:33</t>
  </si>
  <si>
    <t>2025-08-18T23:19:33</t>
  </si>
  <si>
    <t>SA0000000000000000000687</t>
  </si>
  <si>
    <t>2025-08-19T16:39:48</t>
  </si>
  <si>
    <t>2025-08-19T18:40:16</t>
  </si>
  <si>
    <t>SA0000000000000000000688</t>
  </si>
  <si>
    <t>2025-08-20T08:34:05</t>
  </si>
  <si>
    <t>2025-08-20T20:38:02</t>
  </si>
  <si>
    <t>SA0000000000000000000689</t>
  </si>
  <si>
    <t>2025-08-23T15:57:47</t>
  </si>
  <si>
    <t>2025-08-23T17:49:22</t>
  </si>
  <si>
    <t>SA0000000000000000000690</t>
  </si>
  <si>
    <t>2025-08-24T12:59:56</t>
  </si>
  <si>
    <t>2025-08-24T14:59:56</t>
  </si>
  <si>
    <t>SA0000000000000000000691</t>
  </si>
  <si>
    <t>2025-08-25T12:29:04</t>
  </si>
  <si>
    <t>2025-08-25T14:29:04</t>
  </si>
  <si>
    <t>SA0000000000000000000692</t>
  </si>
  <si>
    <t>2025-08-26T07:58:46</t>
  </si>
  <si>
    <t>2025-08-26T18:13:59</t>
  </si>
  <si>
    <t>SA0000000000000000000693</t>
  </si>
  <si>
    <t>2025-08-29T19:20:55</t>
  </si>
  <si>
    <t>2025-08-29T21:20:55</t>
  </si>
  <si>
    <t>SA0000000000000000000694</t>
  </si>
  <si>
    <t>2025-08-30T22:03:23</t>
  </si>
  <si>
    <t>2025-08-31T00:03:23</t>
  </si>
  <si>
    <t>SA0000000000000000000695</t>
  </si>
  <si>
    <t>2025-08-31T10:56:11</t>
  </si>
  <si>
    <t>2025-08-31T14:58:01</t>
  </si>
  <si>
    <t>SA0000000000000000000696</t>
  </si>
  <si>
    <t>2025-09-02T07:17:57</t>
  </si>
  <si>
    <t>2025-09-02T19:41:27</t>
  </si>
  <si>
    <t>SA0000000000000000000697</t>
  </si>
  <si>
    <t>2025-09-03T15:31:15</t>
  </si>
  <si>
    <t>2025-09-03T17:31:15</t>
  </si>
  <si>
    <t>SA0000000000000000000698</t>
  </si>
  <si>
    <t>2025-09-04T03:16:33</t>
  </si>
  <si>
    <t>2025-09-04T03:16:35</t>
  </si>
  <si>
    <t>SA0000000000000000000699</t>
  </si>
  <si>
    <t>2025-09-05T08:33:00</t>
  </si>
  <si>
    <t>2025-09-05T10:33:00</t>
  </si>
  <si>
    <t>SA0000000000000000000700</t>
  </si>
  <si>
    <t>2025-09-07T11:24:10</t>
  </si>
  <si>
    <t>2025-09-07T15:13:10</t>
  </si>
  <si>
    <t>SA0000000000000000000701</t>
  </si>
  <si>
    <t>2025-09-08T08:42:55</t>
  </si>
  <si>
    <t>2025-09-08T20:20:04</t>
  </si>
  <si>
    <t>SA0000000000000000000702</t>
  </si>
  <si>
    <t>2025-09-10T16:43:40</t>
  </si>
  <si>
    <t>2025-09-10T18:43:40</t>
  </si>
  <si>
    <t>SA0000000000000000000703</t>
  </si>
  <si>
    <t>2025-09-11T17:27:35</t>
  </si>
  <si>
    <t>2025-09-11T19:27:35</t>
  </si>
  <si>
    <t>SA0000000000000000000704</t>
  </si>
  <si>
    <t>2025-09-12T11:53:56</t>
  </si>
  <si>
    <t>2025-09-12T17:30:23</t>
  </si>
  <si>
    <t>SA0000000000000000000705</t>
  </si>
  <si>
    <t>2025-09-14T14:22:51</t>
  </si>
  <si>
    <t>2025-09-14T22:23:10</t>
  </si>
  <si>
    <t>SA0000000000000000000706</t>
  </si>
  <si>
    <t>2025-09-15T09:33:50</t>
  </si>
  <si>
    <t>2025-09-15T14:51:29</t>
  </si>
  <si>
    <t>SA0000000000000000000707</t>
  </si>
  <si>
    <t>2025-09-17T18:50:32</t>
  </si>
  <si>
    <t>2025-09-17T20:50:32</t>
  </si>
  <si>
    <t>SA0000000000000000000708</t>
  </si>
  <si>
    <t>2025-09-18T12:33:38</t>
  </si>
  <si>
    <t>2025-09-18T21:41:08</t>
  </si>
  <si>
    <t>SA0000000000000000000709</t>
  </si>
  <si>
    <t>2025-09-21T21:58:22</t>
  </si>
  <si>
    <t>2025-09-21T23:58:22</t>
  </si>
  <si>
    <t>SA0000000000000000000710</t>
  </si>
  <si>
    <t>2025-09-22T09:15:31</t>
  </si>
  <si>
    <t>2025-09-22T11:43:16</t>
  </si>
  <si>
    <t>SA0000000000000000000711</t>
  </si>
  <si>
    <t>2025-09-25T18:30:53</t>
  </si>
  <si>
    <t>2025-09-25T20:30:53</t>
  </si>
  <si>
    <t>SA0000000000000000000712</t>
  </si>
  <si>
    <t>2025-09-26T09:24:37</t>
  </si>
  <si>
    <t>2025-09-26T16:17:19</t>
  </si>
  <si>
    <t>SA0000000000000000000713</t>
  </si>
  <si>
    <t>2025-09-28T11:09:52</t>
  </si>
  <si>
    <t>2025-09-28T14:23:47</t>
  </si>
  <si>
    <t>SA0000000000000000000714</t>
  </si>
  <si>
    <t>2025-09-28T13:44:36</t>
  </si>
  <si>
    <t>2025-09-28T15:44:36</t>
  </si>
  <si>
    <t>SA0000000000000000000715</t>
  </si>
  <si>
    <t>2025-09-29T09:19:30</t>
  </si>
  <si>
    <t>2025-09-29T20:42:01</t>
  </si>
  <si>
    <t>SA0000000000000000000716</t>
  </si>
  <si>
    <t>2025-10-03T22:05:26</t>
  </si>
  <si>
    <t>2025-10-04T00:05:26</t>
  </si>
  <si>
    <t>SA0000000000000000000717</t>
  </si>
  <si>
    <t>2025-10-05T03:39:46</t>
  </si>
  <si>
    <t>2025-10-05T03:59:08</t>
  </si>
  <si>
    <t>SA0000000000000000000718</t>
  </si>
  <si>
    <t>2025-10-05T17:23:55</t>
  </si>
  <si>
    <t>2025-10-05T19:23:55</t>
  </si>
  <si>
    <t>SA0000000000000000000719</t>
  </si>
  <si>
    <t>2025-10-06T10:41:53</t>
  </si>
  <si>
    <t>2025-10-06T21:36:39</t>
  </si>
  <si>
    <t>SA0000000000000000000720</t>
  </si>
  <si>
    <t>2025-10-07T07:37:45</t>
  </si>
  <si>
    <t>2025-10-07T20:56:44</t>
  </si>
  <si>
    <t>SA0000000000000000000721</t>
  </si>
  <si>
    <t>2025-10-08T12:26:48</t>
  </si>
  <si>
    <t>2025-10-08T16:10:27</t>
  </si>
  <si>
    <t>SA0000000000000000000722</t>
  </si>
  <si>
    <t>2025-10-09T16:19:14</t>
  </si>
  <si>
    <t>2025-10-09T18:19:14</t>
  </si>
  <si>
    <t>SA0000000000000000000723</t>
  </si>
  <si>
    <t>2025-10-10T13:43:50</t>
  </si>
  <si>
    <t>2025-10-10T15:43:50</t>
  </si>
  <si>
    <t>SA0000000000000000000724</t>
  </si>
  <si>
    <t>2025-10-11T15:00:20</t>
  </si>
  <si>
    <t>2025-10-11T16:34:22</t>
  </si>
  <si>
    <t>SA0000000000000000000725</t>
  </si>
  <si>
    <t>2025-10-13T07:43:16</t>
  </si>
  <si>
    <t>2025-10-13T15:19:59</t>
  </si>
  <si>
    <t>SA0000000000000000000726</t>
  </si>
  <si>
    <t>2025-10-14T18:26:08</t>
  </si>
  <si>
    <t>2025-10-14T20:26:08</t>
  </si>
  <si>
    <t>SA0000000000000000000727</t>
  </si>
  <si>
    <t>2025-10-15T08:12:16</t>
  </si>
  <si>
    <t>2025-10-15T09:41:14</t>
  </si>
  <si>
    <t>SA0000000000000000000728</t>
  </si>
  <si>
    <t>2025-10-17T17:28:59</t>
  </si>
  <si>
    <t>2025-10-17T19:28:59</t>
  </si>
  <si>
    <t>SA0000000000000000000729</t>
  </si>
  <si>
    <t>2025-10-26T16:20:15</t>
  </si>
  <si>
    <t>2025-10-26T17:46:17</t>
  </si>
  <si>
    <t>SA0000000000000000000730</t>
  </si>
  <si>
    <t>2025-10-27T12:06:19</t>
  </si>
  <si>
    <t>2025-10-27T14:06:19</t>
  </si>
  <si>
    <t>SA0000000000000000000731</t>
  </si>
  <si>
    <t>2025-10-30T10:43:35</t>
  </si>
  <si>
    <t>2025-10-30T11:40:40</t>
  </si>
  <si>
    <t>SA0000000000000000000732</t>
  </si>
  <si>
    <t>2025-10-30T10:43:25</t>
  </si>
  <si>
    <t>2025-10-30T18:12:50</t>
  </si>
  <si>
    <t>SA0000000000000000000733</t>
  </si>
  <si>
    <t>2025-11-02T03:53:18</t>
  </si>
  <si>
    <t>2025-11-02T05:53:18</t>
  </si>
  <si>
    <t>SA0000000000000000000734</t>
  </si>
  <si>
    <t>2025-11-02T09:19:16</t>
  </si>
  <si>
    <t>2025-11-02T11:47:12</t>
  </si>
  <si>
    <t>SA0000000000000000000735</t>
  </si>
  <si>
    <t>2025-11-03T11:43:19</t>
  </si>
  <si>
    <t>2025-11-03T17:37:39</t>
  </si>
  <si>
    <t>SA0000000000000000000736</t>
  </si>
  <si>
    <t>2025-11-06T13:33:29</t>
  </si>
  <si>
    <t>2025-11-06T19:12:31</t>
  </si>
  <si>
    <t>SA0000000000000000000737</t>
  </si>
  <si>
    <t>2025-11-07T16:21:36</t>
  </si>
  <si>
    <t>2025-11-07T18:21:36</t>
  </si>
  <si>
    <t>SA0000000000000000000738</t>
  </si>
  <si>
    <t>2025-11-08T22:27:09</t>
  </si>
  <si>
    <t>2025-11-09T00:27:09</t>
  </si>
  <si>
    <t>SA0000000000000000000739</t>
  </si>
  <si>
    <t>2025-11-09T21:48:18</t>
  </si>
  <si>
    <t>2025-11-09T23:48:18</t>
  </si>
  <si>
    <t>SA0000000000000000000740</t>
  </si>
  <si>
    <t>2025-11-10T18:23:58</t>
  </si>
  <si>
    <t>2025-11-10T20:23:58</t>
  </si>
  <si>
    <t>SA0000000000000000000741</t>
  </si>
  <si>
    <t>2025-11-12T14:06:51</t>
  </si>
  <si>
    <t>2025-11-12T16:06:51</t>
  </si>
  <si>
    <t>SA0000000000000000000742</t>
  </si>
  <si>
    <t>2025-11-15T08:14:59</t>
  </si>
  <si>
    <t>2025-11-15T15:30:29</t>
  </si>
  <si>
    <t>SA0000000000000000000743</t>
  </si>
  <si>
    <t>2025-11-16T13:17:25</t>
  </si>
  <si>
    <t>2025-11-16T20:45:29</t>
  </si>
  <si>
    <t>SA0000000000000000000744</t>
  </si>
  <si>
    <t>2025-11-19T11:14:57</t>
  </si>
  <si>
    <t>2025-11-19T13:14:57</t>
  </si>
  <si>
    <t>SA0000000000000000000745</t>
  </si>
  <si>
    <t>2025-11-20T16:02:17</t>
  </si>
  <si>
    <t>2025-11-20T18:02:17</t>
  </si>
  <si>
    <t>SA0000000000000000000746</t>
  </si>
  <si>
    <t>2025-11-24T18:33:47</t>
  </si>
  <si>
    <t>2025-11-24T20:29:17</t>
  </si>
  <si>
    <t>SA0000000000000000000747</t>
  </si>
  <si>
    <t>2025-11-26T13:04:00</t>
  </si>
  <si>
    <t>2025-11-26T13:40:21</t>
  </si>
  <si>
    <t>SA0000000000000000000748</t>
  </si>
  <si>
    <t>2025-11-27T11:31:08</t>
  </si>
  <si>
    <t>2025-11-27T15:56:17</t>
  </si>
  <si>
    <t>SA0000000000000000000749</t>
  </si>
  <si>
    <t>2025-11-28T15:49:46</t>
  </si>
  <si>
    <t>2025-11-28T19:06:09</t>
  </si>
  <si>
    <t>SA0000000000000000000750</t>
  </si>
  <si>
    <t>2025-12-02T03:39:06</t>
  </si>
  <si>
    <t>2025-12-02T05:39:06</t>
  </si>
  <si>
    <t>SA0000000000000000000751</t>
  </si>
  <si>
    <t>2025-12-02T20:30:30</t>
  </si>
  <si>
    <t>2025-12-02T22:30:30</t>
  </si>
  <si>
    <t>SA0000000000000000000752</t>
  </si>
  <si>
    <t>2025-12-03T08:38:50</t>
  </si>
  <si>
    <t>2025-12-03T17:58:27</t>
  </si>
  <si>
    <t>SA0000000000000000000753</t>
  </si>
  <si>
    <t>2025-12-04T13:02:43</t>
  </si>
  <si>
    <t>2025-12-04T15:02:43</t>
  </si>
  <si>
    <t>SA0000000000000000000754</t>
  </si>
  <si>
    <t>2025-12-05T13:23:19</t>
  </si>
  <si>
    <t>2025-12-05T15:23:19</t>
  </si>
  <si>
    <t>SA0000000000000000000755</t>
  </si>
  <si>
    <t>2025-12-06T08:54:01</t>
  </si>
  <si>
    <t>2025-12-06T17:57:47</t>
  </si>
  <si>
    <t>SA0000000000000000000756</t>
  </si>
  <si>
    <t>2025-12-07T14:50:53</t>
  </si>
  <si>
    <t>2025-12-07T16:50:53</t>
  </si>
  <si>
    <t>SA0000000000000000000757</t>
  </si>
  <si>
    <t>2025-12-09T20:35:00</t>
  </si>
  <si>
    <t>2025-12-09T22:35:00</t>
  </si>
  <si>
    <t>SA0000000000000000000758</t>
  </si>
  <si>
    <t>2025-12-10T19:48:24</t>
  </si>
  <si>
    <t>2025-12-10T21:48:24</t>
  </si>
  <si>
    <t>SA0000000000000000000759</t>
  </si>
  <si>
    <t>2025-12-11T17:47:44</t>
  </si>
  <si>
    <t>2025-12-11T20:27:22</t>
  </si>
  <si>
    <t>SA0000000000000000000760</t>
  </si>
  <si>
    <t>2025-12-13T18:12:21</t>
  </si>
  <si>
    <t>2025-12-13T20:12:21</t>
  </si>
  <si>
    <t>SA0000000000000000000761</t>
  </si>
  <si>
    <t>2025-12-15T19:46:18</t>
  </si>
  <si>
    <t>2025-12-15T21:46:18</t>
  </si>
  <si>
    <t>SA0000000000000000000762</t>
  </si>
  <si>
    <t>2025-12-16T19:27:13</t>
  </si>
  <si>
    <t>2025-12-16T21:27:13</t>
  </si>
  <si>
    <t>SA0000000000000000000763</t>
  </si>
  <si>
    <t>2025-12-17T11:02:09</t>
  </si>
  <si>
    <t>2025-12-17T13:02:09</t>
  </si>
  <si>
    <t>SA0000000000000000000764</t>
  </si>
  <si>
    <t>2025-12-18T17:35:36</t>
  </si>
  <si>
    <t>2025-12-18T19:35:36</t>
  </si>
  <si>
    <t>SA0000000000000000000765</t>
  </si>
  <si>
    <t>2025-12-23T15:37:01</t>
  </si>
  <si>
    <t>2025-12-23T17:37:01</t>
  </si>
  <si>
    <t>SA0000000000000000000766</t>
  </si>
  <si>
    <t>2025-12-31T10:06:36</t>
  </si>
  <si>
    <t>2025-12-31T11:13:42</t>
  </si>
  <si>
    <t>SA0000000000000000000767</t>
  </si>
  <si>
    <t>2025-12-31T18:14:38</t>
  </si>
  <si>
    <t>2025-12-31T18:59:24</t>
  </si>
  <si>
    <t>SA0000000000000000000768</t>
  </si>
  <si>
    <t>2026-01-03T03:54:48</t>
  </si>
  <si>
    <t>2026-01-03T05:54:48</t>
  </si>
  <si>
    <t>SA0000000000000000000769</t>
  </si>
  <si>
    <t>2026-01-03T22:58:07</t>
  </si>
  <si>
    <t>2026-01-04T00:58:07</t>
  </si>
  <si>
    <t>SA0000000000000000000770</t>
  </si>
  <si>
    <t>2026-01-06T20:04:42</t>
  </si>
  <si>
    <t>2026-01-06T21:12:08</t>
  </si>
  <si>
    <t>SA0000000000000000000771</t>
  </si>
  <si>
    <t>2026-01-08T14:22:24</t>
  </si>
  <si>
    <t>2026-01-08T19:15:33</t>
  </si>
  <si>
    <t>SA0000000000000000000772</t>
  </si>
  <si>
    <t>2026-01-10T15:35:50</t>
  </si>
  <si>
    <t>2026-01-10T21:21:12</t>
  </si>
  <si>
    <t>SA0000000000000000000773</t>
  </si>
  <si>
    <t>2026-01-11T11:56:58</t>
  </si>
  <si>
    <t>2026-01-11T13:56:58</t>
  </si>
  <si>
    <t>SA0000000000000000000774</t>
  </si>
  <si>
    <t>2026-01-13T08:53:11</t>
  </si>
  <si>
    <t>2026-01-13T10:53:11</t>
  </si>
  <si>
    <t>SA0000000000000000000775</t>
  </si>
  <si>
    <t>2026-01-14T20:31:41</t>
  </si>
  <si>
    <t>2026-01-14T22:31:41</t>
  </si>
  <si>
    <t>SA0000000000000000000776</t>
  </si>
  <si>
    <t>2026-01-16T16:19:19</t>
  </si>
  <si>
    <t>2026-01-16T19:04:05</t>
  </si>
  <si>
    <t>SA0000000000000000000777</t>
  </si>
  <si>
    <t>2026-01-18T19:04:13</t>
  </si>
  <si>
    <t>2026-01-18T21:04:13</t>
  </si>
  <si>
    <t>SA0000000000000000000778</t>
  </si>
  <si>
    <t>2026-01-21T15:52:01</t>
  </si>
  <si>
    <t>2026-01-21T17:54:57</t>
  </si>
  <si>
    <t>SA0000000000000000000779</t>
  </si>
  <si>
    <t>2026-01-23T12:28:05</t>
  </si>
  <si>
    <t>2026-01-23T12:47:50</t>
  </si>
  <si>
    <t>SA0000000000000000000780</t>
  </si>
  <si>
    <t>2026-01-24T20:56:48</t>
  </si>
  <si>
    <t>2026-01-24T22:56:48</t>
  </si>
  <si>
    <t>SA0000000000000000000781</t>
  </si>
  <si>
    <t>2026-01-25T08:24:22</t>
  </si>
  <si>
    <t>2026-01-25T12:44:31</t>
  </si>
  <si>
    <t>SA0000000000000000000782</t>
  </si>
  <si>
    <t>2026-01-25T08:56:01</t>
  </si>
  <si>
    <t>2026-01-25T21:20:03</t>
  </si>
  <si>
    <t>SA0000000000000000000783</t>
  </si>
  <si>
    <t>2026-01-26T20:42:20</t>
  </si>
  <si>
    <t>2026-01-26T22:42:20</t>
  </si>
  <si>
    <t>SA0000000000000000000784</t>
  </si>
  <si>
    <t>2026-01-27T16:18:22</t>
  </si>
  <si>
    <t>2026-01-27T18:18:22</t>
  </si>
  <si>
    <t>SA0000000000000000000785</t>
  </si>
  <si>
    <t>📊  CREDIT SCORING CALCULATOR  —  CLT007 A Abdullah</t>
  </si>
  <si>
    <t>ACC-151</t>
  </si>
  <si>
    <t>2025-01-03T03:16:52</t>
  </si>
  <si>
    <t>2025-01-03T03:19:21</t>
  </si>
  <si>
    <t>Personal Loan Payment - Riyad Bank Personal Finance</t>
  </si>
  <si>
    <t>Riyad Bank Personal Finance</t>
  </si>
  <si>
    <t>SA0000000000000000000786</t>
  </si>
  <si>
    <t>Period: 2025-01 → 2025-12  |  12 months  |  169 transactions  |  Income = Salary (KSAOB.Deposit) per month</t>
  </si>
  <si>
    <t>2025-01-03T22:21:05</t>
  </si>
  <si>
    <t>2025-01-04T00:21:05</t>
  </si>
  <si>
    <t>SA0000000000000000000787</t>
  </si>
  <si>
    <t>2025-01-05T10:30:33</t>
  </si>
  <si>
    <t>2025-01-05T20:46:11</t>
  </si>
  <si>
    <t>SA0000000000000000000788</t>
  </si>
  <si>
    <t>2025-01-09T18:25:38</t>
  </si>
  <si>
    <t>2025-01-09T20:25:38</t>
  </si>
  <si>
    <t>SA0000000000000000000789</t>
  </si>
  <si>
    <t>2025-01-18T10:14:26</t>
  </si>
  <si>
    <t>2025-01-18T12:14:26</t>
  </si>
  <si>
    <t>SA0000000000000000000790</t>
  </si>
  <si>
    <t>2025-01-19T11:20:34</t>
  </si>
  <si>
    <t>2025-01-19T13:06:00</t>
  </si>
  <si>
    <t>SA0000000000000000000791</t>
  </si>
  <si>
    <t>2025-01-25T12:34:56</t>
  </si>
  <si>
    <t>2025-01-25T16:00:50</t>
  </si>
  <si>
    <t>SA0000000000000000000792</t>
  </si>
  <si>
    <t>2025-01-26T14:02:46</t>
  </si>
  <si>
    <t>2025-01-26T16:02:46</t>
  </si>
  <si>
    <t>SA0000000000000000000793</t>
  </si>
  <si>
    <t>2025-01-27T17:16:04</t>
  </si>
  <si>
    <t>2025-01-27T19:16:04</t>
  </si>
  <si>
    <t>SA0000000000000000000794</t>
  </si>
  <si>
    <t>2025-01-29T08:27:21</t>
  </si>
  <si>
    <t>2025-01-29T08:41:56</t>
  </si>
  <si>
    <t>Salary - SABIC - Jubail Plant / راتب</t>
  </si>
  <si>
    <t>SABIC - Jubail Plant</t>
  </si>
  <si>
    <t>SA0000000000000000000795</t>
  </si>
  <si>
    <t>2025-01-30T11:45:34</t>
  </si>
  <si>
    <t>2025-01-30T13:18:37</t>
  </si>
  <si>
    <t>SA0000000000000000000796</t>
  </si>
  <si>
    <t>2025-01-31T21:08:52</t>
  </si>
  <si>
    <t>2025-01-31T23:08:52</t>
  </si>
  <si>
    <t>SA0000000000000000000797</t>
  </si>
  <si>
    <t>2025-02-02T10:55:33</t>
  </si>
  <si>
    <t>2025-02-02T21:55:03</t>
  </si>
  <si>
    <t>SA0000000000000000000798</t>
  </si>
  <si>
    <t>2025-02-03T21:40:44</t>
  </si>
  <si>
    <t>2025-02-03T23:40:44</t>
  </si>
  <si>
    <t>SA0000000000000000000799</t>
  </si>
  <si>
    <t>2025-02-05T03:34:24</t>
  </si>
  <si>
    <t>2025-02-05T03:56:35</t>
  </si>
  <si>
    <t>SA0000000000000000000800</t>
  </si>
  <si>
    <t>2025-02-05T18:23:04</t>
  </si>
  <si>
    <t>2025-02-05T20:23:04</t>
  </si>
  <si>
    <t>SA0000000000000000000801</t>
  </si>
  <si>
    <t>2025-02-06T22:00:58</t>
  </si>
  <si>
    <t>2025-02-07T00:00:58</t>
  </si>
  <si>
    <t>SA0000000000000000000802</t>
  </si>
  <si>
    <t>2025-02-08T22:14:30</t>
  </si>
  <si>
    <t>2025-02-09T00:14:30</t>
  </si>
  <si>
    <t>SA0000000000000000000803</t>
  </si>
  <si>
    <t>2025-02-12T21:15:06</t>
  </si>
  <si>
    <t>2025-02-12T23:15:06</t>
  </si>
  <si>
    <t>SA0000000000000000000804</t>
  </si>
  <si>
    <t>2025-02-14T16:15:45</t>
  </si>
  <si>
    <t>2025-02-14T18:15:45</t>
  </si>
  <si>
    <t>SA0000000000000000000805</t>
  </si>
  <si>
    <t>2025-02-16T19:00:34</t>
  </si>
  <si>
    <t>2025-02-16T21:00:34</t>
  </si>
  <si>
    <t>SA0000000000000000000806</t>
  </si>
  <si>
    <t>2025-02-17T10:48:18</t>
  </si>
  <si>
    <t>2025-02-17T11:40:57</t>
  </si>
  <si>
    <t>SA0000000000000000000807</t>
  </si>
  <si>
    <t>2025-02-20T17:28:59</t>
  </si>
  <si>
    <t>2025-02-20T19:28:59</t>
  </si>
  <si>
    <t>SA0000000000000000000808</t>
  </si>
  <si>
    <t>2025-02-23T14:16:01</t>
  </si>
  <si>
    <t>2025-02-23T16:38:30</t>
  </si>
  <si>
    <t>SA0000000000000000000809</t>
  </si>
  <si>
    <t>2025-02-24T12:10:15</t>
  </si>
  <si>
    <t>2025-02-24T14:10:15</t>
  </si>
  <si>
    <t>SA0000000000000000000810</t>
  </si>
  <si>
    <t>2025-02-25T14:41:14</t>
  </si>
  <si>
    <t>2025-02-25T16:41:14</t>
  </si>
  <si>
    <t>SA0000000000000000000811</t>
  </si>
  <si>
    <t>2025-02-27T21:12:07</t>
  </si>
  <si>
    <t>2025-02-27T23:12:07</t>
  </si>
  <si>
    <t>SA0000000000000000000812</t>
  </si>
  <si>
    <t>2025-02-28T11:24:24</t>
  </si>
  <si>
    <t>2025-02-28T13:24:24</t>
  </si>
  <si>
    <t>SA0000000000000000000813</t>
  </si>
  <si>
    <t>2025-03-03T17:34:50</t>
  </si>
  <si>
    <t>2025-03-03T19:34:50</t>
  </si>
  <si>
    <t>SA0000000000000000000814</t>
  </si>
  <si>
    <t>MEDIAN(MIN(T18,T29), MIN(T19,T29), MIN(T20,T29))
Takes salary from rows 18 (2025-10), 19 (2025-11), 20 (2025-12).
Each capped at spike threshold before MEDIAN → spike months don't inflate score.</t>
  </si>
  <si>
    <t>2025-03-04T03:33:31</t>
  </si>
  <si>
    <t>2025-03-04T03:43:53</t>
  </si>
  <si>
    <t>SA0000000000000000000815</t>
  </si>
  <si>
    <t>★ Last Month Salary  (2025-12)  →  Factor 5 (Salary Category)</t>
  </si>
  <si>
    <t>2025-03-05T10:26:08</t>
  </si>
  <si>
    <t>2025-03-05T20:47:57</t>
  </si>
  <si>
    <t>SA0000000000000000000816</t>
  </si>
  <si>
    <t>★ Last Month Loan Payments  (2025-12)  →  Factor 3</t>
  </si>
  <si>
    <t>2025-03-06T13:00:34</t>
  </si>
  <si>
    <t>2025-03-06T22:44:08</t>
  </si>
  <si>
    <t>SA0000000000000000000817</t>
  </si>
  <si>
    <t>2025-03-07T17:51:31</t>
  </si>
  <si>
    <t>2025-03-07T19:51:31</t>
  </si>
  <si>
    <t>SA0000000000000000000818</t>
  </si>
  <si>
    <t>2025-03-09T13:36:27</t>
  </si>
  <si>
    <t>2025-03-09T18:12:44</t>
  </si>
  <si>
    <t>SA0000000000000000000819</t>
  </si>
  <si>
    <t>2025-03-11T08:17:15</t>
  </si>
  <si>
    <t>2025-03-11T09:06:19</t>
  </si>
  <si>
    <t>SA0000000000000000000820</t>
  </si>
  <si>
    <t>2025-03-15T09:34:33</t>
  </si>
  <si>
    <t>2025-03-15T10:48:48</t>
  </si>
  <si>
    <t>SA0000000000000000000821</t>
  </si>
  <si>
    <t>2025-03-17T16:49:39</t>
  </si>
  <si>
    <t>2025-03-17T18:49:39</t>
  </si>
  <si>
    <t>SA0000000000000000000822</t>
  </si>
  <si>
    <t>2025-03-19T21:14:10</t>
  </si>
  <si>
    <t>2025-03-19T23:14:10</t>
  </si>
  <si>
    <t>SA0000000000000000000823</t>
  </si>
  <si>
    <t>2025-03-20T22:01:15</t>
  </si>
  <si>
    <t>2025-03-21T00:01:15</t>
  </si>
  <si>
    <t>SA0000000000000000000824</t>
  </si>
  <si>
    <t>2025-03-26T09:02:24</t>
  </si>
  <si>
    <t>2025-03-26T11:02:24</t>
  </si>
  <si>
    <t>SA0000000000000000000825</t>
  </si>
  <si>
    <t>2025-03-29T22:37:51</t>
  </si>
  <si>
    <t>2025-03-30T00:37:51</t>
  </si>
  <si>
    <t>SA0000000000000000000826</t>
  </si>
  <si>
    <t>2025-03-31T12:19:25</t>
  </si>
  <si>
    <t>2025-03-31T14:08:20</t>
  </si>
  <si>
    <t>SA0000000000000000000827</t>
  </si>
  <si>
    <t>2025-03-31T10:56:31</t>
  </si>
  <si>
    <t>2025-03-31T21:11:13</t>
  </si>
  <si>
    <t>SA0000000000000000000828</t>
  </si>
  <si>
    <t>2025-04-03T10:42:07</t>
  </si>
  <si>
    <t>2025-04-03T12:42:07</t>
  </si>
  <si>
    <t>SA0000000000000000000829</t>
  </si>
  <si>
    <t>2025-04-04T10:36:06</t>
  </si>
  <si>
    <t>2025-04-04T20:51:20</t>
  </si>
  <si>
    <t>SA0000000000000000000830</t>
  </si>
  <si>
    <t>2025-04-05T03:43:13</t>
  </si>
  <si>
    <t>2025-04-05T05:43:13</t>
  </si>
  <si>
    <t>SA0000000000000000000831</t>
  </si>
  <si>
    <t>2025-04-06T11:50:26</t>
  </si>
  <si>
    <t>2025-04-06T16:46:58</t>
  </si>
  <si>
    <t>SA0000000000000000000832</t>
  </si>
  <si>
    <t>2025-04-10T09:03:34</t>
  </si>
  <si>
    <t>2025-04-10T20:38:25</t>
  </si>
  <si>
    <t>SA0000000000000000000833</t>
  </si>
  <si>
    <t>2025-04-15T17:39:51</t>
  </si>
  <si>
    <t>2025-04-15T19:39:51</t>
  </si>
  <si>
    <t>SA0000000000000000000834</t>
  </si>
  <si>
    <t>2025-04-18T13:39:40</t>
  </si>
  <si>
    <t>2025-04-18T22:18:11</t>
  </si>
  <si>
    <t>SA0000000000000000000835</t>
  </si>
  <si>
    <t>2025-04-19T07:25:48</t>
  </si>
  <si>
    <t>2025-04-19T15:29:19</t>
  </si>
  <si>
    <t>SA0000000000000000000836</t>
  </si>
  <si>
    <t>2025-04-21T08:26:42</t>
  </si>
  <si>
    <t>2025-04-21T22:02:50</t>
  </si>
  <si>
    <t>SA0000000000000000000837</t>
  </si>
  <si>
    <t>2025-04-22T11:22:12</t>
  </si>
  <si>
    <t>2025-04-22T20:22:50</t>
  </si>
  <si>
    <t>SA0000000000000000000838</t>
  </si>
  <si>
    <t>2025-04-26T14:13:46</t>
  </si>
  <si>
    <t>2025-04-26T16:13:46</t>
  </si>
  <si>
    <t>SA0000000000000000000839</t>
  </si>
  <si>
    <t>2025-04-27T10:43:43</t>
  </si>
  <si>
    <t>2025-04-27T13:54:24</t>
  </si>
  <si>
    <t>SA0000000000000000000840</t>
  </si>
  <si>
    <t>2025-04-29T13:39:41</t>
  </si>
  <si>
    <t>2025-04-29T14:10:47</t>
  </si>
  <si>
    <t>SA0000000000000000000841</t>
  </si>
  <si>
    <t>2025-05-03T12:04:14</t>
  </si>
  <si>
    <t>2025-05-03T17:50:08</t>
  </si>
  <si>
    <t>SA0000000000000000000842</t>
  </si>
  <si>
    <t>2025-05-05T03:40:30</t>
  </si>
  <si>
    <t>2025-05-05T05:40:30</t>
  </si>
  <si>
    <t>SA0000000000000000000843</t>
  </si>
  <si>
    <t>2025-05-05T15:46:47</t>
  </si>
  <si>
    <t>2025-05-05T17:46:47</t>
  </si>
  <si>
    <t>SA0000000000000000000844</t>
  </si>
  <si>
    <t>2025-05-07T11:12:29</t>
  </si>
  <si>
    <t>2025-05-07T17:02:28</t>
  </si>
  <si>
    <t>SA0000000000000000000845</t>
  </si>
  <si>
    <t>2025-05-08T15:38:42</t>
  </si>
  <si>
    <t>2025-05-08T17:11:08</t>
  </si>
  <si>
    <t>SA0000000000000000000846</t>
  </si>
  <si>
    <t>2025-05-15T13:41:14</t>
  </si>
  <si>
    <t>2025-05-15T21:21:37</t>
  </si>
  <si>
    <t>SA0000000000000000000847</t>
  </si>
  <si>
    <t>2025-05-16T20:24:42</t>
  </si>
  <si>
    <t>2025-05-16T22:06:53</t>
  </si>
  <si>
    <t>SA0000000000000000000848</t>
  </si>
  <si>
    <t>2025-05-17T08:48:52</t>
  </si>
  <si>
    <t>2025-05-17T09:17:04</t>
  </si>
  <si>
    <t>SA0000000000000000000849</t>
  </si>
  <si>
    <t>2025-05-20T15:57:32</t>
  </si>
  <si>
    <t>2025-05-20T17:57:32</t>
  </si>
  <si>
    <t>SA0000000000000000000850</t>
  </si>
  <si>
    <t>2025-05-22T17:35:38</t>
  </si>
  <si>
    <t>2025-05-22T19:35:38</t>
  </si>
  <si>
    <t>SA0000000000000000000851</t>
  </si>
  <si>
    <t>2025-05-24T22:32:43</t>
  </si>
  <si>
    <t>2025-05-25T00:32:43</t>
  </si>
  <si>
    <t>SA0000000000000000000852</t>
  </si>
  <si>
    <t>2025-05-25T11:11:01</t>
  </si>
  <si>
    <t>2025-05-25T19:22:08</t>
  </si>
  <si>
    <t>SA0000000000000000000853</t>
  </si>
  <si>
    <t>2025-05-28T11:16:29</t>
  </si>
  <si>
    <t>2025-05-28T13:16:29</t>
  </si>
  <si>
    <t>SA0000000000000000000854</t>
  </si>
  <si>
    <t>2025-06-03T03:08:54</t>
  </si>
  <si>
    <t>2025-06-03T03:46:41</t>
  </si>
  <si>
    <t>SA0000000000000000000855</t>
  </si>
  <si>
    <t>2025-06-04T10:59:49</t>
  </si>
  <si>
    <t>2025-06-04T12:59:49</t>
  </si>
  <si>
    <t>SA0000000000000000000856</t>
  </si>
  <si>
    <t>2025-06-06T13:38:44</t>
  </si>
  <si>
    <t>2025-06-06T15:10:17</t>
  </si>
  <si>
    <t>SA0000000000000000000857</t>
  </si>
  <si>
    <t>2025-06-08T20:37:04</t>
  </si>
  <si>
    <t>2025-06-08T22:37:04</t>
  </si>
  <si>
    <t>SA0000000000000000000858</t>
  </si>
  <si>
    <t>2025-06-12T08:06:23</t>
  </si>
  <si>
    <t>2025-06-12T20:30:06</t>
  </si>
  <si>
    <t>SA0000000000000000000859</t>
  </si>
  <si>
    <t>2025-06-13T22:25:04</t>
  </si>
  <si>
    <t>2025-06-14T00:25:04</t>
  </si>
  <si>
    <t>SA0000000000000000000860</t>
  </si>
  <si>
    <t>2025-06-14T07:22:02</t>
  </si>
  <si>
    <t>2025-06-14T13:45:54</t>
  </si>
  <si>
    <t>SA0000000000000000000861</t>
  </si>
  <si>
    <t>2025-06-15T11:48:00</t>
  </si>
  <si>
    <t>2025-06-15T21:02:31</t>
  </si>
  <si>
    <t>SA0000000000000000000862</t>
  </si>
  <si>
    <t>2025-06-20T18:22:07</t>
  </si>
  <si>
    <t>2025-06-20T20:22:07</t>
  </si>
  <si>
    <t>SA0000000000000000000863</t>
  </si>
  <si>
    <t>2025-06-21T18:13:16</t>
  </si>
  <si>
    <t>2025-06-21T20:13:16</t>
  </si>
  <si>
    <t>SA0000000000000000000864</t>
  </si>
  <si>
    <t>2025-06-27T11:22:37</t>
  </si>
  <si>
    <t>2025-06-27T13:22:37</t>
  </si>
  <si>
    <t>SA0000000000000000000865</t>
  </si>
  <si>
    <t>2025-06-28T12:41:59</t>
  </si>
  <si>
    <t>2025-06-28T16:40:27</t>
  </si>
  <si>
    <t>SA0000000000000000000866</t>
  </si>
  <si>
    <t>2025-06-30T18:26:29</t>
  </si>
  <si>
    <t>2025-06-30T20:26:29</t>
  </si>
  <si>
    <t>SA0000000000000000000867</t>
  </si>
  <si>
    <t>2025-07-05T03:16:52</t>
  </si>
  <si>
    <t>2025-07-05T05:16:52</t>
  </si>
  <si>
    <t>SA0000000000000000000868</t>
  </si>
  <si>
    <t>2025-07-05T19:13:11</t>
  </si>
  <si>
    <t>2025-07-05T21:13:11</t>
  </si>
  <si>
    <t>SA0000000000000000000869</t>
  </si>
  <si>
    <t>2025-07-09T08:25:36</t>
  </si>
  <si>
    <t>2025-07-09T17:20:41</t>
  </si>
  <si>
    <t>SA0000000000000000000870</t>
  </si>
  <si>
    <t>2025-07-10T08:15:32</t>
  </si>
  <si>
    <t>2025-07-10T22:20:41</t>
  </si>
  <si>
    <t>SA0000000000000000000871</t>
  </si>
  <si>
    <t>2025-07-11T10:45:22</t>
  </si>
  <si>
    <t>2025-07-11T17:52:31</t>
  </si>
  <si>
    <t>SA0000000000000000000872</t>
  </si>
  <si>
    <t>2025-07-12T19:43:55</t>
  </si>
  <si>
    <t>2025-07-12T21:43:55</t>
  </si>
  <si>
    <t>SA0000000000000000000873</t>
  </si>
  <si>
    <t>2025-07-15T15:25:57</t>
  </si>
  <si>
    <t>2025-07-15T17:25:57</t>
  </si>
  <si>
    <t>SA0000000000000000000874</t>
  </si>
  <si>
    <t>2025-07-17T21:18:59</t>
  </si>
  <si>
    <t>2025-07-17T23:18:59</t>
  </si>
  <si>
    <t>SA0000000000000000000875</t>
  </si>
  <si>
    <t>2025-07-18T19:14:37</t>
  </si>
  <si>
    <t>2025-07-18T21:14:37</t>
  </si>
  <si>
    <t>SA0000000000000000000876</t>
  </si>
  <si>
    <t>2025-07-21T21:25:37</t>
  </si>
  <si>
    <t>2025-07-21T23:25:37</t>
  </si>
  <si>
    <t>SA0000000000000000000877</t>
  </si>
  <si>
    <t>2025-07-23T15:02:08</t>
  </si>
  <si>
    <t>2025-07-23T17:02:08</t>
  </si>
  <si>
    <t>SA0000000000000000000878</t>
  </si>
  <si>
    <t>2025-07-24T19:06:52</t>
  </si>
  <si>
    <t>2025-07-24T21:06:52</t>
  </si>
  <si>
    <t>SA0000000000000000000879</t>
  </si>
  <si>
    <t>2025-07-25T13:53:56</t>
  </si>
  <si>
    <t>2025-07-25T15:53:56</t>
  </si>
  <si>
    <t>SA0000000000000000000880</t>
  </si>
  <si>
    <t>2025-07-28T07:18:20</t>
  </si>
  <si>
    <t>2025-07-28T21:50:25</t>
  </si>
  <si>
    <t>SA0000000000000000000881</t>
  </si>
  <si>
    <t>2025-07-29T20:46:00</t>
  </si>
  <si>
    <t>2025-07-29T22:46:00</t>
  </si>
  <si>
    <t>SA0000000000000000000882</t>
  </si>
  <si>
    <t>2025-07-30T13:31:57</t>
  </si>
  <si>
    <t>2025-07-30T14:34:46</t>
  </si>
  <si>
    <t>SA0000000000000000000883</t>
  </si>
  <si>
    <t>2025-07-31T17:31:01</t>
  </si>
  <si>
    <t>2025-07-31T19:31:01</t>
  </si>
  <si>
    <t>SA0000000000000000000884</t>
  </si>
  <si>
    <t>2025-08-01T03:12:53</t>
  </si>
  <si>
    <t>2025-08-01T03:36:24</t>
  </si>
  <si>
    <t>SA0000000000000000000885</t>
  </si>
  <si>
    <t>2025-08-04T12:34:11</t>
  </si>
  <si>
    <t>2025-08-04T14:34:11</t>
  </si>
  <si>
    <t>SA0000000000000000000886</t>
  </si>
  <si>
    <t>2025-08-05T09:26:27</t>
  </si>
  <si>
    <t>2025-08-05T11:26:27</t>
  </si>
  <si>
    <t>SA0000000000000000000887</t>
  </si>
  <si>
    <t>2025-08-19T16:07:28</t>
  </si>
  <si>
    <t>2025-08-19T18:35:34</t>
  </si>
  <si>
    <t>SA0000000000000000000888</t>
  </si>
  <si>
    <t>2025-08-22T20:04:03</t>
  </si>
  <si>
    <t>2025-08-22T20:31:01</t>
  </si>
  <si>
    <t>SA0000000000000000000889</t>
  </si>
  <si>
    <t>2025-08-23T21:39:42</t>
  </si>
  <si>
    <t>2025-08-23T23:39:42</t>
  </si>
  <si>
    <t>SA0000000000000000000890</t>
  </si>
  <si>
    <t>2025-08-25T12:27:05</t>
  </si>
  <si>
    <t>2025-08-25T17:34:45</t>
  </si>
  <si>
    <t>SA0000000000000000000891</t>
  </si>
  <si>
    <t>2025-08-26T15:12:44</t>
  </si>
  <si>
    <t>2025-08-26T19:02:58</t>
  </si>
  <si>
    <t>SA0000000000000000000892</t>
  </si>
  <si>
    <t>2025-08-27T14:06:32</t>
  </si>
  <si>
    <t>2025-08-27T16:06:32</t>
  </si>
  <si>
    <t>SA0000000000000000000893</t>
  </si>
  <si>
    <t>2025-08-29T14:56:51</t>
  </si>
  <si>
    <t>2025-08-29T16:56:51</t>
  </si>
  <si>
    <t>SA0000000000000000000894</t>
  </si>
  <si>
    <t>2025-08-30T17:29:11</t>
  </si>
  <si>
    <t>2025-08-30T20:13:19</t>
  </si>
  <si>
    <t>SA0000000000000000000895</t>
  </si>
  <si>
    <t>2025-08-31T15:25:51</t>
  </si>
  <si>
    <t>2025-08-31T17:25:51</t>
  </si>
  <si>
    <t>SA0000000000000000000896</t>
  </si>
  <si>
    <t>2025-09-03T08:19:46</t>
  </si>
  <si>
    <t>2025-09-03T20:59:49</t>
  </si>
  <si>
    <t>SA0000000000000000000897</t>
  </si>
  <si>
    <t>2025-09-04T03:18:37</t>
  </si>
  <si>
    <t>2025-09-04T05:18:37</t>
  </si>
  <si>
    <t>SA0000000000000000000898</t>
  </si>
  <si>
    <t>2025-09-04T17:44:04</t>
  </si>
  <si>
    <t>2025-09-04T21:11:41</t>
  </si>
  <si>
    <t>SA0000000000000000000899</t>
  </si>
  <si>
    <t>2025-09-05T11:38:39</t>
  </si>
  <si>
    <t>2025-09-05T13:38:39</t>
  </si>
  <si>
    <t>SA0000000000000000000900</t>
  </si>
  <si>
    <t>2025-09-07T08:17:54</t>
  </si>
  <si>
    <t>2025-09-07T12:19:21</t>
  </si>
  <si>
    <t>SA0000000000000000000901</t>
  </si>
  <si>
    <t>2025-09-08T15:41:14</t>
  </si>
  <si>
    <t>2025-09-08T17:41:14</t>
  </si>
  <si>
    <t>SA0000000000000000000902</t>
  </si>
  <si>
    <t>2025-09-10T10:49:42</t>
  </si>
  <si>
    <t>2025-09-10T13:17:47</t>
  </si>
  <si>
    <t>SA0000000000000000000903</t>
  </si>
  <si>
    <t>2025-09-12T22:23:45</t>
  </si>
  <si>
    <t>SA0000000000000000000904</t>
  </si>
  <si>
    <t>2025-09-14T14:12:16</t>
  </si>
  <si>
    <t>2025-09-14T21:28:10</t>
  </si>
  <si>
    <t>SA0000000000000000000905</t>
  </si>
  <si>
    <t>2025-09-20T07:17:19</t>
  </si>
  <si>
    <t>2025-09-20T07:23:31</t>
  </si>
  <si>
    <t>SA0000000000000000000906</t>
  </si>
  <si>
    <t>2025-09-21T17:43:09</t>
  </si>
  <si>
    <t>2025-09-21T19:43:09</t>
  </si>
  <si>
    <t>SA0000000000000000000907</t>
  </si>
  <si>
    <t>2025-09-22T08:22:01</t>
  </si>
  <si>
    <t>2025-09-22T11:44:05</t>
  </si>
  <si>
    <t>SA0000000000000000000908</t>
  </si>
  <si>
    <t>2025-09-28T12:19:39</t>
  </si>
  <si>
    <t>2025-09-28T14:19:39</t>
  </si>
  <si>
    <t>SA0000000000000000000909</t>
  </si>
  <si>
    <t>2025-09-28T07:31:27</t>
  </si>
  <si>
    <t>2025-09-28T11:17:51</t>
  </si>
  <si>
    <t>SA0000000000000000000910</t>
  </si>
  <si>
    <t>2025-09-29T10:42:45</t>
  </si>
  <si>
    <t>2025-09-29T16:29:11</t>
  </si>
  <si>
    <t>SA0000000000000000000911</t>
  </si>
  <si>
    <t>2025-10-03T03:35:27</t>
  </si>
  <si>
    <t>2025-10-03T03:42:32</t>
  </si>
  <si>
    <t>SA0000000000000000000912</t>
  </si>
  <si>
    <t>2025-10-06T08:14:33</t>
  </si>
  <si>
    <t>2025-10-06T10:06:47</t>
  </si>
  <si>
    <t>SA0000000000000000000913</t>
  </si>
  <si>
    <t>2025-10-08T08:21:20</t>
  </si>
  <si>
    <t>2025-10-08T10:21:20</t>
  </si>
  <si>
    <t>SA0000000000000000000914</t>
  </si>
  <si>
    <t>2025-10-10T10:35:32</t>
  </si>
  <si>
    <t>2025-10-10T11:27:17</t>
  </si>
  <si>
    <t>SA0000000000000000000915</t>
  </si>
  <si>
    <t>2025-10-12T21:07:26</t>
  </si>
  <si>
    <t>2025-10-12T23:07:26</t>
  </si>
  <si>
    <t>SA0000000000000000000916</t>
  </si>
  <si>
    <t>2025-10-13T09:29:07</t>
  </si>
  <si>
    <t>2025-10-13T10:35:32</t>
  </si>
  <si>
    <t>SA0000000000000000000917</t>
  </si>
  <si>
    <t>2025-10-17T22:12:37</t>
  </si>
  <si>
    <t>2025-10-18T00:12:37</t>
  </si>
  <si>
    <t>SA0000000000000000000918</t>
  </si>
  <si>
    <t>2025-10-18T18:43:10</t>
  </si>
  <si>
    <t>2025-10-18T20:43:10</t>
  </si>
  <si>
    <t>SA0000000000000000000919</t>
  </si>
  <si>
    <t>2025-10-22T14:19:16</t>
  </si>
  <si>
    <t>2025-10-22T16:19:16</t>
  </si>
  <si>
    <t>SA0000000000000000000920</t>
  </si>
  <si>
    <t>2025-10-23T16:00:45</t>
  </si>
  <si>
    <t>2025-10-23T17:23:06</t>
  </si>
  <si>
    <t>SA0000000000000000000921</t>
  </si>
  <si>
    <t>2025-10-24T14:18:42</t>
  </si>
  <si>
    <t>2025-10-24T22:20:55</t>
  </si>
  <si>
    <t>SA0000000000000000000922</t>
  </si>
  <si>
    <t>2025-10-25T13:09:53</t>
  </si>
  <si>
    <t>2025-10-25T15:09:53</t>
  </si>
  <si>
    <t>SA0000000000000000000923</t>
  </si>
  <si>
    <t>2025-10-25T17:29:27</t>
  </si>
  <si>
    <t>2025-10-25T22:22:59</t>
  </si>
  <si>
    <t>SA0000000000000000000924</t>
  </si>
  <si>
    <t>2025-10-26T08:24:19</t>
  </si>
  <si>
    <t>2025-10-26T22:51:52</t>
  </si>
  <si>
    <t>SA0000000000000000000925</t>
  </si>
  <si>
    <t>2025-11-03T18:38:11</t>
  </si>
  <si>
    <t>2025-11-03T20:38:11</t>
  </si>
  <si>
    <t>SA0000000000000000000926</t>
  </si>
  <si>
    <t>2025-11-04T03:48:27</t>
  </si>
  <si>
    <t>2025-11-04T05:48:27</t>
  </si>
  <si>
    <t>SA0000000000000000000927</t>
  </si>
  <si>
    <t>2025-11-05T09:57:09</t>
  </si>
  <si>
    <t>2025-11-05T20:26:44</t>
  </si>
  <si>
    <t>SA0000000000000000000928</t>
  </si>
  <si>
    <t>2025-11-08T21:27:43</t>
  </si>
  <si>
    <t>2025-11-08T23:27:43</t>
  </si>
  <si>
    <t>SA0000000000000000000929</t>
  </si>
  <si>
    <t>2025-11-09T13:18:16</t>
  </si>
  <si>
    <t>2025-11-09T15:18:16</t>
  </si>
  <si>
    <t>SA0000000000000000000930</t>
  </si>
  <si>
    <t>2025-11-10T15:21:52</t>
  </si>
  <si>
    <t>2025-11-10T17:21:52</t>
  </si>
  <si>
    <t>SA0000000000000000000931</t>
  </si>
  <si>
    <t>2025-11-14T07:49:13</t>
  </si>
  <si>
    <t>2025-11-14T10:19:29</t>
  </si>
  <si>
    <t>SA0000000000000000000932</t>
  </si>
  <si>
    <t>2025-11-15T10:39:59</t>
  </si>
  <si>
    <t>2025-11-15T22:22:01</t>
  </si>
  <si>
    <t>SA0000000000000000000933</t>
  </si>
  <si>
    <t>2025-11-20T17:29:58</t>
  </si>
  <si>
    <t>2025-11-20T18:04:08</t>
  </si>
  <si>
    <t>SA0000000000000000000934</t>
  </si>
  <si>
    <t>2025-11-21T11:55:06</t>
  </si>
  <si>
    <t>2025-11-21T20:11:08</t>
  </si>
  <si>
    <t>SA0000000000000000000935</t>
  </si>
  <si>
    <t>2025-11-23T12:13:52</t>
  </si>
  <si>
    <t>2025-11-23T18:10:07</t>
  </si>
  <si>
    <t>SA0000000000000000000936</t>
  </si>
  <si>
    <t>2025-11-24T22:47:02</t>
  </si>
  <si>
    <t>2025-11-25T00:47:02</t>
  </si>
  <si>
    <t>SA0000000000000000000937</t>
  </si>
  <si>
    <t>2025-11-27T21:44:55</t>
  </si>
  <si>
    <t>2025-11-27T22:23:38</t>
  </si>
  <si>
    <t>SA0000000000000000000938</t>
  </si>
  <si>
    <t>2025-11-29T09:47:00</t>
  </si>
  <si>
    <t>2025-11-29T13:21:56</t>
  </si>
  <si>
    <t>SA0000000000000000000939</t>
  </si>
  <si>
    <t>2025-11-29T19:10:25</t>
  </si>
  <si>
    <t>2025-11-29T21:10:25</t>
  </si>
  <si>
    <t>SA0000000000000000000940</t>
  </si>
  <si>
    <t>2025-11-30T09:22:34</t>
  </si>
  <si>
    <t>2025-11-30T11:50:01</t>
  </si>
  <si>
    <t>SA0000000000000000000941</t>
  </si>
  <si>
    <t>2025-12-02T03:26:37</t>
  </si>
  <si>
    <t>2025-12-02T03:54:15</t>
  </si>
  <si>
    <t>SA0000000000000000000942</t>
  </si>
  <si>
    <t>2025-12-02T14:24:00</t>
  </si>
  <si>
    <t>2025-12-02T16:24:00</t>
  </si>
  <si>
    <t>SA0000000000000000000943</t>
  </si>
  <si>
    <t>2025-12-06T15:50:46</t>
  </si>
  <si>
    <t>2025-12-06T17:50:46</t>
  </si>
  <si>
    <t>SA0000000000000000000944</t>
  </si>
  <si>
    <t>2025-12-07T08:28:34</t>
  </si>
  <si>
    <t>2025-12-07T13:23:39</t>
  </si>
  <si>
    <t>SA0000000000000000000945</t>
  </si>
  <si>
    <t>2025-12-11T08:25:45</t>
  </si>
  <si>
    <t>2025-12-11T09:55:41</t>
  </si>
  <si>
    <t>SA0000000000000000000946</t>
  </si>
  <si>
    <t>2025-12-15T21:39:30</t>
  </si>
  <si>
    <t>2025-12-15T23:39:30</t>
  </si>
  <si>
    <t>SA0000000000000000000947</t>
  </si>
  <si>
    <t>2025-12-17T14:30:19</t>
  </si>
  <si>
    <t>2025-12-17T22:37:00</t>
  </si>
  <si>
    <t>SA0000000000000000000948</t>
  </si>
  <si>
    <t>2025-12-21T08:04:52</t>
  </si>
  <si>
    <t>2025-12-21T20:08:18</t>
  </si>
  <si>
    <t>SA0000000000000000000949</t>
  </si>
  <si>
    <t>2025-12-23T11:57:23</t>
  </si>
  <si>
    <t>2025-12-23T13:57:23</t>
  </si>
  <si>
    <t>SA0000000000000000000950</t>
  </si>
  <si>
    <t>2025-12-24T10:02:03</t>
  </si>
  <si>
    <t>2025-12-24T19:08:50</t>
  </si>
  <si>
    <t>SA0000000000000000000951</t>
  </si>
  <si>
    <t>2025-12-28T13:12:22</t>
  </si>
  <si>
    <t>2025-12-28T22:10:17</t>
  </si>
  <si>
    <t>SA0000000000000000000952</t>
  </si>
  <si>
    <t>2025-12-29T12:36:40</t>
  </si>
  <si>
    <t>2025-12-29T14:36:40</t>
  </si>
  <si>
    <t>SA0000000000000000000953</t>
  </si>
  <si>
    <t>2025-12-30T12:20:38</t>
  </si>
  <si>
    <t>2025-12-30T17:41:21</t>
  </si>
  <si>
    <t>SA0000000000000000000954</t>
  </si>
  <si>
    <t>📊  CREDIT SCORING CALCULATOR  —  CLT008 BB Nora</t>
  </si>
  <si>
    <t>ACC-152</t>
  </si>
  <si>
    <t>2025-06-02T18:56:34</t>
  </si>
  <si>
    <t>2025-06-02T20:56:34</t>
  </si>
  <si>
    <t>SA0000000000000000000955</t>
  </si>
  <si>
    <t>Period: 2025-06 → 2026-02  |  9 months  |  123 transactions  |  Income = Salary (KSAOB.Deposit) per month</t>
  </si>
  <si>
    <t>2025-06-03T13:19:48</t>
  </si>
  <si>
    <t>2025-06-03T21:43:29</t>
  </si>
  <si>
    <t>SA0000000000000000000956</t>
  </si>
  <si>
    <t>2025-06-04T03:54:33</t>
  </si>
  <si>
    <t>2025-06-04T05:54:33</t>
  </si>
  <si>
    <t>Personal Loan Payment - ANB Personal Finance</t>
  </si>
  <si>
    <t>ANB Personal Finance</t>
  </si>
  <si>
    <t>SA0000000000000000000957</t>
  </si>
  <si>
    <t>2025-06-06T10:00:38</t>
  </si>
  <si>
    <t>2025-06-06T17:20:43</t>
  </si>
  <si>
    <t>SA0000000000000000000958</t>
  </si>
  <si>
    <t>2025-06-08T15:17:07</t>
  </si>
  <si>
    <t>2025-06-08T16:08:23</t>
  </si>
  <si>
    <t>SA0000000000000000000959</t>
  </si>
  <si>
    <t>2025-06-14T10:17:36</t>
  </si>
  <si>
    <t>2025-06-14T22:53:44</t>
  </si>
  <si>
    <t>SA0000000000000000000960</t>
  </si>
  <si>
    <t>2025-06-16T08:57:04</t>
  </si>
  <si>
    <t>2025-06-16T11:17:31</t>
  </si>
  <si>
    <t>SA0000000000000000000961</t>
  </si>
  <si>
    <t>2025-06-20T09:22:38</t>
  </si>
  <si>
    <t>2025-06-20T11:22:38</t>
  </si>
  <si>
    <t>SA0000000000000000000962</t>
  </si>
  <si>
    <t>2025-06-24T18:57:30</t>
  </si>
  <si>
    <t>2025-06-24T20:57:30</t>
  </si>
  <si>
    <t>SA0000000000000000000963</t>
  </si>
  <si>
    <t>2025-06-25T13:27:47</t>
  </si>
  <si>
    <t>2025-06-25T21:58:21</t>
  </si>
  <si>
    <t>SA0000000000000000000964</t>
  </si>
  <si>
    <t>2025-06-26T17:51:28</t>
  </si>
  <si>
    <t>2025-06-26T21:29:41</t>
  </si>
  <si>
    <t>SA0000000000000000000965</t>
  </si>
  <si>
    <t>2025-06-28T11:47:41</t>
  </si>
  <si>
    <t>2025-06-28T18:57:31</t>
  </si>
  <si>
    <t>SA0000000000000000000966</t>
  </si>
  <si>
    <t>2025-06-29T20:46:48</t>
  </si>
  <si>
    <t>2025-06-29T22:45:47</t>
  </si>
  <si>
    <t>SA0000000000000000000967</t>
  </si>
  <si>
    <t>2025-06-30T11:20:23</t>
  </si>
  <si>
    <t>2025-06-30T13:20:23</t>
  </si>
  <si>
    <t>Salary - Ministry of Education / راتب</t>
  </si>
  <si>
    <t>Ministry of Education</t>
  </si>
  <si>
    <t>SA0000000000000000000968</t>
  </si>
  <si>
    <t>2025-07-02T03:03:09</t>
  </si>
  <si>
    <t>2025-07-02T03:47:46</t>
  </si>
  <si>
    <t>SA0000000000000000000969</t>
  </si>
  <si>
    <t>2025-07-04T18:33:39</t>
  </si>
  <si>
    <t>2025-07-04T20:33:39</t>
  </si>
  <si>
    <t>SA0000000000000000000970</t>
  </si>
  <si>
    <t>2025-07-06T12:44:17</t>
  </si>
  <si>
    <t>2025-07-06T14:44:17</t>
  </si>
  <si>
    <t>SA0000000000000000000971</t>
  </si>
  <si>
    <t>2025-07-08T10:14:00</t>
  </si>
  <si>
    <t>2025-07-08T14:43:31</t>
  </si>
  <si>
    <t>SA0000000000000000000972</t>
  </si>
  <si>
    <t>2025-07-09T20:43:20</t>
  </si>
  <si>
    <t>2025-07-09T22:43:20</t>
  </si>
  <si>
    <t>SA0000000000000000000973</t>
  </si>
  <si>
    <t>2025-07-12T12:11:36</t>
  </si>
  <si>
    <t>2025-07-12T14:11:36</t>
  </si>
  <si>
    <t>SA0000000000000000000974</t>
  </si>
  <si>
    <t>2025-07-16T10:12:02</t>
  </si>
  <si>
    <t>2025-07-16T15:49:22</t>
  </si>
  <si>
    <t>SA0000000000000000000975</t>
  </si>
  <si>
    <t>2025-07-17T21:36:59</t>
  </si>
  <si>
    <t>2025-07-17T23:36:59</t>
  </si>
  <si>
    <t>SA0000000000000000000976</t>
  </si>
  <si>
    <t>2025-07-21T11:41:26</t>
  </si>
  <si>
    <t>2025-07-21T16:17:24</t>
  </si>
  <si>
    <t>SA0000000000000000000977</t>
  </si>
  <si>
    <t>2025-07-24T21:11:47</t>
  </si>
  <si>
    <t>2025-07-24T23:11:47</t>
  </si>
  <si>
    <t>SA0000000000000000000978</t>
  </si>
  <si>
    <t>2025-07-28T10:12:12</t>
  </si>
  <si>
    <t>2025-07-28T12:00:23</t>
  </si>
  <si>
    <t>SA0000000000000000000979</t>
  </si>
  <si>
    <t>2025-07-29T10:32:08</t>
  </si>
  <si>
    <t>2025-07-29T12:32:08</t>
  </si>
  <si>
    <t>SA0000000000000000000980</t>
  </si>
  <si>
    <t>2025-07-30T12:56:43</t>
  </si>
  <si>
    <t>2025-07-30T13:20:19</t>
  </si>
  <si>
    <t>SA0000000000000000000981</t>
  </si>
  <si>
    <t>2025-07-30T20:54:57</t>
  </si>
  <si>
    <t>2025-07-30T22:54:57</t>
  </si>
  <si>
    <t>SA0000000000000000000982</t>
  </si>
  <si>
    <t>2025-07-31T10:05:45</t>
  </si>
  <si>
    <t>2025-07-31T12:05:45</t>
  </si>
  <si>
    <t>SA0000000000000000000983</t>
  </si>
  <si>
    <t>2025-08-02T03:01:21</t>
  </si>
  <si>
    <t>2025-08-02T03:04:02</t>
  </si>
  <si>
    <t>SA0000000000000000000984</t>
  </si>
  <si>
    <t>2025-08-02T17:39:15</t>
  </si>
  <si>
    <t>2025-08-02T19:44:42</t>
  </si>
  <si>
    <t>SA0000000000000000000985</t>
  </si>
  <si>
    <t>2025-08-05T16:34:22</t>
  </si>
  <si>
    <t>2025-08-05T18:34:22</t>
  </si>
  <si>
    <t>SA0000000000000000000986</t>
  </si>
  <si>
    <t>2025-08-06T08:23:11</t>
  </si>
  <si>
    <t>2025-08-06T11:11:28</t>
  </si>
  <si>
    <t>SA0000000000000000000987</t>
  </si>
  <si>
    <t>2025-08-09T09:10:49</t>
  </si>
  <si>
    <t>2025-08-09T11:08:10</t>
  </si>
  <si>
    <t>SA0000000000000000000988</t>
  </si>
  <si>
    <t>2025-08-14T07:31:02</t>
  </si>
  <si>
    <t>2025-08-14T22:46:42</t>
  </si>
  <si>
    <t>SA0000000000000000000989</t>
  </si>
  <si>
    <t>2025-08-15T15:25:11</t>
  </si>
  <si>
    <t>2025-08-15T15:28:57</t>
  </si>
  <si>
    <t>SA0000000000000000000990</t>
  </si>
  <si>
    <t>2025-08-16T11:58:29</t>
  </si>
  <si>
    <t>2025-08-16T13:58:29</t>
  </si>
  <si>
    <t>SA0000000000000000000991</t>
  </si>
  <si>
    <t>2025-08-17T14:45:24</t>
  </si>
  <si>
    <t>2025-08-17T18:35:58</t>
  </si>
  <si>
    <t>SA0000000000000000000992</t>
  </si>
  <si>
    <t>2025-08-21T14:57:48</t>
  </si>
  <si>
    <t>2025-08-21T16:57:48</t>
  </si>
  <si>
    <t>SA0000000000000000000993</t>
  </si>
  <si>
    <t>2025-08-22T21:45:58</t>
  </si>
  <si>
    <t>2025-08-22T23:45:58</t>
  </si>
  <si>
    <t>SA0000000000000000000994</t>
  </si>
  <si>
    <t>2025-08-23T09:35:14</t>
  </si>
  <si>
    <t>2025-08-23T21:09:54</t>
  </si>
  <si>
    <t>SA0000000000000000000995</t>
  </si>
  <si>
    <t>2025-08-26T12:12:04</t>
  </si>
  <si>
    <t>2025-08-26T14:54:31</t>
  </si>
  <si>
    <t>SA0000000000000000000996</t>
  </si>
  <si>
    <t>2025-08-26T11:30:27</t>
  </si>
  <si>
    <t>2025-08-26T15:15:36</t>
  </si>
  <si>
    <t>SA0000000000000000000997</t>
  </si>
  <si>
    <t>2025-08-27T08:11:23</t>
  </si>
  <si>
    <t>2025-08-27T14:58:24</t>
  </si>
  <si>
    <t>SA0000000000000000000998</t>
  </si>
  <si>
    <t>2025-09-05T03:06:15</t>
  </si>
  <si>
    <t>2025-09-05T03:56:56</t>
  </si>
  <si>
    <t>SA0000000000000000000999</t>
  </si>
  <si>
    <t>2025-09-06T21:34:42</t>
  </si>
  <si>
    <t>2025-09-06T22:02:33</t>
  </si>
  <si>
    <t>SA0000000000000000001000</t>
  </si>
  <si>
    <t>2025-09-10T15:31:29</t>
  </si>
  <si>
    <t>2025-09-10T21:15:12</t>
  </si>
  <si>
    <t>SA0000000000000000001001</t>
  </si>
  <si>
    <t>2025-09-11T18:02:16</t>
  </si>
  <si>
    <t>2025-09-11T18:30:57</t>
  </si>
  <si>
    <t>SA0000000000000000001002</t>
  </si>
  <si>
    <t>2025-09-12T07:09:58</t>
  </si>
  <si>
    <t>2025-09-12T22:14:47</t>
  </si>
  <si>
    <t>SA0000000000000000001003</t>
  </si>
  <si>
    <t>2025-09-13T17:49:53</t>
  </si>
  <si>
    <t>2025-09-13T19:49:53</t>
  </si>
  <si>
    <t>SA0000000000000000001004</t>
  </si>
  <si>
    <t>2025-09-16T11:27:14</t>
  </si>
  <si>
    <t>2025-09-16T12:41:49</t>
  </si>
  <si>
    <t>SA0000000000000000001005</t>
  </si>
  <si>
    <t>2025-09-17T11:56:59</t>
  </si>
  <si>
    <t>2025-09-17T22:59:02</t>
  </si>
  <si>
    <t>SA0000000000000000001006</t>
  </si>
  <si>
    <t>2025-09-21T13:33:02</t>
  </si>
  <si>
    <t>2025-09-21T15:33:02</t>
  </si>
  <si>
    <t>SA0000000000000000001007</t>
  </si>
  <si>
    <t>2025-09-22T17:14:30</t>
  </si>
  <si>
    <t>2025-09-22T21:19:28</t>
  </si>
  <si>
    <t>SA0000000000000000001008</t>
  </si>
  <si>
    <t>2025-09-23T20:07:55</t>
  </si>
  <si>
    <t>2025-09-23T22:07:55</t>
  </si>
  <si>
    <t>SA0000000000000000001009</t>
  </si>
  <si>
    <t>2025-09-25T21:47:28</t>
  </si>
  <si>
    <t>2025-09-25T22:35:07</t>
  </si>
  <si>
    <t>SA0000000000000000001010</t>
  </si>
  <si>
    <t>2025-09-26T08:04:51</t>
  </si>
  <si>
    <t>2025-09-26T11:59:58</t>
  </si>
  <si>
    <t>SA0000000000000000001011</t>
  </si>
  <si>
    <t>2025-09-30T22:18:24</t>
  </si>
  <si>
    <t>2025-10-01T00:18:24</t>
  </si>
  <si>
    <t>SA0000000000000000001012</t>
  </si>
  <si>
    <t>2025-10-03T18:51:22</t>
  </si>
  <si>
    <t>2025-10-03T20:51:22</t>
  </si>
  <si>
    <t>SA0000000000000000001013</t>
  </si>
  <si>
    <t>2025-10-04T03:18:43</t>
  </si>
  <si>
    <t>2025-10-04T03:34:50</t>
  </si>
  <si>
    <t>SA0000000000000000001014</t>
  </si>
  <si>
    <t>2025-10-05T15:25:12</t>
  </si>
  <si>
    <t>2025-10-05T16:12:04</t>
  </si>
  <si>
    <t>SA0000000000000000001015</t>
  </si>
  <si>
    <t>2025-10-06T09:20:29</t>
  </si>
  <si>
    <t>2025-10-06T16:29:24</t>
  </si>
  <si>
    <t>SA0000000000000000001016</t>
  </si>
  <si>
    <t>2025-10-10T19:02:58</t>
  </si>
  <si>
    <t>2025-10-10T21:02:58</t>
  </si>
  <si>
    <t>SA0000000000000000001017</t>
  </si>
  <si>
    <t>2025-10-16T15:23:00</t>
  </si>
  <si>
    <t>2025-10-16T20:55:56</t>
  </si>
  <si>
    <t>SA0000000000000000001018</t>
  </si>
  <si>
    <t>2025-10-19T20:08:57</t>
  </si>
  <si>
    <t>2025-10-19T20:35:42</t>
  </si>
  <si>
    <t>SA0000000000000000001019</t>
  </si>
  <si>
    <t>2025-10-22T10:13:54</t>
  </si>
  <si>
    <t>2025-10-22T11:10:42</t>
  </si>
  <si>
    <t>SA0000000000000000001020</t>
  </si>
  <si>
    <t>2025-10-23T20:57:12</t>
  </si>
  <si>
    <t>2025-10-23T22:57:12</t>
  </si>
  <si>
    <t>SA0000000000000000001021</t>
  </si>
  <si>
    <t>2025-10-29T08:24:17</t>
  </si>
  <si>
    <t>2025-10-29T22:56:29</t>
  </si>
  <si>
    <t>SA0000000000000000001022</t>
  </si>
  <si>
    <t>2025-10-30T08:14:59</t>
  </si>
  <si>
    <t>2025-10-30T09:51:18</t>
  </si>
  <si>
    <t>SA0000000000000000001023</t>
  </si>
  <si>
    <t>2025-11-03T03:11:48</t>
  </si>
  <si>
    <t>2025-11-03T03:25:46</t>
  </si>
  <si>
    <t>SA0000000000000000001024</t>
  </si>
  <si>
    <t>2025-11-03T22:04:10</t>
  </si>
  <si>
    <t>2025-11-04T00:04:10</t>
  </si>
  <si>
    <t>SA0000000000000000001025</t>
  </si>
  <si>
    <t>2025-11-05T17:40:48</t>
  </si>
  <si>
    <t>2025-11-05T19:40:48</t>
  </si>
  <si>
    <t>SA0000000000000000001026</t>
  </si>
  <si>
    <t>2025-11-06T09:16:12</t>
  </si>
  <si>
    <t>2025-11-06T11:16:12</t>
  </si>
  <si>
    <t>SA0000000000000000001027</t>
  </si>
  <si>
    <t>2025-11-08T20:17:05</t>
  </si>
  <si>
    <t>2025-11-08T22:17:05</t>
  </si>
  <si>
    <t>SA0000000000000000001028</t>
  </si>
  <si>
    <t>2025-11-12T10:28:24</t>
  </si>
  <si>
    <t>2025-11-12T13:55:38</t>
  </si>
  <si>
    <t>SA0000000000000000001029</t>
  </si>
  <si>
    <t>2025-11-13T13:29:17</t>
  </si>
  <si>
    <t>2025-11-13T15:29:17</t>
  </si>
  <si>
    <t>SA0000000000000000001030</t>
  </si>
  <si>
    <t>2025-11-14T08:49:08</t>
  </si>
  <si>
    <t>2025-11-14T10:47:03</t>
  </si>
  <si>
    <t>SA0000000000000000001031</t>
  </si>
  <si>
    <t>2025-11-17T09:42:55</t>
  </si>
  <si>
    <t>2025-11-17T22:49:02</t>
  </si>
  <si>
    <t>SA0000000000000000001032</t>
  </si>
  <si>
    <t>2025-11-18T07:07:15</t>
  </si>
  <si>
    <t>2025-11-18T10:31:06</t>
  </si>
  <si>
    <t>SA0000000000000000001033</t>
  </si>
  <si>
    <t>2025-11-20T12:39:00</t>
  </si>
  <si>
    <t>2025-11-20T13:06:07</t>
  </si>
  <si>
    <t>SA0000000000000000001034</t>
  </si>
  <si>
    <t>2025-11-22T20:22:56</t>
  </si>
  <si>
    <t>2025-11-22T22:22:56</t>
  </si>
  <si>
    <t>SA0000000000000000001035</t>
  </si>
  <si>
    <t>2025-11-23T17:42:33</t>
  </si>
  <si>
    <t>2025-11-23T19:42:33</t>
  </si>
  <si>
    <t>SA0000000000000000001036</t>
  </si>
  <si>
    <t>2025-11-26T11:20:54</t>
  </si>
  <si>
    <t>2025-11-26T14:46:15</t>
  </si>
  <si>
    <t>SA0000000000000000001037</t>
  </si>
  <si>
    <t>2025-11-27T15:07:06</t>
  </si>
  <si>
    <t>2025-11-27T21:15:48</t>
  </si>
  <si>
    <t>SA0000000000000000001038</t>
  </si>
  <si>
    <t>2025-12-03T03:29:42</t>
  </si>
  <si>
    <t>2025-12-03T05:29:42</t>
  </si>
  <si>
    <t>SA0000000000000000001039</t>
  </si>
  <si>
    <t>2025-12-03T11:11:26</t>
  </si>
  <si>
    <t>2025-12-03T15:09:16</t>
  </si>
  <si>
    <t>SA0000000000000000001040</t>
  </si>
  <si>
    <t>2025-12-04T20:30:21</t>
  </si>
  <si>
    <t>2025-12-04T22:30:21</t>
  </si>
  <si>
    <t>SA0000000000000000001041</t>
  </si>
  <si>
    <t>2025-12-07T19:34:49</t>
  </si>
  <si>
    <t>2025-12-07T21:34:49</t>
  </si>
  <si>
    <t>SA0000000000000000001042</t>
  </si>
  <si>
    <t>2025-12-14T19:44:37</t>
  </si>
  <si>
    <t>2025-12-14T21:44:37</t>
  </si>
  <si>
    <t>SA0000000000000000001043</t>
  </si>
  <si>
    <t>2025-12-15T19:31:23</t>
  </si>
  <si>
    <t>2025-12-15T19:36:42</t>
  </si>
  <si>
    <t>SA0000000000000000001044</t>
  </si>
  <si>
    <t>2025-12-18T19:54:51</t>
  </si>
  <si>
    <t>2025-12-18T21:54:51</t>
  </si>
  <si>
    <t>SA0000000000000000001045</t>
  </si>
  <si>
    <t>2025-12-26T13:41:25</t>
  </si>
  <si>
    <t>2025-12-26T22:58:56</t>
  </si>
  <si>
    <t>SA0000000000000000001046</t>
  </si>
  <si>
    <t>2025-12-27T11:16:50</t>
  </si>
  <si>
    <t>2025-12-27T22:59:52</t>
  </si>
  <si>
    <t>SA0000000000000000001047</t>
  </si>
  <si>
    <t>2025-12-28T12:54:28</t>
  </si>
  <si>
    <t>2025-12-28T14:54:28</t>
  </si>
  <si>
    <t>SA0000000000000000001048</t>
  </si>
  <si>
    <t>2025-12-29T12:22:34</t>
  </si>
  <si>
    <t>2025-12-29T22:06:15</t>
  </si>
  <si>
    <t>SA0000000000000000001049</t>
  </si>
  <si>
    <t>2025-12-30T12:53:38</t>
  </si>
  <si>
    <t>2025-12-30T21:17:57</t>
  </si>
  <si>
    <t>SA0000000000000000001050</t>
  </si>
  <si>
    <t>2026-01-01T03:23:10</t>
  </si>
  <si>
    <t>2026-01-01T05:23:10</t>
  </si>
  <si>
    <t>SA0000000000000000001051</t>
  </si>
  <si>
    <t>2026-01-03T18:32:30</t>
  </si>
  <si>
    <t>2026-01-03T20:32:30</t>
  </si>
  <si>
    <t>SA0000000000000000001052</t>
  </si>
  <si>
    <t>2026-01-05T20:24:53</t>
  </si>
  <si>
    <t>2026-01-05T22:24:53</t>
  </si>
  <si>
    <t>SA0000000000000000001053</t>
  </si>
  <si>
    <t>2026-01-07T10:20:32</t>
  </si>
  <si>
    <t>2026-01-07T12:47:35</t>
  </si>
  <si>
    <t>SA0000000000000000001054</t>
  </si>
  <si>
    <t>2026-01-09T12:58:21</t>
  </si>
  <si>
    <t>2026-01-09T14:17:56</t>
  </si>
  <si>
    <t>SA0000000000000000001055</t>
  </si>
  <si>
    <t>2026-01-10T18:00:21</t>
  </si>
  <si>
    <t>2026-01-10T20:00:21</t>
  </si>
  <si>
    <t>SA0000000000000000001056</t>
  </si>
  <si>
    <t>2026-01-12T08:33:49</t>
  </si>
  <si>
    <t>2026-01-12T20:02:50</t>
  </si>
  <si>
    <t>SA0000000000000000001057</t>
  </si>
  <si>
    <t>2026-01-14T17:33:46</t>
  </si>
  <si>
    <t>2026-01-14T19:33:46</t>
  </si>
  <si>
    <t>SA0000000000000000001058</t>
  </si>
  <si>
    <t>2026-01-25T07:39:26</t>
  </si>
  <si>
    <t>2026-01-25T14:28:30</t>
  </si>
  <si>
    <t>SA0000000000000000001059</t>
  </si>
  <si>
    <t>2026-01-29T08:40:31</t>
  </si>
  <si>
    <t>2026-01-29T09:47:15</t>
  </si>
  <si>
    <t>SA0000000000000000001060</t>
  </si>
  <si>
    <t>2026-01-29T10:28:48</t>
  </si>
  <si>
    <t>2026-01-29T13:04:49</t>
  </si>
  <si>
    <t>SA0000000000000000001061</t>
  </si>
  <si>
    <t>2026-01-30T14:11:40</t>
  </si>
  <si>
    <t>2026-01-30T16:11:40</t>
  </si>
  <si>
    <t>SA0000000000000000001062</t>
  </si>
  <si>
    <t>2026-01-31T21:31:21</t>
  </si>
  <si>
    <t>2026-01-31T22:54:32</t>
  </si>
  <si>
    <t>SA0000000000000000001063</t>
  </si>
  <si>
    <t>2026-02-03T07:16:59</t>
  </si>
  <si>
    <t>2026-02-03T14:36:13</t>
  </si>
  <si>
    <t>SA0000000000000000001064</t>
  </si>
  <si>
    <t>2026-02-05T03:39:53</t>
  </si>
  <si>
    <t>2026-02-05T03:40:58</t>
  </si>
  <si>
    <t>SA0000000000000000001065</t>
  </si>
  <si>
    <t>2026-02-05T19:04:31</t>
  </si>
  <si>
    <t>2026-02-05T21:04:31</t>
  </si>
  <si>
    <t>SA0000000000000000001066</t>
  </si>
  <si>
    <t>2026-02-06T19:27:10</t>
  </si>
  <si>
    <t>2026-02-06T21:27:10</t>
  </si>
  <si>
    <t>SA0000000000000000001067</t>
  </si>
  <si>
    <t>2026-02-10T21:41:53</t>
  </si>
  <si>
    <t>2026-02-10T23:41:53</t>
  </si>
  <si>
    <t>SA0000000000000000001068</t>
  </si>
  <si>
    <t>2026-02-12T21:32:54</t>
  </si>
  <si>
    <t>2026-02-12T23:32:54</t>
  </si>
  <si>
    <t>SA0000000000000000001069</t>
  </si>
  <si>
    <t>2026-02-15T18:56:08</t>
  </si>
  <si>
    <t>2026-02-15T20:28:41</t>
  </si>
  <si>
    <t>SA0000000000000000001070</t>
  </si>
  <si>
    <t>2026-02-16T14:37:54</t>
  </si>
  <si>
    <t>2026-02-16T15:40:02</t>
  </si>
  <si>
    <t>SA0000000000000000001071</t>
  </si>
  <si>
    <t>2026-02-18T12:06:04</t>
  </si>
  <si>
    <t>2026-02-18T20:57:12</t>
  </si>
  <si>
    <t>SA0000000000000000001072</t>
  </si>
  <si>
    <t>2026-02-20T18:44:56</t>
  </si>
  <si>
    <t>2026-02-20T20:44:56</t>
  </si>
  <si>
    <t>SA0000000000000000001073</t>
  </si>
  <si>
    <t>2026-02-22T08:40:58</t>
  </si>
  <si>
    <t>2026-02-22T10:40:58</t>
  </si>
  <si>
    <t>SA0000000000000000001074</t>
  </si>
  <si>
    <t>2026-02-25T22:22:06</t>
  </si>
  <si>
    <t>2026-02-26T00:22:06</t>
  </si>
  <si>
    <t>SA0000000000000000001075</t>
  </si>
  <si>
    <t>2026-02-26T11:30:24</t>
  </si>
  <si>
    <t>2026-02-26T12:26:42</t>
  </si>
  <si>
    <t>SA0000000000000000001076</t>
  </si>
  <si>
    <t>2026-02-28T19:18:25</t>
  </si>
  <si>
    <t>2026-02-28T21:18:25</t>
  </si>
  <si>
    <t>SA0000000000000000001077</t>
  </si>
  <si>
    <t>📊  CREDIT SCORING CALCULATOR  —  CLT009 CC Turki</t>
  </si>
  <si>
    <t>ACC-153</t>
  </si>
  <si>
    <t>2025-04-02T03:40:22</t>
  </si>
  <si>
    <t>2025-04-02T03:51:07</t>
  </si>
  <si>
    <t>Debt Consolidation Payment - Banque Saudi Fransi - Debt Settlement</t>
  </si>
  <si>
    <t>Banque Saudi Fransi - Debt Settlement</t>
  </si>
  <si>
    <t>SA0000000000000000001078</t>
  </si>
  <si>
    <t>Banque Saudi Fransi</t>
  </si>
  <si>
    <t>BSFRSARI</t>
  </si>
  <si>
    <t>Period: 2025-04 → 2025-12  |  9 months  |  95 transactions  |  Income = Salary (KSAOB.Deposit) per month</t>
  </si>
  <si>
    <t>2025-04-02T14:06:16</t>
  </si>
  <si>
    <t>2025-04-02T21:40:21</t>
  </si>
  <si>
    <t>SA0000000000000000001079</t>
  </si>
  <si>
    <t>2025-04-05T15:55:16</t>
  </si>
  <si>
    <t>2025-04-05T17:55:16</t>
  </si>
  <si>
    <t>SA0000000000000000001080</t>
  </si>
  <si>
    <t>2025-04-13T21:16:24</t>
  </si>
  <si>
    <t>2025-04-13T23:16:24</t>
  </si>
  <si>
    <t>SA0000000000000000001081</t>
  </si>
  <si>
    <t>2025-04-20T14:48:25</t>
  </si>
  <si>
    <t>2025-04-20T20:01:27</t>
  </si>
  <si>
    <t>SA0000000000000000001082</t>
  </si>
  <si>
    <t>2025-04-21T14:23:02</t>
  </si>
  <si>
    <t>2025-04-21T16:23:02</t>
  </si>
  <si>
    <t>SA0000000000000000001083</t>
  </si>
  <si>
    <t>2025-04-22T20:30:40</t>
  </si>
  <si>
    <t>2025-04-22T22:30:40</t>
  </si>
  <si>
    <t>SA0000000000000000001084</t>
  </si>
  <si>
    <t>2025-04-26T16:24:28</t>
  </si>
  <si>
    <t>2025-04-26T18:51:14</t>
  </si>
  <si>
    <t>SA0000000000000000001085</t>
  </si>
  <si>
    <t>2025-04-27T17:41:06</t>
  </si>
  <si>
    <t>2025-04-27T21:28:27</t>
  </si>
  <si>
    <t>SA0000000000000000001086</t>
  </si>
  <si>
    <t>2025-04-29T15:57:16</t>
  </si>
  <si>
    <t>2025-04-29T17:57:16</t>
  </si>
  <si>
    <t>SA0000000000000000001087</t>
  </si>
  <si>
    <t>2025-04-30T10:29:21</t>
  </si>
  <si>
    <t>2025-04-30T13:01:22</t>
  </si>
  <si>
    <t>Salary - Various Retail Jobs / راتب</t>
  </si>
  <si>
    <t>Various Retail Jobs</t>
  </si>
  <si>
    <t>SA0000000000000000001088</t>
  </si>
  <si>
    <t>2025-05-01T03:04:30</t>
  </si>
  <si>
    <t>2025-05-01T03:11:46</t>
  </si>
  <si>
    <t>SA0000000000000000001089</t>
  </si>
  <si>
    <t>2025-05-03T15:14:07</t>
  </si>
  <si>
    <t>2025-05-03T17:14:07</t>
  </si>
  <si>
    <t>SA0000000000000000001090</t>
  </si>
  <si>
    <t>2025-05-09T20:06:25</t>
  </si>
  <si>
    <t>2025-05-09T21:15:15</t>
  </si>
  <si>
    <t>SA0000000000000000001091</t>
  </si>
  <si>
    <t>2025-05-10T22:02:31</t>
  </si>
  <si>
    <t>2025-05-11T00:02:31</t>
  </si>
  <si>
    <t>SA0000000000000000001092</t>
  </si>
  <si>
    <t>2025-05-14T07:03:06</t>
  </si>
  <si>
    <t>2025-05-14T08:07:18</t>
  </si>
  <si>
    <t>SA0000000000000000001093</t>
  </si>
  <si>
    <t>2025-05-16T19:52:25</t>
  </si>
  <si>
    <t>2025-05-16T21:52:25</t>
  </si>
  <si>
    <t>SA0000000000000000001094</t>
  </si>
  <si>
    <t>2025-05-17T17:00:13</t>
  </si>
  <si>
    <t>2025-05-17T19:00:13</t>
  </si>
  <si>
    <t>SA0000000000000000001095</t>
  </si>
  <si>
    <t>2025-05-19T15:21:49</t>
  </si>
  <si>
    <t>2025-05-19T17:21:49</t>
  </si>
  <si>
    <t>SA0000000000000000001096</t>
  </si>
  <si>
    <t>2025-05-24T13:38:14</t>
  </si>
  <si>
    <t>2025-05-24T15:38:14</t>
  </si>
  <si>
    <t>SA0000000000000000001097</t>
  </si>
  <si>
    <t>2025-05-27T13:13:42</t>
  </si>
  <si>
    <t>2025-05-27T15:13:42</t>
  </si>
  <si>
    <t>SA0000000000000000001098</t>
  </si>
  <si>
    <t>2025-05-28T10:50:34</t>
  </si>
  <si>
    <t>2025-05-28T14:00:14</t>
  </si>
  <si>
    <t>SA0000000000000000001099</t>
  </si>
  <si>
    <t>2025-06-02T16:51:33</t>
  </si>
  <si>
    <t>2025-06-02T18:51:33</t>
  </si>
  <si>
    <t>SA0000000000000000001100</t>
  </si>
  <si>
    <t>2025-06-04T03:28:42</t>
  </si>
  <si>
    <t>2025-06-04T03:37:47</t>
  </si>
  <si>
    <t>SA0000000000000000001101</t>
  </si>
  <si>
    <t>2025-06-05T08:07:42</t>
  </si>
  <si>
    <t>2025-06-05T18:19:49</t>
  </si>
  <si>
    <t>SA0000000000000000001102</t>
  </si>
  <si>
    <t>2025-06-07T16:45:32</t>
  </si>
  <si>
    <t>2025-06-07T18:45:32</t>
  </si>
  <si>
    <t>SA0000000000000000001103</t>
  </si>
  <si>
    <t>2025-06-13T07:32:43</t>
  </si>
  <si>
    <t>2025-06-13T18:33:01</t>
  </si>
  <si>
    <t>SA0000000000000000001104</t>
  </si>
  <si>
    <t>2025-06-14T22:20:49</t>
  </si>
  <si>
    <t>2025-06-15T00:20:49</t>
  </si>
  <si>
    <t>SA0000000000000000001105</t>
  </si>
  <si>
    <t>2025-06-16T17:11:47</t>
  </si>
  <si>
    <t>2025-06-16T19:11:47</t>
  </si>
  <si>
    <t>SA0000000000000000001106</t>
  </si>
  <si>
    <t>MEDIAN(MIN(T15,T29), MIN(T16,T29), MIN(T17,T29))
Takes salary from rows 15 (2025-10), 16 (2025-11), 17 (2025-12).
Each capped at spike threshold before MEDIAN → spike months don't inflate score.</t>
  </si>
  <si>
    <t>2025-06-18T14:18:35</t>
  </si>
  <si>
    <t>2025-06-18T16:18:35</t>
  </si>
  <si>
    <t>SA0000000000000000001107</t>
  </si>
  <si>
    <t>2025-06-26T11:57:14</t>
  </si>
  <si>
    <t>2025-06-26T12:05:45</t>
  </si>
  <si>
    <t>SA0000000000000000001108</t>
  </si>
  <si>
    <t>2025-06-26T10:50:09</t>
  </si>
  <si>
    <t>2025-06-26T11:59:19</t>
  </si>
  <si>
    <t>SA0000000000000000001109</t>
  </si>
  <si>
    <t>2025-06-27T10:29:49</t>
  </si>
  <si>
    <t>2025-06-27T12:29:49</t>
  </si>
  <si>
    <t>SA0000000000000000001110</t>
  </si>
  <si>
    <t>2025-06-30T12:15:27</t>
  </si>
  <si>
    <t>2025-06-30T15:51:36</t>
  </si>
  <si>
    <t>SA0000000000000000001111</t>
  </si>
  <si>
    <t>2025-07-02T22:02:16</t>
  </si>
  <si>
    <t>2025-07-03T00:02:16</t>
  </si>
  <si>
    <t>SA0000000000000000001112</t>
  </si>
  <si>
    <t>2025-07-04T03:49:53</t>
  </si>
  <si>
    <t>2025-07-04T05:49:53</t>
  </si>
  <si>
    <t>SA0000000000000000001113</t>
  </si>
  <si>
    <t>2025-07-06T21:47:43</t>
  </si>
  <si>
    <t>2025-07-06T23:47:43</t>
  </si>
  <si>
    <t>SA0000000000000000001114</t>
  </si>
  <si>
    <t>2025-07-08T14:22:27</t>
  </si>
  <si>
    <t>2025-07-08T16:22:27</t>
  </si>
  <si>
    <t>SA0000000000000000001115</t>
  </si>
  <si>
    <t>2025-07-18T10:36:06</t>
  </si>
  <si>
    <t>2025-07-18T14:39:06</t>
  </si>
  <si>
    <t>SA0000000000000000001116</t>
  </si>
  <si>
    <t>2025-07-19T13:36:11</t>
  </si>
  <si>
    <t>2025-07-19T16:10:42</t>
  </si>
  <si>
    <t>SA0000000000000000001117</t>
  </si>
  <si>
    <t>2025-07-24T22:53:23</t>
  </si>
  <si>
    <t>2025-07-25T00:53:23</t>
  </si>
  <si>
    <t>SA0000000000000000001118</t>
  </si>
  <si>
    <t>2025-07-26T08:41:58</t>
  </si>
  <si>
    <t>2025-07-26T22:15:06</t>
  </si>
  <si>
    <t>SA0000000000000000001119</t>
  </si>
  <si>
    <t>2025-07-27T21:57:30</t>
  </si>
  <si>
    <t>2025-07-27T23:57:30</t>
  </si>
  <si>
    <t>SA0000000000000000001120</t>
  </si>
  <si>
    <t>2025-07-30T10:33:33</t>
  </si>
  <si>
    <t>2025-07-30T13:12:09</t>
  </si>
  <si>
    <t>SA0000000000000000001121</t>
  </si>
  <si>
    <t>2025-07-30T19:52:21</t>
  </si>
  <si>
    <t>2025-07-30T21:52:21</t>
  </si>
  <si>
    <t>SA0000000000000000001122</t>
  </si>
  <si>
    <t>2025-07-31T10:07:56</t>
  </si>
  <si>
    <t>2025-07-31T14:06:33</t>
  </si>
  <si>
    <t>SA0000000000000000001123</t>
  </si>
  <si>
    <t>2025-08-02T03:43:20</t>
  </si>
  <si>
    <t>2025-08-02T03:59:10</t>
  </si>
  <si>
    <t>SA0000000000000000001124</t>
  </si>
  <si>
    <t>2025-08-02T16:57:32</t>
  </si>
  <si>
    <t>2025-08-02T18:57:32</t>
  </si>
  <si>
    <t>SA0000000000000000001125</t>
  </si>
  <si>
    <t>2025-08-04T14:11:18</t>
  </si>
  <si>
    <t>2025-08-04T16:11:18</t>
  </si>
  <si>
    <t>SA0000000000000000001126</t>
  </si>
  <si>
    <t>2025-08-09T13:58:24</t>
  </si>
  <si>
    <t>2025-08-09T15:58:24</t>
  </si>
  <si>
    <t>SA0000000000000000001127</t>
  </si>
  <si>
    <t>2025-08-14T21:05:04</t>
  </si>
  <si>
    <t>2025-08-14T23:05:04</t>
  </si>
  <si>
    <t>SA0000000000000000001128</t>
  </si>
  <si>
    <t>2025-08-15T17:10:13</t>
  </si>
  <si>
    <t>2025-08-15T19:10:13</t>
  </si>
  <si>
    <t>SA0000000000000000001129</t>
  </si>
  <si>
    <t>2025-08-17T12:33:52</t>
  </si>
  <si>
    <t>2025-08-17T14:16:27</t>
  </si>
  <si>
    <t>SA0000000000000000001130</t>
  </si>
  <si>
    <t>2025-08-19T17:52:03</t>
  </si>
  <si>
    <t>2025-08-19T19:52:03</t>
  </si>
  <si>
    <t>SA0000000000000000001131</t>
  </si>
  <si>
    <t>2025-08-27T14:51:56</t>
  </si>
  <si>
    <t>2025-08-27T16:51:56</t>
  </si>
  <si>
    <t>SA0000000000000000001132</t>
  </si>
  <si>
    <t>2025-08-31T19:21:01</t>
  </si>
  <si>
    <t>2025-08-31T20:19:54</t>
  </si>
  <si>
    <t>SA0000000000000000001133</t>
  </si>
  <si>
    <t>2025-09-04T10:33:43</t>
  </si>
  <si>
    <t>2025-09-04T12:33:43</t>
  </si>
  <si>
    <t>SA0000000000000000001134</t>
  </si>
  <si>
    <t>2025-09-05T03:23:58</t>
  </si>
  <si>
    <t>2025-09-05T03:33:43</t>
  </si>
  <si>
    <t>SA0000000000000000001135</t>
  </si>
  <si>
    <t>2025-09-07T21:47:48</t>
  </si>
  <si>
    <t>2025-09-07T23:47:48</t>
  </si>
  <si>
    <t>SA0000000000000000001136</t>
  </si>
  <si>
    <t>2025-09-10T08:01:52</t>
  </si>
  <si>
    <t>2025-09-10T21:08:50</t>
  </si>
  <si>
    <t>SA0000000000000000001137</t>
  </si>
  <si>
    <t>2025-09-16T12:24:39</t>
  </si>
  <si>
    <t>2025-09-16T14:52:11</t>
  </si>
  <si>
    <t>SA0000000000000000001138</t>
  </si>
  <si>
    <t>2025-09-23T15:41:11</t>
  </si>
  <si>
    <t>2025-09-23T17:41:11</t>
  </si>
  <si>
    <t>SA0000000000000000001139</t>
  </si>
  <si>
    <t>2025-09-25T07:41:31</t>
  </si>
  <si>
    <t>2025-09-25T08:32:21</t>
  </si>
  <si>
    <t>SA0000000000000000001140</t>
  </si>
  <si>
    <t>2025-09-26T12:17:09</t>
  </si>
  <si>
    <t>2025-09-26T14:17:09</t>
  </si>
  <si>
    <t>SA0000000000000000001141</t>
  </si>
  <si>
    <t>2025-09-27T11:32:53</t>
  </si>
  <si>
    <t>2025-09-27T18:59:41</t>
  </si>
  <si>
    <t>SA0000000000000000001142</t>
  </si>
  <si>
    <t>2025-10-02T18:17:05</t>
  </si>
  <si>
    <t>2025-10-02T20:17:05</t>
  </si>
  <si>
    <t>SA0000000000000000001143</t>
  </si>
  <si>
    <t>2025-10-03T03:05:00</t>
  </si>
  <si>
    <t>2025-10-03T03:36:40</t>
  </si>
  <si>
    <t>SA0000000000000000001144</t>
  </si>
  <si>
    <t>2025-10-04T21:13:29</t>
  </si>
  <si>
    <t>2025-10-04T23:13:29</t>
  </si>
  <si>
    <t>SA0000000000000000001145</t>
  </si>
  <si>
    <t>2025-10-06T21:24:30</t>
  </si>
  <si>
    <t>2025-10-06T23:24:30</t>
  </si>
  <si>
    <t>SA0000000000000000001146</t>
  </si>
  <si>
    <t>2025-10-09T18:33:26</t>
  </si>
  <si>
    <t>2025-10-09T20:33:26</t>
  </si>
  <si>
    <t>SA0000000000000000001147</t>
  </si>
  <si>
    <t>2025-10-16T20:19:32</t>
  </si>
  <si>
    <t>2025-10-16T22:19:32</t>
  </si>
  <si>
    <t>SA0000000000000000001148</t>
  </si>
  <si>
    <t>2025-10-18T18:44:32</t>
  </si>
  <si>
    <t>2025-10-18T20:44:32</t>
  </si>
  <si>
    <t>SA0000000000000000001149</t>
  </si>
  <si>
    <t>2025-10-25T21:02:09</t>
  </si>
  <si>
    <t>2025-10-25T23:02:09</t>
  </si>
  <si>
    <t>SA0000000000000000001150</t>
  </si>
  <si>
    <t>2025-10-30T11:00:43</t>
  </si>
  <si>
    <t>2025-10-30T14:13:36</t>
  </si>
  <si>
    <t>SA0000000000000000001151</t>
  </si>
  <si>
    <t>2025-11-01T03:29:06</t>
  </si>
  <si>
    <t>2025-11-01T05:29:06</t>
  </si>
  <si>
    <t>SA0000000000000000001152</t>
  </si>
  <si>
    <t>2025-11-02T13:04:08</t>
  </si>
  <si>
    <t>2025-11-02T15:55:57</t>
  </si>
  <si>
    <t>SA0000000000000000001153</t>
  </si>
  <si>
    <t>2025-11-04T11:10:28</t>
  </si>
  <si>
    <t>2025-11-04T22:21:33</t>
  </si>
  <si>
    <t>SA0000000000000000001154</t>
  </si>
  <si>
    <t>2025-11-10T10:36:57</t>
  </si>
  <si>
    <t>2025-11-10T16:51:47</t>
  </si>
  <si>
    <t>SA0000000000000000001155</t>
  </si>
  <si>
    <t>2025-11-16T22:56:01</t>
  </si>
  <si>
    <t>2025-11-17T00:56:01</t>
  </si>
  <si>
    <t>SA0000000000000000001156</t>
  </si>
  <si>
    <t>2025-11-22T14:00:15</t>
  </si>
  <si>
    <t>2025-11-22T16:00:15</t>
  </si>
  <si>
    <t>SA0000000000000000001157</t>
  </si>
  <si>
    <t>2025-11-24T10:33:00</t>
  </si>
  <si>
    <t>2025-11-24T21:03:05</t>
  </si>
  <si>
    <t>SA0000000000000000001158</t>
  </si>
  <si>
    <t>2025-11-25T11:28:34</t>
  </si>
  <si>
    <t>2025-11-25T12:16:22</t>
  </si>
  <si>
    <t>SA0000000000000000001159</t>
  </si>
  <si>
    <t>2025-11-25T09:18:15</t>
  </si>
  <si>
    <t>2025-11-25T16:07:34</t>
  </si>
  <si>
    <t>SA0000000000000000001160</t>
  </si>
  <si>
    <t>2025-11-27T11:27:27</t>
  </si>
  <si>
    <t>2025-11-27T15:32:10</t>
  </si>
  <si>
    <t>SA0000000000000000001161</t>
  </si>
  <si>
    <t>2025-12-02T03:36:18</t>
  </si>
  <si>
    <t>2025-12-02T05:36:18</t>
  </si>
  <si>
    <t>SA0000000000000000001162</t>
  </si>
  <si>
    <t>2025-12-02T21:55:55</t>
  </si>
  <si>
    <t>2025-12-02T23:55:55</t>
  </si>
  <si>
    <t>SA0000000000000000001163</t>
  </si>
  <si>
    <t>2025-12-03T20:15:00</t>
  </si>
  <si>
    <t>2025-12-03T22:15:00</t>
  </si>
  <si>
    <t>SA0000000000000000001164</t>
  </si>
  <si>
    <t>2025-12-07T11:27:16</t>
  </si>
  <si>
    <t>2025-12-07T21:56:07</t>
  </si>
  <si>
    <t>SA0000000000000000001165</t>
  </si>
  <si>
    <t>2025-12-08T16:45:47</t>
  </si>
  <si>
    <t>2025-12-08T18:45:47</t>
  </si>
  <si>
    <t>SA0000000000000000001166</t>
  </si>
  <si>
    <t>2025-12-17T19:28:26</t>
  </si>
  <si>
    <t>2025-12-17T21:20:07</t>
  </si>
  <si>
    <t>SA0000000000000000001167</t>
  </si>
  <si>
    <t>2025-12-21T12:41:36</t>
  </si>
  <si>
    <t>2025-12-21T14:32:00</t>
  </si>
  <si>
    <t>SA0000000000000000001168</t>
  </si>
  <si>
    <t>2025-12-25T12:04:44</t>
  </si>
  <si>
    <t>2025-12-25T16:32:58</t>
  </si>
  <si>
    <t>SA0000000000000000001169</t>
  </si>
  <si>
    <t>2025-12-26T14:17:54</t>
  </si>
  <si>
    <t>2025-12-26T16:17:54</t>
  </si>
  <si>
    <t>SA0000000000000000001170</t>
  </si>
  <si>
    <t>2025-12-28T14:14:01</t>
  </si>
  <si>
    <t>2025-12-28T16:14:01</t>
  </si>
  <si>
    <t>SA0000000000000000001171</t>
  </si>
  <si>
    <t>2025-12-29T22:30:11</t>
  </si>
  <si>
    <t>2025-12-30T00:30:11</t>
  </si>
  <si>
    <t>SA0000000000000000001172</t>
  </si>
  <si>
    <t>📊  CREDIT SCORING CALCULATOR  —  CLT010 C Latifa</t>
  </si>
  <si>
    <t>ACC-154</t>
  </si>
  <si>
    <t>2025-06-01T03:07:10</t>
  </si>
  <si>
    <t>2025-06-01T03:15:06</t>
  </si>
  <si>
    <t>Multiple Micro-Loans Payment - Multiple BNPL Providers</t>
  </si>
  <si>
    <t>Multiple BNPL Providers</t>
  </si>
  <si>
    <t>SA0000000000000000001173</t>
  </si>
  <si>
    <t>Period: 2025-06 → 2026-02  |  9 months  |  94 transactions  |  Income = Salary (KSAOB.Deposit) per month</t>
  </si>
  <si>
    <t>2025-06-04T13:00:09</t>
  </si>
  <si>
    <t>2025-06-04T15:00:09</t>
  </si>
  <si>
    <t>SA0000000000000000001174</t>
  </si>
  <si>
    <t>2025-06-05T09:28:57</t>
  </si>
  <si>
    <t>2025-06-05T15:06:35</t>
  </si>
  <si>
    <t>SA0000000000000000001175</t>
  </si>
  <si>
    <t>2025-06-12T09:29:20</t>
  </si>
  <si>
    <t>2025-06-12T22:54:32</t>
  </si>
  <si>
    <t>SA0000000000000000001176</t>
  </si>
  <si>
    <t>2025-06-13T11:15:49</t>
  </si>
  <si>
    <t>2025-06-13T18:23:04</t>
  </si>
  <si>
    <t>SA0000000000000000001177</t>
  </si>
  <si>
    <t>2025-06-14T21:09:13</t>
  </si>
  <si>
    <t>2025-06-14T23:09:13</t>
  </si>
  <si>
    <t>SA0000000000000000001178</t>
  </si>
  <si>
    <t>2025-06-22T16:36:26</t>
  </si>
  <si>
    <t>2025-06-22T21:05:55</t>
  </si>
  <si>
    <t>SA0000000000000000001179</t>
  </si>
  <si>
    <t>2025-06-25T11:17:17</t>
  </si>
  <si>
    <t>2025-06-25T12:30:16</t>
  </si>
  <si>
    <t>Salary - App-based Delivery / Gig Work / راتب</t>
  </si>
  <si>
    <t>App-based Delivery / Gig Work</t>
  </si>
  <si>
    <t>SA0000000000000000001180</t>
  </si>
  <si>
    <t>2025-06-28T20:38:00</t>
  </si>
  <si>
    <t>2025-06-28T22:38:00</t>
  </si>
  <si>
    <t>SA0000000000000000001181</t>
  </si>
  <si>
    <t>2025-06-29T19:34:28</t>
  </si>
  <si>
    <t>2025-06-29T21:34:28</t>
  </si>
  <si>
    <t>SA0000000000000000001182</t>
  </si>
  <si>
    <t>2025-07-03T03:16:01</t>
  </si>
  <si>
    <t>2025-07-03T03:32:39</t>
  </si>
  <si>
    <t>SA0000000000000000001183</t>
  </si>
  <si>
    <t>2025-07-04T19:33:05</t>
  </si>
  <si>
    <t>2025-07-04T21:33:05</t>
  </si>
  <si>
    <t>SA0000000000000000001184</t>
  </si>
  <si>
    <t>2025-07-07T16:14:52</t>
  </si>
  <si>
    <t>2025-07-07T19:25:58</t>
  </si>
  <si>
    <t>SA0000000000000000001185</t>
  </si>
  <si>
    <t>2025-07-15T10:59:52</t>
  </si>
  <si>
    <t>2025-07-15T18:00:49</t>
  </si>
  <si>
    <t>SA0000000000000000001186</t>
  </si>
  <si>
    <t>2025-07-16T12:13:05</t>
  </si>
  <si>
    <t>2025-07-16T17:34:37</t>
  </si>
  <si>
    <t>SA0000000000000000001187</t>
  </si>
  <si>
    <t>2025-07-19T07:48:40</t>
  </si>
  <si>
    <t>2025-07-19T15:36:44</t>
  </si>
  <si>
    <t>SA0000000000000000001188</t>
  </si>
  <si>
    <t>2025-07-21T12:05:48</t>
  </si>
  <si>
    <t>2025-07-21T14:05:48</t>
  </si>
  <si>
    <t>SA0000000000000000001189</t>
  </si>
  <si>
    <t>2025-07-22T13:46:56</t>
  </si>
  <si>
    <t>2025-07-22T15:46:56</t>
  </si>
  <si>
    <t>SA0000000000000000001190</t>
  </si>
  <si>
    <t>2025-07-23T16:24:24</t>
  </si>
  <si>
    <t>2025-07-23T18:24:24</t>
  </si>
  <si>
    <t>SA0000000000000000001191</t>
  </si>
  <si>
    <t>2025-07-24T13:06:46</t>
  </si>
  <si>
    <t>2025-07-24T15:06:46</t>
  </si>
  <si>
    <t>SA0000000000000000001192</t>
  </si>
  <si>
    <t>2025-07-29T16:14:53</t>
  </si>
  <si>
    <t>2025-07-29T19:32:00</t>
  </si>
  <si>
    <t>SA0000000000000000001193</t>
  </si>
  <si>
    <t>2025-07-30T11:43:39</t>
  </si>
  <si>
    <t>2025-07-30T13:06:30</t>
  </si>
  <si>
    <t>SA0000000000000000001194</t>
  </si>
  <si>
    <t>2025-07-30T10:28:37</t>
  </si>
  <si>
    <t>2025-07-30T13:02:57</t>
  </si>
  <si>
    <t>SA0000000000000000001195</t>
  </si>
  <si>
    <t>2025-08-05T03:48:19</t>
  </si>
  <si>
    <t>2025-08-05T05:48:19</t>
  </si>
  <si>
    <t>SA0000000000000000001196</t>
  </si>
  <si>
    <t>2025-08-06T12:34:58</t>
  </si>
  <si>
    <t>2025-08-06T19:20:32</t>
  </si>
  <si>
    <t>SA0000000000000000001197</t>
  </si>
  <si>
    <t>2025-08-07T14:16:06</t>
  </si>
  <si>
    <t>2025-08-07T18:32:44</t>
  </si>
  <si>
    <t>SA0000000000000000001198</t>
  </si>
  <si>
    <t>2025-08-14T12:56:05</t>
  </si>
  <si>
    <t>2025-08-14T16:39:03</t>
  </si>
  <si>
    <t>SA0000000000000000001199</t>
  </si>
  <si>
    <t>2025-08-17T20:37:54</t>
  </si>
  <si>
    <t>2025-08-17T22:37:54</t>
  </si>
  <si>
    <t>SA0000000000000000001200</t>
  </si>
  <si>
    <t>2025-08-21T17:07:04</t>
  </si>
  <si>
    <t>2025-08-21T19:07:04</t>
  </si>
  <si>
    <t>SA0000000000000000001201</t>
  </si>
  <si>
    <t>2025-08-27T12:13:54</t>
  </si>
  <si>
    <t>2025-08-27T12:54:36</t>
  </si>
  <si>
    <t>SA0000000000000000001202</t>
  </si>
  <si>
    <t>2025-08-28T11:53:27</t>
  </si>
  <si>
    <t>2025-08-28T11:54:21</t>
  </si>
  <si>
    <t>SA0000000000000000001203</t>
  </si>
  <si>
    <t>2025-08-28T13:49:55</t>
  </si>
  <si>
    <t>2025-08-28T15:49:55</t>
  </si>
  <si>
    <t>SA0000000000000000001204</t>
  </si>
  <si>
    <t>2025-08-31T22:38:09</t>
  </si>
  <si>
    <t>2025-09-01T00:38:09</t>
  </si>
  <si>
    <t>SA0000000000000000001205</t>
  </si>
  <si>
    <t>2025-09-01T03:46:20</t>
  </si>
  <si>
    <t>2025-09-01T05:46:20</t>
  </si>
  <si>
    <t>SA0000000000000000001206</t>
  </si>
  <si>
    <t>2025-09-13T13:11:24</t>
  </si>
  <si>
    <t>2025-09-13T15:11:24</t>
  </si>
  <si>
    <t>SA0000000000000000001207</t>
  </si>
  <si>
    <t>2025-09-14T09:50:51</t>
  </si>
  <si>
    <t>2025-09-14T18:20:22</t>
  </si>
  <si>
    <t>SA0000000000000000001208</t>
  </si>
  <si>
    <t>2025-09-18T19:13:55</t>
  </si>
  <si>
    <t>2025-09-18T21:13:55</t>
  </si>
  <si>
    <t>SA0000000000000000001209</t>
  </si>
  <si>
    <t>2025-09-21T22:57:50</t>
  </si>
  <si>
    <t>2025-09-22T00:57:50</t>
  </si>
  <si>
    <t>SA0000000000000000001210</t>
  </si>
  <si>
    <t>2025-09-23T10:24:26</t>
  </si>
  <si>
    <t>2025-09-23T12:24:26</t>
  </si>
  <si>
    <t>SA0000000000000000001211</t>
  </si>
  <si>
    <t>2025-09-28T10:20:29</t>
  </si>
  <si>
    <t>2025-09-28T14:16:18</t>
  </si>
  <si>
    <t>SA0000000000000000001212</t>
  </si>
  <si>
    <t>2025-09-28T15:46:55</t>
  </si>
  <si>
    <t>2025-09-28T18:22:44</t>
  </si>
  <si>
    <t>SA0000000000000000001213</t>
  </si>
  <si>
    <t>2025-09-29T22:08:08</t>
  </si>
  <si>
    <t>2025-09-30T00:08:08</t>
  </si>
  <si>
    <t>SA0000000000000000001214</t>
  </si>
  <si>
    <t>2025-10-04T03:07:03</t>
  </si>
  <si>
    <t>2025-10-04T03:34:28</t>
  </si>
  <si>
    <t>SA0000000000000000001215</t>
  </si>
  <si>
    <t>2025-10-05T20:50:45</t>
  </si>
  <si>
    <t>2025-10-05T22:50:45</t>
  </si>
  <si>
    <t>SA0000000000000000001216</t>
  </si>
  <si>
    <t>2025-10-06T19:36:21</t>
  </si>
  <si>
    <t>2025-10-06T21:36:21</t>
  </si>
  <si>
    <t>SA0000000000000000001217</t>
  </si>
  <si>
    <t>2025-10-09T16:23:15</t>
  </si>
  <si>
    <t>2025-10-09T18:23:15</t>
  </si>
  <si>
    <t>SA0000000000000000001218</t>
  </si>
  <si>
    <t>2025-10-11T19:39:41</t>
  </si>
  <si>
    <t>2025-10-11T21:39:41</t>
  </si>
  <si>
    <t>SA0000000000000000001219</t>
  </si>
  <si>
    <t>2025-10-16T22:56:04</t>
  </si>
  <si>
    <t>2025-10-17T00:56:04</t>
  </si>
  <si>
    <t>SA0000000000000000001220</t>
  </si>
  <si>
    <t>2025-10-17T19:04:21</t>
  </si>
  <si>
    <t>2025-10-17T21:04:21</t>
  </si>
  <si>
    <t>SA0000000000000000001221</t>
  </si>
  <si>
    <t>2025-10-26T20:05:58</t>
  </si>
  <si>
    <t>2025-10-26T22:05:58</t>
  </si>
  <si>
    <t>SA0000000000000000001222</t>
  </si>
  <si>
    <t>2025-10-28T09:55:51</t>
  </si>
  <si>
    <t>2025-10-28T10:50:12</t>
  </si>
  <si>
    <t>SA0000000000000000001223</t>
  </si>
  <si>
    <t>2025-10-29T22:04:26</t>
  </si>
  <si>
    <t>2025-10-30T00:04:26</t>
  </si>
  <si>
    <t>SA0000000000000000001224</t>
  </si>
  <si>
    <t>2025-11-02T22:35:43</t>
  </si>
  <si>
    <t>2025-11-03T00:35:43</t>
  </si>
  <si>
    <t>SA0000000000000000001225</t>
  </si>
  <si>
    <t>2025-11-03T03:03:42</t>
  </si>
  <si>
    <t>2025-11-03T03:32:57</t>
  </si>
  <si>
    <t>SA0000000000000000001226</t>
  </si>
  <si>
    <t>2025-11-03T11:23:49</t>
  </si>
  <si>
    <t>2025-11-03T15:18:23</t>
  </si>
  <si>
    <t>SA0000000000000000001227</t>
  </si>
  <si>
    <t>2025-11-05T16:49:46</t>
  </si>
  <si>
    <t>2025-11-05T20:09:14</t>
  </si>
  <si>
    <t>SA0000000000000000001228</t>
  </si>
  <si>
    <t>2025-11-06T08:03:42</t>
  </si>
  <si>
    <t>2025-11-06T10:03:42</t>
  </si>
  <si>
    <t>SA0000000000000000001229</t>
  </si>
  <si>
    <t>2025-11-10T14:36:07</t>
  </si>
  <si>
    <t>2025-11-10T17:42:49</t>
  </si>
  <si>
    <t>SA0000000000000000001230</t>
  </si>
  <si>
    <t>2025-11-13T19:34:38</t>
  </si>
  <si>
    <t>2025-11-13T21:34:38</t>
  </si>
  <si>
    <t>SA0000000000000000001231</t>
  </si>
  <si>
    <t>2025-11-20T19:08:02</t>
  </si>
  <si>
    <t>2025-11-20T21:08:02</t>
  </si>
  <si>
    <t>SA0000000000000000001232</t>
  </si>
  <si>
    <t>2025-11-25T07:45:08</t>
  </si>
  <si>
    <t>2025-11-25T14:19:28</t>
  </si>
  <si>
    <t>SA0000000000000000001233</t>
  </si>
  <si>
    <t>2025-11-28T11:30:02</t>
  </si>
  <si>
    <t>2025-11-28T13:30:02</t>
  </si>
  <si>
    <t>SA0000000000000000001234</t>
  </si>
  <si>
    <t>2025-11-29T13:58:04</t>
  </si>
  <si>
    <t>2025-11-29T15:58:04</t>
  </si>
  <si>
    <t>SA0000000000000000001235</t>
  </si>
  <si>
    <t>2025-12-03T19:29:42</t>
  </si>
  <si>
    <t>2025-12-03T21:29:42</t>
  </si>
  <si>
    <t>SA0000000000000000001236</t>
  </si>
  <si>
    <t>2025-12-05T03:21:37</t>
  </si>
  <si>
    <t>2025-12-05T05:21:37</t>
  </si>
  <si>
    <t>SA0000000000000000001237</t>
  </si>
  <si>
    <t>2025-12-06T14:31:03</t>
  </si>
  <si>
    <t>2025-12-06T19:41:59</t>
  </si>
  <si>
    <t>SA0000000000000000001238</t>
  </si>
  <si>
    <t>2025-12-10T11:22:33</t>
  </si>
  <si>
    <t>2025-12-10T11:27:09</t>
  </si>
  <si>
    <t>SA0000000000000000001239</t>
  </si>
  <si>
    <t>2025-12-17T15:24:11</t>
  </si>
  <si>
    <t>2025-12-17T20:04:13</t>
  </si>
  <si>
    <t>SA0000000000000000001240</t>
  </si>
  <si>
    <t>2025-12-19T11:19:06</t>
  </si>
  <si>
    <t>2025-12-19T12:20:43</t>
  </si>
  <si>
    <t>SA0000000000000000001241</t>
  </si>
  <si>
    <t>2025-12-21T17:35:52</t>
  </si>
  <si>
    <t>2025-12-21T19:35:52</t>
  </si>
  <si>
    <t>SA0000000000000000001242</t>
  </si>
  <si>
    <t>2025-12-23T22:51:00</t>
  </si>
  <si>
    <t>2025-12-24T00:51:00</t>
  </si>
  <si>
    <t>SA0000000000000000001243</t>
  </si>
  <si>
    <t>2025-12-24T15:49:05</t>
  </si>
  <si>
    <t>2025-12-24T17:49:05</t>
  </si>
  <si>
    <t>SA0000000000000000001244</t>
  </si>
  <si>
    <t>2025-12-27T13:18:10</t>
  </si>
  <si>
    <t>2025-12-27T15:18:10</t>
  </si>
  <si>
    <t>SA0000000000000000001245</t>
  </si>
  <si>
    <t>2025-12-29T09:58:59</t>
  </si>
  <si>
    <t>2025-12-29T14:53:49</t>
  </si>
  <si>
    <t>SA0000000000000000001246</t>
  </si>
  <si>
    <t>2025-12-31T21:13:51</t>
  </si>
  <si>
    <t>2025-12-31T23:13:51</t>
  </si>
  <si>
    <t>SA0000000000000000001247</t>
  </si>
  <si>
    <t>2026-01-01T03:28:14</t>
  </si>
  <si>
    <t>2026-01-01T03:43:23</t>
  </si>
  <si>
    <t>SA0000000000000000001248</t>
  </si>
  <si>
    <t>2026-01-05T12:15:32</t>
  </si>
  <si>
    <t>2026-01-05T12:57:18</t>
  </si>
  <si>
    <t>SA0000000000000000001249</t>
  </si>
  <si>
    <t>2026-01-08T11:45:44</t>
  </si>
  <si>
    <t>2026-01-08T13:45:44</t>
  </si>
  <si>
    <t>SA0000000000000000001250</t>
  </si>
  <si>
    <t>2026-01-12T19:01:30</t>
  </si>
  <si>
    <t>2026-01-12T21:01:30</t>
  </si>
  <si>
    <t>SA0000000000000000001251</t>
  </si>
  <si>
    <t>2026-01-16T21:51:31</t>
  </si>
  <si>
    <t>2026-01-16T23:51:31</t>
  </si>
  <si>
    <t>SA0000000000000000001252</t>
  </si>
  <si>
    <t>2026-01-18T12:35:56</t>
  </si>
  <si>
    <t>2026-01-18T22:40:41</t>
  </si>
  <si>
    <t>SA0000000000000000001253</t>
  </si>
  <si>
    <t>2026-01-21T14:32:31</t>
  </si>
  <si>
    <t>2026-01-21T16:32:31</t>
  </si>
  <si>
    <t>SA0000000000000000001254</t>
  </si>
  <si>
    <t>2026-01-22T21:45:09</t>
  </si>
  <si>
    <t>2026-01-22T23:45:09</t>
  </si>
  <si>
    <t>SA0000000000000000001255</t>
  </si>
  <si>
    <t>2026-01-28T09:19:09</t>
  </si>
  <si>
    <t>2026-01-28T11:19:09</t>
  </si>
  <si>
    <t>SA0000000000000000001256</t>
  </si>
  <si>
    <t>2026-01-31T20:05:51</t>
  </si>
  <si>
    <t>2026-01-31T22:05:51</t>
  </si>
  <si>
    <t>SA0000000000000000001257</t>
  </si>
  <si>
    <t>2026-02-03T03:23:42</t>
  </si>
  <si>
    <t>2026-02-03T05:23:42</t>
  </si>
  <si>
    <t>SA0000000000000000001258</t>
  </si>
  <si>
    <t>2026-02-03T19:35:08</t>
  </si>
  <si>
    <t>2026-02-03T21:35:08</t>
  </si>
  <si>
    <t>SA0000000000000000001259</t>
  </si>
  <si>
    <t>2026-02-04T19:35:10</t>
  </si>
  <si>
    <t>2026-02-04T21:35:10</t>
  </si>
  <si>
    <t>SA0000000000000000001260</t>
  </si>
  <si>
    <t>2026-02-09T15:31:11</t>
  </si>
  <si>
    <t>2026-02-09T17:31:11</t>
  </si>
  <si>
    <t>SA0000000000000000001261</t>
  </si>
  <si>
    <t>2026-02-16T13:04:01</t>
  </si>
  <si>
    <t>2026-02-16T20:11:52</t>
  </si>
  <si>
    <t>SA0000000000000000001262</t>
  </si>
  <si>
    <t>2026-02-22T14:46:47</t>
  </si>
  <si>
    <t>2026-02-22T18:06:10</t>
  </si>
  <si>
    <t>SA0000000000000000001263</t>
  </si>
  <si>
    <t>2026-02-23T10:40:56</t>
  </si>
  <si>
    <t>2026-02-23T14:37:35</t>
  </si>
  <si>
    <t>SA0000000000000000001264</t>
  </si>
  <si>
    <t>2026-02-25T20:18:11</t>
  </si>
  <si>
    <t>2026-02-25T22:07:26</t>
  </si>
  <si>
    <t>SA0000000000000000001265</t>
  </si>
  <si>
    <t>2026-02-27T08:55:43</t>
  </si>
  <si>
    <t>2026-02-27T12:03:17</t>
  </si>
  <si>
    <t>SA0000000000000000001266</t>
  </si>
  <si>
    <t>📊  CREDIT SCORING CALCULATOR  —  CLT011 D Hamad</t>
  </si>
  <si>
    <t>ACC-155</t>
  </si>
  <si>
    <t>2025-09-02T03:18:30</t>
  </si>
  <si>
    <t>2025-09-02T03:51:53</t>
  </si>
  <si>
    <t>Predatory BNPL / Multiple Defaults Payment - Multiple BNPL - Tabby / SplitIt</t>
  </si>
  <si>
    <t>Multiple BNPL - Tabby / SplitIt</t>
  </si>
  <si>
    <t>SA0000000000000000001267</t>
  </si>
  <si>
    <t>Bank Albilad</t>
  </si>
  <si>
    <t>ALBISARI</t>
  </si>
  <si>
    <t>Period: 2025-09 → 2026-02  |  6 months  |  56 transactions  |  Income = Salary (KSAOB.Deposit) per month</t>
  </si>
  <si>
    <t>2025-09-02T20:20:43</t>
  </si>
  <si>
    <t>2025-09-02T22:20:43</t>
  </si>
  <si>
    <t>SA0000000000000000001268</t>
  </si>
  <si>
    <t>2025-09-03T20:50:56</t>
  </si>
  <si>
    <t>2025-09-03T22:50:56</t>
  </si>
  <si>
    <t>SA0000000000000000001269</t>
  </si>
  <si>
    <t>2025-09-04T15:58:50</t>
  </si>
  <si>
    <t>2025-09-04T17:58:50</t>
  </si>
  <si>
    <t>SA0000000000000000001270</t>
  </si>
  <si>
    <t>2025-09-13T09:42:32</t>
  </si>
  <si>
    <t>2025-09-13T15:49:56</t>
  </si>
  <si>
    <t>SA0000000000000000001271</t>
  </si>
  <si>
    <t>2025-09-16T22:03:44</t>
  </si>
  <si>
    <t>2025-09-17T00:03:44</t>
  </si>
  <si>
    <t>SA0000000000000000001272</t>
  </si>
  <si>
    <t>2025-09-26T22:38:16</t>
  </si>
  <si>
    <t>2025-09-27T00:38:16</t>
  </si>
  <si>
    <t>SA0000000000000000001273</t>
  </si>
  <si>
    <t>2025-09-27T19:49:47</t>
  </si>
  <si>
    <t>2025-09-27T21:49:47</t>
  </si>
  <si>
    <t>SA0000000000000000001274</t>
  </si>
  <si>
    <t>2025-09-28T10:58:15</t>
  </si>
  <si>
    <t>2025-09-28T12:58:15</t>
  </si>
  <si>
    <t>Salary - Part-time Cashier / راتب</t>
  </si>
  <si>
    <t>Part-time Cashier</t>
  </si>
  <si>
    <t>SA0000000000000000001275</t>
  </si>
  <si>
    <t>2025-09-28T17:17:52</t>
  </si>
  <si>
    <t>2025-09-28T19:17:52</t>
  </si>
  <si>
    <t>SA0000000000000000001276</t>
  </si>
  <si>
    <t>2025-09-30T08:57:04</t>
  </si>
  <si>
    <t>2025-09-30T21:52:37</t>
  </si>
  <si>
    <t>SA0000000000000000001277</t>
  </si>
  <si>
    <t>2025-10-04T03:04:27</t>
  </si>
  <si>
    <t>2025-10-04T03:58:38</t>
  </si>
  <si>
    <t>SA0000000000000000001278</t>
  </si>
  <si>
    <t>2025-10-07T14:40:38</t>
  </si>
  <si>
    <t>2025-10-07T18:56:08</t>
  </si>
  <si>
    <t>SA0000000000000000001279</t>
  </si>
  <si>
    <t>2025-10-12T09:32:40</t>
  </si>
  <si>
    <t>2025-10-12T11:32:40</t>
  </si>
  <si>
    <t>SA0000000000000000001280</t>
  </si>
  <si>
    <t>2025-10-14T07:59:43</t>
  </si>
  <si>
    <t>2025-10-14T22:36:21</t>
  </si>
  <si>
    <t>SA0000000000000000001281</t>
  </si>
  <si>
    <t>2025-10-17T18:14:40</t>
  </si>
  <si>
    <t>2025-10-17T19:43:45</t>
  </si>
  <si>
    <t>SA0000000000000000001282</t>
  </si>
  <si>
    <t>2025-10-25T18:07:00</t>
  </si>
  <si>
    <t>2025-10-25T18:21:06</t>
  </si>
  <si>
    <t>SA0000000000000000001283</t>
  </si>
  <si>
    <t>2025-10-29T10:05:08</t>
  </si>
  <si>
    <t>2025-10-29T12:05:08</t>
  </si>
  <si>
    <t>SA0000000000000000001284</t>
  </si>
  <si>
    <t>2025-10-30T17:16:22</t>
  </si>
  <si>
    <t>2025-10-30T19:16:22</t>
  </si>
  <si>
    <t>SA0000000000000000001285</t>
  </si>
  <si>
    <t>2025-11-04T03:59:30</t>
  </si>
  <si>
    <t>2025-11-04T05:59:30</t>
  </si>
  <si>
    <t>SA0000000000000000001286</t>
  </si>
  <si>
    <t>2025-11-04T07:01:26</t>
  </si>
  <si>
    <t>2025-11-04T19:44:10</t>
  </si>
  <si>
    <t>SA0000000000000000001287</t>
  </si>
  <si>
    <t>2025-11-15T14:19:05</t>
  </si>
  <si>
    <t>2025-11-15T22:17:51</t>
  </si>
  <si>
    <t>SA0000000000000000001288</t>
  </si>
  <si>
    <t>2025-11-16T18:06:33</t>
  </si>
  <si>
    <t>2025-11-16T20:50:28</t>
  </si>
  <si>
    <t>SA0000000000000000001289</t>
  </si>
  <si>
    <t>2025-11-18T14:14:09</t>
  </si>
  <si>
    <t>2025-11-18T19:26:09</t>
  </si>
  <si>
    <t>SA0000000000000000001290</t>
  </si>
  <si>
    <t>2025-11-19T19:39:27</t>
  </si>
  <si>
    <t>2025-11-19T21:39:27</t>
  </si>
  <si>
    <t>SA0000000000000000001291</t>
  </si>
  <si>
    <t>2025-11-25T10:56:43</t>
  </si>
  <si>
    <t>2025-11-25T12:56:43</t>
  </si>
  <si>
    <t>SA0000000000000000001292</t>
  </si>
  <si>
    <t>2025-11-26T09:07:29</t>
  </si>
  <si>
    <t>2025-11-26T19:13:50</t>
  </si>
  <si>
    <t>SA0000000000000000001293</t>
  </si>
  <si>
    <t>2025-11-28T13:24:14</t>
  </si>
  <si>
    <t>2025-11-28T20:56:10</t>
  </si>
  <si>
    <t>SA0000000000000000001294</t>
  </si>
  <si>
    <t>2025-11-30T07:45:38</t>
  </si>
  <si>
    <t>2025-11-30T07:48:42</t>
  </si>
  <si>
    <t>SA0000000000000000001295</t>
  </si>
  <si>
    <t>2025-12-02T03:49:43</t>
  </si>
  <si>
    <t>2025-12-02T05:49:43</t>
  </si>
  <si>
    <t>SA0000000000000000001296</t>
  </si>
  <si>
    <t>2025-12-04T21:37:00</t>
  </si>
  <si>
    <t>2025-12-04T23:37:00</t>
  </si>
  <si>
    <t>SA0000000000000000001297</t>
  </si>
  <si>
    <t>2025-12-15T09:20:52</t>
  </si>
  <si>
    <t>2025-12-15T14:40:30</t>
  </si>
  <si>
    <t>SA0000000000000000001298</t>
  </si>
  <si>
    <t>2025-12-20T11:32:09</t>
  </si>
  <si>
    <t>2025-12-20T13:32:09</t>
  </si>
  <si>
    <t>SA0000000000000000001299</t>
  </si>
  <si>
    <t>2025-12-25T08:16:08</t>
  </si>
  <si>
    <t>2025-12-25T10:18:45</t>
  </si>
  <si>
    <t>SA0000000000000000001300</t>
  </si>
  <si>
    <t>2025-12-27T17:49:42</t>
  </si>
  <si>
    <t>2025-12-27T21:14:54</t>
  </si>
  <si>
    <t>SA0000000000000000001301</t>
  </si>
  <si>
    <t>2025-12-31T14:04:06</t>
  </si>
  <si>
    <t>2025-12-31T16:04:06</t>
  </si>
  <si>
    <t>SA0000000000000000001302</t>
  </si>
  <si>
    <t>2025-12-31T12:45:47</t>
  </si>
  <si>
    <t>2025-12-31T14:45:47</t>
  </si>
  <si>
    <t>SA0000000000000000001303</t>
  </si>
  <si>
    <t>2026-01-03T03:11:51</t>
  </si>
  <si>
    <t>2026-01-03T03:39:22</t>
  </si>
  <si>
    <t>SA0000000000000000001304</t>
  </si>
  <si>
    <t>2026-01-05T22:35:55</t>
  </si>
  <si>
    <t>2026-01-06T00:35:55</t>
  </si>
  <si>
    <t>SA0000000000000000001305</t>
  </si>
  <si>
    <t>2026-01-07T10:14:18</t>
  </si>
  <si>
    <t>2026-01-07T11:43:36</t>
  </si>
  <si>
    <t>SA0000000000000000001306</t>
  </si>
  <si>
    <t>2026-01-08T22:10:12</t>
  </si>
  <si>
    <t>2026-01-08T22:56:05</t>
  </si>
  <si>
    <t>SA0000000000000000001307</t>
  </si>
  <si>
    <t>2026-01-13T21:53:51</t>
  </si>
  <si>
    <t>2026-01-13T23:53:51</t>
  </si>
  <si>
    <t>SA0000000000000000001308</t>
  </si>
  <si>
    <t>2026-01-15T22:32:50</t>
  </si>
  <si>
    <t>2026-01-16T00:32:50</t>
  </si>
  <si>
    <t>SA0000000000000000001309</t>
  </si>
  <si>
    <t>2026-01-16T19:56:26</t>
  </si>
  <si>
    <t>2026-01-16T22:10:53</t>
  </si>
  <si>
    <t>SA0000000000000000001310</t>
  </si>
  <si>
    <t>2026-01-17T15:45:07</t>
  </si>
  <si>
    <t>2026-01-17T17:45:07</t>
  </si>
  <si>
    <t>SA0000000000000000001311</t>
  </si>
  <si>
    <t>2026-01-29T08:38:34</t>
  </si>
  <si>
    <t>2026-01-29T10:16:52</t>
  </si>
  <si>
    <t>SA0000000000000000001312</t>
  </si>
  <si>
    <t>2026-02-02T03:47:24</t>
  </si>
  <si>
    <t>2026-02-02T05:47:24</t>
  </si>
  <si>
    <t>SA0000000000000000001313</t>
  </si>
  <si>
    <t>2026-02-03T11:11:02</t>
  </si>
  <si>
    <t>2026-02-03T22:41:26</t>
  </si>
  <si>
    <t>SA0000000000000000001314</t>
  </si>
  <si>
    <t>2026-02-06T20:25:02</t>
  </si>
  <si>
    <t>2026-02-06T22:25:02</t>
  </si>
  <si>
    <t>SA0000000000000000001315</t>
  </si>
  <si>
    <t>2026-02-13T21:47:21</t>
  </si>
  <si>
    <t>2026-02-13T23:47:21</t>
  </si>
  <si>
    <t>SA0000000000000000001316</t>
  </si>
  <si>
    <t>2026-02-15T07:07:44</t>
  </si>
  <si>
    <t>2026-02-15T17:06:31</t>
  </si>
  <si>
    <t>SA0000000000000000001317</t>
  </si>
  <si>
    <t>2026-02-16T16:26:37</t>
  </si>
  <si>
    <t>2026-02-16T18:26:37</t>
  </si>
  <si>
    <t>SA0000000000000000001318</t>
  </si>
  <si>
    <t>2026-02-23T11:18:13</t>
  </si>
  <si>
    <t>2026-02-23T13:18:13</t>
  </si>
  <si>
    <t>SA0000000000000000001319</t>
  </si>
  <si>
    <t>2026-02-25T13:30:02</t>
  </si>
  <si>
    <t>2026-02-25T13:58:37</t>
  </si>
  <si>
    <t>SA0000000000000000001320</t>
  </si>
  <si>
    <t>2026-02-26T09:05:28</t>
  </si>
  <si>
    <t>2026-02-26T15:06:01</t>
  </si>
  <si>
    <t>SA0000000000000000001321</t>
  </si>
  <si>
    <t>2026-02-28T11:27:51</t>
  </si>
  <si>
    <t>2026-02-28T13:27:51</t>
  </si>
  <si>
    <t>SA0000000000000000001322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</si>
</sst>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#,##0.00;[Red]\(#,##0.00\);\-"/>
    <numFmt numFmtId="166" formatCode="0.0"/>
    <numFmt numFmtId="167" formatCode="0.0%"/>
  </numFmts>
  <fonts count="24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9"/>
      <color rgb="FF0000FF"/>
      <name val="Arial"/>
      <charset val="1"/>
    </font>
    <font>
      <b/>
      <sz val="12"/>
      <color rgb="FF0000FF"/>
      <name val="Arial"/>
      <charset val="1"/>
    </font>
    <font>
      <sz val="9"/>
      <color rgb="FF000000"/>
      <name val="Arial"/>
      <charset val="1"/>
    </font>
    <font>
      <i/>
      <sz val="9"/>
      <color rgb="FF404040"/>
      <name val="Arial"/>
      <charset val="1"/>
    </font>
    <font>
      <b/>
      <sz val="8"/>
      <color rgb="FFFFFFFF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sz val="9"/>
      <color rgb="FF404040"/>
      <name val="Arial"/>
      <charset val="1"/>
    </font>
    <font>
      <b/>
      <sz val="11"/>
      <color rgb="FF1A5276"/>
      <name val="Arial"/>
      <charset val="1"/>
    </font>
    <font>
      <b/>
      <sz val="12"/>
      <color rgb="FFFFFFFF"/>
      <name val="Arial"/>
      <charset val="1"/>
    </font>
    <font>
      <b/>
      <sz val="18"/>
      <color rgb="FFFFD700"/>
      <name val="Arial"/>
      <charset val="1"/>
    </font>
    <font>
      <sz val="10"/>
      <color rgb="FFAAAAAA"/>
      <name val="Arial"/>
      <charset val="1"/>
    </font>
    <font>
      <i/>
      <sz val="9"/>
      <color rgb="FFCCCCCC"/>
      <name val="Arial"/>
      <charset val="1"/>
    </font>
    <font>
      <b/>
      <sz val="11"/>
      <color rgb="FFFFFFFF"/>
      <name val="Arial"/>
      <charset val="1"/>
    </font>
    <font>
      <i/>
      <sz val="8"/>
      <color rgb="FFFFFFFF"/>
      <name val="Arial"/>
      <charset val="1"/>
    </font>
    <font>
      <b/>
      <sz val="10"/>
      <color rgb="FF145A32"/>
      <name val="Arial"/>
      <charset val="1"/>
    </font>
    <font>
      <i/>
      <sz val="8"/>
      <color rgb="FF404040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C8D8E8"/>
        <bgColor rgb="FFD6E4F7"/>
      </patternFill>
    </fill>
    <fill>
      <patternFill patternType="solid">
        <fgColor rgb="FF1F3864"/>
        <bgColor rgb="FF1F4E79"/>
      </patternFill>
    </fill>
    <fill>
      <patternFill patternType="solid">
        <fgColor rgb="FFEBF3FB"/>
        <bgColor rgb="FFE8F4FD"/>
      </patternFill>
    </fill>
    <fill>
      <patternFill patternType="solid">
        <fgColor rgb="FF2F5496"/>
        <bgColor rgb="FF1F4E79"/>
      </patternFill>
    </fill>
    <fill>
      <patternFill patternType="solid">
        <fgColor rgb="FFFFF2CC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BF3FB"/>
      </patternFill>
    </fill>
    <fill>
      <patternFill patternType="solid">
        <fgColor rgb="FFD6E4F7"/>
        <bgColor rgb="FFD5E8D4"/>
      </patternFill>
    </fill>
    <fill>
      <patternFill patternType="solid">
        <fgColor rgb="FFD5E8D4"/>
        <bgColor rgb="FFD6E4F7"/>
      </patternFill>
    </fill>
    <fill>
      <patternFill patternType="solid">
        <fgColor rgb="FFE8F4FD"/>
        <bgColor rgb="FFEBF3FB"/>
      </patternFill>
    </fill>
    <fill>
      <patternFill patternType="solid">
        <fgColor rgb="FF0E6655"/>
        <bgColor rgb="FF145A3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1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/>
    <xf numFmtId="0" fontId="3" fillId="5" borderId="0" xfId="0" applyFont="1" applyFill="1" applyAlignment="1"/>
    <xf numFmtId="0" fontId="3" fillId="0" borderId="0" xfId="0" applyFont="1" applyAlignment="1"/>
    <xf numFmtId="0" fontId="5" fillId="7" borderId="2" xfId="0" applyFont="1" applyFill="1" applyBorder="1" applyAlignment="1">
      <alignment horizontal="left" vertical="center"/>
    </xf>
    <xf numFmtId="1" fontId="6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164" fontId="10" fillId="5" borderId="2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164" fontId="10" fillId="8" borderId="2" xfId="0" applyNumberFormat="1" applyFont="1" applyFill="1" applyBorder="1" applyAlignment="1">
      <alignment horizontal="center" vertical="center"/>
    </xf>
    <xf numFmtId="4" fontId="7" fillId="8" borderId="2" xfId="0" applyNumberFormat="1" applyFont="1" applyFill="1" applyBorder="1" applyAlignment="1">
      <alignment horizontal="right" vertical="center"/>
    </xf>
    <xf numFmtId="165" fontId="7" fillId="8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right" vertical="center"/>
    </xf>
    <xf numFmtId="4" fontId="11" fillId="10" borderId="2" xfId="0" applyNumberFormat="1" applyFont="1" applyFill="1" applyBorder="1" applyAlignment="1">
      <alignment horizontal="right" vertical="center"/>
    </xf>
    <xf numFmtId="165" fontId="11" fillId="10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4" fontId="11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/>
    </xf>
    <xf numFmtId="4" fontId="11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wrapText="1"/>
    </xf>
    <xf numFmtId="10" fontId="11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1" fontId="7" fillId="5" borderId="2" xfId="0" applyNumberFormat="1" applyFont="1" applyFill="1" applyBorder="1" applyAlignment="1">
      <alignment horizontal="center" vertical="center"/>
    </xf>
    <xf numFmtId="1" fontId="13" fillId="11" borderId="2" xfId="0" applyNumberFormat="1" applyFont="1" applyFill="1" applyBorder="1" applyAlignment="1">
      <alignment horizontal="center" vertical="center"/>
    </xf>
    <xf numFmtId="1" fontId="7" fillId="12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4" fontId="7" fillId="8" borderId="2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10" fontId="7" fillId="8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10" fontId="7" fillId="5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right" vertical="center"/>
    </xf>
    <xf numFmtId="1" fontId="15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" fontId="16" fillId="4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10" fontId="11" fillId="5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/>
    </xf>
    <xf numFmtId="10" fontId="22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165" fontId="11" fillId="8" borderId="2" xfId="0" applyNumberFormat="1" applyFont="1" applyFill="1" applyBorder="1" applyAlignment="1">
      <alignment horizontal="center" vertical="center"/>
    </xf>
    <xf numFmtId="166" fontId="22" fillId="7" borderId="2" xfId="0" applyNumberFormat="1" applyFont="1" applyFill="1" applyBorder="1" applyAlignment="1">
      <alignment horizontal="center" vertical="center"/>
    </xf>
    <xf numFmtId="4" fontId="2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" fontId="22" fillId="7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E6655"/>
      <rgbColor rgb="FFBFBFBF"/>
      <rgbColor rgb="FF808080"/>
      <rgbColor rgb="FF9999FF"/>
      <rgbColor rgb="FF993366"/>
      <rgbColor rgb="FFFFF2CC"/>
      <rgbColor rgb="FFE8F4FD"/>
      <rgbColor rgb="FF660066"/>
      <rgbColor rgb="FFFF8080"/>
      <rgbColor rgb="FF1A5276"/>
      <rgbColor rgb="FFC8D8E8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EBF3FB"/>
      <rgbColor rgb="FFD5E8D4"/>
      <rgbColor rgb="FFF5F5F5"/>
      <rgbColor rgb="FFCCCCCC"/>
      <rgbColor rgb="FFFF99CC"/>
      <rgbColor rgb="FFCC99FF"/>
      <rgbColor rgb="FFD6E4F7"/>
      <rgbColor rgb="FF3366FF"/>
      <rgbColor rgb="FF33CCCC"/>
      <rgbColor rgb="FF99CC00"/>
      <rgbColor rgb="FFFFD7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6"/>
  <sheetViews>
    <sheetView topLeftCell="L1" zoomScaleNormal="100" workbookViewId="0">
      <pane ySplit="1" topLeftCell="A44" activePane="bottomLeft" state="frozen"/>
      <selection pane="bottomLeft" activeCell="T57" sqref="T57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7" style="5" customWidth="1"/>
    <col min="13" max="13" width="22" style="5" customWidth="1"/>
    <col min="14" max="14" width="19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  <col min="24" max="16384" width="8.6328125" style="5"/>
  </cols>
  <sheetData>
    <row r="1" spans="1:23" ht="25.5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"/>
      <c r="S1" s="4" t="s">
        <v>17</v>
      </c>
      <c r="T1" s="4"/>
      <c r="U1" s="4"/>
      <c r="V1" s="4"/>
      <c r="W1" s="4"/>
    </row>
    <row r="2" spans="1:23" ht="13.5" customHeight="1">
      <c r="A2" s="8">
        <v>1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>
        <v>1757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>
        <v>8299</v>
      </c>
      <c r="N2" s="8" t="s">
        <v>28</v>
      </c>
      <c r="O2" s="8" t="s">
        <v>29</v>
      </c>
      <c r="P2" s="8" t="s">
        <v>30</v>
      </c>
      <c r="Q2" s="8" t="s">
        <v>31</v>
      </c>
      <c r="R2" s="7"/>
      <c r="S2" s="3" t="s">
        <v>32</v>
      </c>
      <c r="T2" s="3"/>
      <c r="U2" s="3"/>
      <c r="V2" s="3"/>
      <c r="W2" s="3"/>
    </row>
    <row r="3" spans="1:23" ht="3.75" customHeight="1">
      <c r="A3" s="9">
        <v>2</v>
      </c>
      <c r="B3" s="9" t="s">
        <v>18</v>
      </c>
      <c r="C3" s="9" t="s">
        <v>33</v>
      </c>
      <c r="D3" s="9" t="s">
        <v>34</v>
      </c>
      <c r="E3" s="9" t="s">
        <v>21</v>
      </c>
      <c r="F3" s="9" t="s">
        <v>22</v>
      </c>
      <c r="G3" s="9">
        <v>3500</v>
      </c>
      <c r="H3" s="9" t="s">
        <v>23</v>
      </c>
      <c r="I3" s="9" t="s">
        <v>35</v>
      </c>
      <c r="J3" s="9" t="s">
        <v>36</v>
      </c>
      <c r="K3" s="9" t="s">
        <v>26</v>
      </c>
      <c r="L3" s="9" t="s">
        <v>37</v>
      </c>
      <c r="M3" s="9">
        <v>6012</v>
      </c>
      <c r="N3" s="9" t="s">
        <v>28</v>
      </c>
      <c r="O3" s="9" t="s">
        <v>29</v>
      </c>
      <c r="P3" s="9" t="s">
        <v>30</v>
      </c>
      <c r="Q3" s="9" t="s">
        <v>31</v>
      </c>
      <c r="R3" s="7"/>
    </row>
    <row r="4" spans="1:23" ht="15" customHeight="1">
      <c r="A4" s="8">
        <v>3</v>
      </c>
      <c r="B4" s="8" t="s">
        <v>18</v>
      </c>
      <c r="C4" s="8" t="s">
        <v>38</v>
      </c>
      <c r="D4" s="8" t="s">
        <v>39</v>
      </c>
      <c r="E4" s="8" t="s">
        <v>21</v>
      </c>
      <c r="F4" s="8" t="s">
        <v>22</v>
      </c>
      <c r="G4" s="8">
        <v>406</v>
      </c>
      <c r="H4" s="8" t="s">
        <v>23</v>
      </c>
      <c r="I4" s="8" t="s">
        <v>40</v>
      </c>
      <c r="J4" s="8" t="s">
        <v>41</v>
      </c>
      <c r="K4" s="8" t="s">
        <v>26</v>
      </c>
      <c r="L4" s="8" t="s">
        <v>42</v>
      </c>
      <c r="M4" s="8">
        <v>5812</v>
      </c>
      <c r="N4" s="8" t="s">
        <v>28</v>
      </c>
      <c r="O4" s="8" t="s">
        <v>29</v>
      </c>
      <c r="P4" s="8" t="s">
        <v>30</v>
      </c>
      <c r="Q4" s="8" t="s">
        <v>31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18</v>
      </c>
      <c r="C5" s="9" t="s">
        <v>44</v>
      </c>
      <c r="D5" s="9" t="s">
        <v>45</v>
      </c>
      <c r="E5" s="9" t="s">
        <v>21</v>
      </c>
      <c r="F5" s="9" t="s">
        <v>22</v>
      </c>
      <c r="G5" s="9">
        <v>618</v>
      </c>
      <c r="H5" s="9" t="s">
        <v>23</v>
      </c>
      <c r="I5" s="9" t="s">
        <v>46</v>
      </c>
      <c r="J5" s="9" t="s">
        <v>41</v>
      </c>
      <c r="K5" s="9" t="s">
        <v>26</v>
      </c>
      <c r="L5" s="9" t="s">
        <v>47</v>
      </c>
      <c r="M5" s="9">
        <v>8011</v>
      </c>
      <c r="N5" s="9" t="s">
        <v>28</v>
      </c>
      <c r="O5" s="9" t="s">
        <v>29</v>
      </c>
      <c r="P5" s="9" t="s">
        <v>30</v>
      </c>
      <c r="Q5" s="9" t="s">
        <v>31</v>
      </c>
      <c r="R5" s="7"/>
      <c r="S5" s="10" t="s">
        <v>48</v>
      </c>
      <c r="T5" s="11">
        <v>42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18</v>
      </c>
      <c r="C6" s="8" t="s">
        <v>50</v>
      </c>
      <c r="D6" s="8" t="s">
        <v>51</v>
      </c>
      <c r="E6" s="8" t="s">
        <v>21</v>
      </c>
      <c r="F6" s="8" t="s">
        <v>22</v>
      </c>
      <c r="G6" s="8">
        <v>405</v>
      </c>
      <c r="H6" s="8" t="s">
        <v>23</v>
      </c>
      <c r="I6" s="8" t="s">
        <v>52</v>
      </c>
      <c r="J6" s="8" t="s">
        <v>41</v>
      </c>
      <c r="K6" s="8" t="s">
        <v>26</v>
      </c>
      <c r="L6" s="8" t="s">
        <v>53</v>
      </c>
      <c r="M6" s="8">
        <v>5812</v>
      </c>
      <c r="N6" s="8" t="s">
        <v>28</v>
      </c>
      <c r="O6" s="8" t="s">
        <v>29</v>
      </c>
      <c r="P6" s="8" t="s">
        <v>30</v>
      </c>
      <c r="Q6" s="8" t="s">
        <v>31</v>
      </c>
      <c r="R6" s="7"/>
    </row>
    <row r="7" spans="1:23" ht="15" customHeight="1">
      <c r="A7" s="9">
        <v>6</v>
      </c>
      <c r="B7" s="9" t="s">
        <v>18</v>
      </c>
      <c r="C7" s="9" t="s">
        <v>54</v>
      </c>
      <c r="D7" s="9" t="s">
        <v>55</v>
      </c>
      <c r="E7" s="9" t="s">
        <v>21</v>
      </c>
      <c r="F7" s="9" t="s">
        <v>22</v>
      </c>
      <c r="G7" s="9">
        <v>1886</v>
      </c>
      <c r="H7" s="9" t="s">
        <v>23</v>
      </c>
      <c r="I7" s="9" t="s">
        <v>56</v>
      </c>
      <c r="J7" s="9" t="s">
        <v>41</v>
      </c>
      <c r="K7" s="9" t="s">
        <v>26</v>
      </c>
      <c r="L7" s="9" t="s">
        <v>57</v>
      </c>
      <c r="M7" s="9">
        <v>5999</v>
      </c>
      <c r="N7" s="9" t="s">
        <v>28</v>
      </c>
      <c r="O7" s="9" t="s">
        <v>29</v>
      </c>
      <c r="P7" s="9" t="s">
        <v>30</v>
      </c>
      <c r="Q7" s="9" t="s">
        <v>31</v>
      </c>
      <c r="R7" s="7"/>
      <c r="S7" s="2" t="s">
        <v>58</v>
      </c>
      <c r="T7" s="2"/>
      <c r="U7" s="2"/>
      <c r="V7" s="2"/>
      <c r="W7" s="2"/>
    </row>
    <row r="8" spans="1:23">
      <c r="A8" s="8">
        <v>7</v>
      </c>
      <c r="B8" s="8" t="s">
        <v>18</v>
      </c>
      <c r="C8" s="8" t="s">
        <v>59</v>
      </c>
      <c r="D8" s="8" t="s">
        <v>60</v>
      </c>
      <c r="E8" s="8" t="s">
        <v>21</v>
      </c>
      <c r="F8" s="8" t="s">
        <v>22</v>
      </c>
      <c r="G8" s="8">
        <v>1496</v>
      </c>
      <c r="H8" s="8" t="s">
        <v>23</v>
      </c>
      <c r="I8" s="8" t="s">
        <v>61</v>
      </c>
      <c r="J8" s="8" t="s">
        <v>25</v>
      </c>
      <c r="K8" s="8" t="s">
        <v>26</v>
      </c>
      <c r="L8" s="8" t="s">
        <v>62</v>
      </c>
      <c r="M8" s="8">
        <v>5999</v>
      </c>
      <c r="N8" s="8" t="s">
        <v>28</v>
      </c>
      <c r="O8" s="8" t="s">
        <v>29</v>
      </c>
      <c r="P8" s="8" t="s">
        <v>30</v>
      </c>
      <c r="Q8" s="8" t="s">
        <v>31</v>
      </c>
      <c r="R8" s="7"/>
      <c r="S8" s="76" t="s">
        <v>63</v>
      </c>
      <c r="T8" s="76" t="s">
        <v>64</v>
      </c>
      <c r="U8" s="76" t="s">
        <v>65</v>
      </c>
      <c r="V8" s="76" t="s">
        <v>66</v>
      </c>
      <c r="W8" s="76" t="s">
        <v>67</v>
      </c>
    </row>
    <row r="9" spans="1:23" ht="15" customHeight="1">
      <c r="A9" s="9">
        <v>8</v>
      </c>
      <c r="B9" s="9" t="s">
        <v>18</v>
      </c>
      <c r="C9" s="9" t="s">
        <v>68</v>
      </c>
      <c r="D9" s="9" t="s">
        <v>69</v>
      </c>
      <c r="E9" s="9" t="s">
        <v>21</v>
      </c>
      <c r="F9" s="9" t="s">
        <v>22</v>
      </c>
      <c r="G9" s="9">
        <v>1149</v>
      </c>
      <c r="H9" s="9" t="s">
        <v>23</v>
      </c>
      <c r="I9" s="9" t="s">
        <v>70</v>
      </c>
      <c r="J9" s="9" t="s">
        <v>41</v>
      </c>
      <c r="K9" s="9" t="s">
        <v>26</v>
      </c>
      <c r="L9" s="9" t="s">
        <v>71</v>
      </c>
      <c r="M9" s="9">
        <v>5541</v>
      </c>
      <c r="N9" s="9" t="s">
        <v>28</v>
      </c>
      <c r="O9" s="9" t="s">
        <v>29</v>
      </c>
      <c r="P9" s="9" t="s">
        <v>30</v>
      </c>
      <c r="Q9" s="9" t="s">
        <v>31</v>
      </c>
      <c r="R9" s="7"/>
      <c r="S9" s="15">
        <v>45658</v>
      </c>
      <c r="T9" s="16" cm="1">
        <f t="array" ref="T9">IFERROR(SUMPRODUCT((LEFT($C$2:$C$246,7)=TEXT(S9,"YYYY-MM"))*($E$2:$E$246="KSAOB.Credit")*($K$2:$K$246="KSAOB.Deposit")*($G$2:$G$246)),0)</f>
        <v>21800</v>
      </c>
      <c r="U9" s="16">
        <f t="shared" ref="U9:U22" si="0">IFERROR(SUMPRODUCT((LEFT($C$2:$C$246,7)=TEXT(S9,"YYYY-MM"))*($E$2:$E$246="KSAOB.Debit")*($M$2:$M$246=6012)*($G$2:$G$246)),0)</f>
        <v>3500</v>
      </c>
      <c r="V9" s="16">
        <f t="shared" ref="V9:V22" si="1">IFERROR(SUMPRODUCT((LEFT($C$2:$C$246,7)=TEXT(S9,"YYYY-MM"))*($E$2:$E$246="KSAOB.Debit")*($M$2:$M$246&lt;&gt;6012)*($G$2:$G$246)),0)</f>
        <v>13200</v>
      </c>
      <c r="W9" s="17">
        <f t="shared" ref="W9:W22" si="2">T9-U9-V9</f>
        <v>5100</v>
      </c>
    </row>
    <row r="10" spans="1:23" ht="15" customHeight="1">
      <c r="A10" s="8">
        <v>9</v>
      </c>
      <c r="B10" s="8" t="s">
        <v>18</v>
      </c>
      <c r="C10" s="8" t="s">
        <v>72</v>
      </c>
      <c r="D10" s="8" t="s">
        <v>73</v>
      </c>
      <c r="E10" s="8" t="s">
        <v>21</v>
      </c>
      <c r="F10" s="8" t="s">
        <v>22</v>
      </c>
      <c r="G10" s="8">
        <v>405</v>
      </c>
      <c r="H10" s="8" t="s">
        <v>23</v>
      </c>
      <c r="I10" s="8" t="s">
        <v>74</v>
      </c>
      <c r="J10" s="8" t="s">
        <v>41</v>
      </c>
      <c r="K10" s="8" t="s">
        <v>26</v>
      </c>
      <c r="L10" s="8" t="s">
        <v>75</v>
      </c>
      <c r="M10" s="8">
        <v>5812</v>
      </c>
      <c r="N10" s="8" t="s">
        <v>28</v>
      </c>
      <c r="O10" s="8" t="s">
        <v>29</v>
      </c>
      <c r="P10" s="8" t="s">
        <v>30</v>
      </c>
      <c r="Q10" s="8" t="s">
        <v>31</v>
      </c>
      <c r="R10" s="7"/>
      <c r="S10" s="18">
        <v>45689</v>
      </c>
      <c r="T10" s="19">
        <f t="shared" ref="T9:T22" si="3">IFERROR(SUMPRODUCT((LEFT($C$2:$C$246,7)=TEXT(S10,"YYYY-MM"))*($E$2:$E$246="KSAOB.Credit")*($K$2:$K$246="KSAOB.Deposit")*($G$2:$G$246)),0)</f>
        <v>22500</v>
      </c>
      <c r="U10" s="19">
        <f t="shared" si="0"/>
        <v>3500</v>
      </c>
      <c r="V10" s="19">
        <f t="shared" si="1"/>
        <v>13000</v>
      </c>
      <c r="W10" s="20">
        <f t="shared" si="2"/>
        <v>6000</v>
      </c>
    </row>
    <row r="11" spans="1:23" ht="15" customHeight="1">
      <c r="A11" s="9">
        <v>10</v>
      </c>
      <c r="B11" s="9" t="s">
        <v>18</v>
      </c>
      <c r="C11" s="9" t="s">
        <v>76</v>
      </c>
      <c r="D11" s="9" t="s">
        <v>77</v>
      </c>
      <c r="E11" s="9" t="s">
        <v>21</v>
      </c>
      <c r="F11" s="9" t="s">
        <v>22</v>
      </c>
      <c r="G11" s="9">
        <v>683</v>
      </c>
      <c r="H11" s="9" t="s">
        <v>23</v>
      </c>
      <c r="I11" s="9" t="s">
        <v>78</v>
      </c>
      <c r="J11" s="9" t="s">
        <v>41</v>
      </c>
      <c r="K11" s="9" t="s">
        <v>26</v>
      </c>
      <c r="L11" s="9" t="s">
        <v>79</v>
      </c>
      <c r="M11" s="9">
        <v>7996</v>
      </c>
      <c r="N11" s="9" t="s">
        <v>28</v>
      </c>
      <c r="O11" s="9" t="s">
        <v>29</v>
      </c>
      <c r="P11" s="9" t="s">
        <v>30</v>
      </c>
      <c r="Q11" s="9" t="s">
        <v>31</v>
      </c>
      <c r="R11" s="7"/>
      <c r="S11" s="15">
        <v>45717</v>
      </c>
      <c r="T11" s="16">
        <f t="shared" si="3"/>
        <v>22000</v>
      </c>
      <c r="U11" s="16">
        <f t="shared" si="0"/>
        <v>3500</v>
      </c>
      <c r="V11" s="16">
        <f t="shared" si="1"/>
        <v>13400</v>
      </c>
      <c r="W11" s="17">
        <f t="shared" si="2"/>
        <v>5100</v>
      </c>
    </row>
    <row r="12" spans="1:23" ht="15" customHeight="1">
      <c r="A12" s="8">
        <v>11</v>
      </c>
      <c r="B12" s="8" t="s">
        <v>18</v>
      </c>
      <c r="C12" s="8" t="s">
        <v>80</v>
      </c>
      <c r="D12" s="8" t="s">
        <v>81</v>
      </c>
      <c r="E12" s="8" t="s">
        <v>21</v>
      </c>
      <c r="F12" s="8" t="s">
        <v>22</v>
      </c>
      <c r="G12" s="8">
        <v>1335</v>
      </c>
      <c r="H12" s="8" t="s">
        <v>23</v>
      </c>
      <c r="I12" s="8" t="s">
        <v>82</v>
      </c>
      <c r="J12" s="8" t="s">
        <v>41</v>
      </c>
      <c r="K12" s="8" t="s">
        <v>26</v>
      </c>
      <c r="L12" s="8" t="s">
        <v>83</v>
      </c>
      <c r="M12" s="8">
        <v>5411</v>
      </c>
      <c r="N12" s="8" t="s">
        <v>28</v>
      </c>
      <c r="O12" s="8" t="s">
        <v>29</v>
      </c>
      <c r="P12" s="8" t="s">
        <v>30</v>
      </c>
      <c r="Q12" s="8" t="s">
        <v>31</v>
      </c>
      <c r="R12" s="7"/>
      <c r="S12" s="18">
        <v>45748</v>
      </c>
      <c r="T12" s="19">
        <f t="shared" si="3"/>
        <v>21500</v>
      </c>
      <c r="U12" s="19">
        <f t="shared" si="0"/>
        <v>3500</v>
      </c>
      <c r="V12" s="19">
        <f t="shared" si="1"/>
        <v>12800</v>
      </c>
      <c r="W12" s="20">
        <f t="shared" si="2"/>
        <v>5200</v>
      </c>
    </row>
    <row r="13" spans="1:23" ht="15" customHeight="1">
      <c r="A13" s="9">
        <v>12</v>
      </c>
      <c r="B13" s="9" t="s">
        <v>18</v>
      </c>
      <c r="C13" s="9" t="s">
        <v>84</v>
      </c>
      <c r="D13" s="9" t="s">
        <v>85</v>
      </c>
      <c r="E13" s="9" t="s">
        <v>21</v>
      </c>
      <c r="F13" s="9" t="s">
        <v>22</v>
      </c>
      <c r="G13" s="9">
        <v>637</v>
      </c>
      <c r="H13" s="9" t="s">
        <v>23</v>
      </c>
      <c r="I13" s="9" t="s">
        <v>86</v>
      </c>
      <c r="J13" s="9" t="s">
        <v>36</v>
      </c>
      <c r="K13" s="9" t="s">
        <v>26</v>
      </c>
      <c r="L13" s="9" t="s">
        <v>87</v>
      </c>
      <c r="M13" s="9">
        <v>4813</v>
      </c>
      <c r="N13" s="9" t="s">
        <v>28</v>
      </c>
      <c r="O13" s="9" t="s">
        <v>29</v>
      </c>
      <c r="P13" s="9" t="s">
        <v>30</v>
      </c>
      <c r="Q13" s="9" t="s">
        <v>31</v>
      </c>
      <c r="R13" s="7"/>
      <c r="S13" s="15">
        <v>45778</v>
      </c>
      <c r="T13" s="16">
        <f t="shared" si="3"/>
        <v>22300</v>
      </c>
      <c r="U13" s="16">
        <f t="shared" si="0"/>
        <v>3500</v>
      </c>
      <c r="V13" s="16">
        <f t="shared" si="1"/>
        <v>13200</v>
      </c>
      <c r="W13" s="17">
        <f t="shared" si="2"/>
        <v>5600</v>
      </c>
    </row>
    <row r="14" spans="1:23" ht="15" customHeight="1">
      <c r="A14" s="8">
        <v>13</v>
      </c>
      <c r="B14" s="8" t="s">
        <v>18</v>
      </c>
      <c r="C14" s="8" t="s">
        <v>88</v>
      </c>
      <c r="D14" s="8" t="s">
        <v>89</v>
      </c>
      <c r="E14" s="8" t="s">
        <v>21</v>
      </c>
      <c r="F14" s="8" t="s">
        <v>22</v>
      </c>
      <c r="G14" s="8">
        <v>1087</v>
      </c>
      <c r="H14" s="8" t="s">
        <v>23</v>
      </c>
      <c r="I14" s="8" t="s">
        <v>90</v>
      </c>
      <c r="J14" s="8" t="s">
        <v>36</v>
      </c>
      <c r="K14" s="8" t="s">
        <v>26</v>
      </c>
      <c r="L14" s="8" t="s">
        <v>91</v>
      </c>
      <c r="M14" s="8">
        <v>4900</v>
      </c>
      <c r="N14" s="8" t="s">
        <v>28</v>
      </c>
      <c r="O14" s="8" t="s">
        <v>29</v>
      </c>
      <c r="P14" s="8" t="s">
        <v>30</v>
      </c>
      <c r="Q14" s="8" t="s">
        <v>31</v>
      </c>
      <c r="R14" s="7"/>
      <c r="S14" s="18">
        <v>45809</v>
      </c>
      <c r="T14" s="19">
        <f t="shared" si="3"/>
        <v>22100</v>
      </c>
      <c r="U14" s="19">
        <f t="shared" si="0"/>
        <v>3500</v>
      </c>
      <c r="V14" s="19">
        <f t="shared" si="1"/>
        <v>13500</v>
      </c>
      <c r="W14" s="20">
        <f t="shared" si="2"/>
        <v>5100</v>
      </c>
    </row>
    <row r="15" spans="1:23" ht="15" customHeight="1">
      <c r="A15" s="9">
        <v>14</v>
      </c>
      <c r="B15" s="9" t="s">
        <v>18</v>
      </c>
      <c r="C15" s="9" t="s">
        <v>92</v>
      </c>
      <c r="D15" s="9" t="s">
        <v>93</v>
      </c>
      <c r="E15" s="9" t="s">
        <v>94</v>
      </c>
      <c r="F15" s="9" t="s">
        <v>22</v>
      </c>
      <c r="G15" s="9">
        <v>21800</v>
      </c>
      <c r="H15" s="9" t="s">
        <v>23</v>
      </c>
      <c r="I15" s="9" t="s">
        <v>95</v>
      </c>
      <c r="J15" s="9" t="s">
        <v>96</v>
      </c>
      <c r="K15" s="9" t="s">
        <v>97</v>
      </c>
      <c r="L15" s="9" t="s">
        <v>98</v>
      </c>
      <c r="M15" s="9"/>
      <c r="N15" s="9" t="s">
        <v>98</v>
      </c>
      <c r="O15" s="9" t="s">
        <v>99</v>
      </c>
      <c r="P15" s="9" t="s">
        <v>30</v>
      </c>
      <c r="Q15" s="9" t="s">
        <v>31</v>
      </c>
      <c r="R15" s="7"/>
      <c r="S15" s="15">
        <v>45839</v>
      </c>
      <c r="T15" s="16">
        <f t="shared" si="3"/>
        <v>21800</v>
      </c>
      <c r="U15" s="16">
        <f t="shared" si="0"/>
        <v>3500</v>
      </c>
      <c r="V15" s="16">
        <f t="shared" si="1"/>
        <v>13000</v>
      </c>
      <c r="W15" s="17">
        <f t="shared" si="2"/>
        <v>5300</v>
      </c>
    </row>
    <row r="16" spans="1:23" ht="15" customHeight="1">
      <c r="A16" s="8">
        <v>15</v>
      </c>
      <c r="B16" s="8" t="s">
        <v>18</v>
      </c>
      <c r="C16" s="8" t="s">
        <v>100</v>
      </c>
      <c r="D16" s="8" t="s">
        <v>101</v>
      </c>
      <c r="E16" s="8" t="s">
        <v>21</v>
      </c>
      <c r="F16" s="8" t="s">
        <v>22</v>
      </c>
      <c r="G16" s="8">
        <v>1336</v>
      </c>
      <c r="H16" s="8" t="s">
        <v>23</v>
      </c>
      <c r="I16" s="8" t="s">
        <v>102</v>
      </c>
      <c r="J16" s="8" t="s">
        <v>41</v>
      </c>
      <c r="K16" s="8" t="s">
        <v>26</v>
      </c>
      <c r="L16" s="8" t="s">
        <v>103</v>
      </c>
      <c r="M16" s="8">
        <v>5411</v>
      </c>
      <c r="N16" s="8" t="s">
        <v>28</v>
      </c>
      <c r="O16" s="8" t="s">
        <v>29</v>
      </c>
      <c r="P16" s="8" t="s">
        <v>30</v>
      </c>
      <c r="Q16" s="8" t="s">
        <v>31</v>
      </c>
      <c r="R16" s="7"/>
      <c r="S16" s="18">
        <v>45870</v>
      </c>
      <c r="T16" s="19">
        <f t="shared" si="3"/>
        <v>22400</v>
      </c>
      <c r="U16" s="19">
        <f t="shared" si="0"/>
        <v>3500</v>
      </c>
      <c r="V16" s="19">
        <f t="shared" si="1"/>
        <v>13300</v>
      </c>
      <c r="W16" s="20">
        <f t="shared" si="2"/>
        <v>5600</v>
      </c>
    </row>
    <row r="17" spans="1:23" ht="15" customHeight="1">
      <c r="A17" s="9">
        <v>16</v>
      </c>
      <c r="B17" s="9" t="s">
        <v>18</v>
      </c>
      <c r="C17" s="9" t="s">
        <v>104</v>
      </c>
      <c r="D17" s="9" t="s">
        <v>105</v>
      </c>
      <c r="E17" s="9" t="s">
        <v>21</v>
      </c>
      <c r="F17" s="9" t="s">
        <v>22</v>
      </c>
      <c r="G17" s="9">
        <v>3500</v>
      </c>
      <c r="H17" s="9" t="s">
        <v>23</v>
      </c>
      <c r="I17" s="9" t="s">
        <v>35</v>
      </c>
      <c r="J17" s="9" t="s">
        <v>36</v>
      </c>
      <c r="K17" s="9" t="s">
        <v>26</v>
      </c>
      <c r="L17" s="9" t="s">
        <v>37</v>
      </c>
      <c r="M17" s="9">
        <v>6012</v>
      </c>
      <c r="N17" s="9" t="s">
        <v>28</v>
      </c>
      <c r="O17" s="9" t="s">
        <v>29</v>
      </c>
      <c r="P17" s="9" t="s">
        <v>30</v>
      </c>
      <c r="Q17" s="9" t="s">
        <v>31</v>
      </c>
      <c r="R17" s="7"/>
      <c r="S17" s="15">
        <v>45901</v>
      </c>
      <c r="T17" s="16">
        <f t="shared" si="3"/>
        <v>22200</v>
      </c>
      <c r="U17" s="16">
        <f t="shared" si="0"/>
        <v>3500</v>
      </c>
      <c r="V17" s="16">
        <f t="shared" si="1"/>
        <v>13100</v>
      </c>
      <c r="W17" s="17">
        <f t="shared" si="2"/>
        <v>5600</v>
      </c>
    </row>
    <row r="18" spans="1:23" ht="15" customHeight="1">
      <c r="A18" s="8">
        <v>17</v>
      </c>
      <c r="B18" s="8" t="s">
        <v>18</v>
      </c>
      <c r="C18" s="8" t="s">
        <v>106</v>
      </c>
      <c r="D18" s="8" t="s">
        <v>107</v>
      </c>
      <c r="E18" s="8" t="s">
        <v>21</v>
      </c>
      <c r="F18" s="8" t="s">
        <v>22</v>
      </c>
      <c r="G18" s="8">
        <v>572</v>
      </c>
      <c r="H18" s="8" t="s">
        <v>23</v>
      </c>
      <c r="I18" s="8" t="s">
        <v>108</v>
      </c>
      <c r="J18" s="8" t="s">
        <v>41</v>
      </c>
      <c r="K18" s="8" t="s">
        <v>26</v>
      </c>
      <c r="L18" s="8" t="s">
        <v>57</v>
      </c>
      <c r="M18" s="8">
        <v>5999</v>
      </c>
      <c r="N18" s="8" t="s">
        <v>28</v>
      </c>
      <c r="O18" s="8" t="s">
        <v>29</v>
      </c>
      <c r="P18" s="8" t="s">
        <v>30</v>
      </c>
      <c r="Q18" s="8" t="s">
        <v>31</v>
      </c>
      <c r="R18" s="7"/>
      <c r="S18" s="18">
        <v>45931</v>
      </c>
      <c r="T18" s="19">
        <f t="shared" si="3"/>
        <v>21700</v>
      </c>
      <c r="U18" s="19">
        <f t="shared" si="0"/>
        <v>3500</v>
      </c>
      <c r="V18" s="19">
        <f t="shared" si="1"/>
        <v>13400</v>
      </c>
      <c r="W18" s="20">
        <f t="shared" si="2"/>
        <v>4800</v>
      </c>
    </row>
    <row r="19" spans="1:23" ht="15" customHeight="1">
      <c r="A19" s="9">
        <v>18</v>
      </c>
      <c r="B19" s="9" t="s">
        <v>18</v>
      </c>
      <c r="C19" s="9" t="s">
        <v>109</v>
      </c>
      <c r="D19" s="9" t="s">
        <v>110</v>
      </c>
      <c r="E19" s="9" t="s">
        <v>21</v>
      </c>
      <c r="F19" s="9" t="s">
        <v>22</v>
      </c>
      <c r="G19" s="9">
        <v>590</v>
      </c>
      <c r="H19" s="9" t="s">
        <v>23</v>
      </c>
      <c r="I19" s="9" t="s">
        <v>111</v>
      </c>
      <c r="J19" s="9" t="s">
        <v>41</v>
      </c>
      <c r="K19" s="9" t="s">
        <v>26</v>
      </c>
      <c r="L19" s="9" t="s">
        <v>112</v>
      </c>
      <c r="M19" s="9">
        <v>5541</v>
      </c>
      <c r="N19" s="9" t="s">
        <v>28</v>
      </c>
      <c r="O19" s="9" t="s">
        <v>29</v>
      </c>
      <c r="P19" s="9" t="s">
        <v>30</v>
      </c>
      <c r="Q19" s="9" t="s">
        <v>31</v>
      </c>
      <c r="R19" s="7"/>
      <c r="S19" s="15">
        <v>45962</v>
      </c>
      <c r="T19" s="16">
        <f t="shared" si="3"/>
        <v>22100</v>
      </c>
      <c r="U19" s="16">
        <f t="shared" si="0"/>
        <v>3500</v>
      </c>
      <c r="V19" s="16">
        <f t="shared" si="1"/>
        <v>12900</v>
      </c>
      <c r="W19" s="17">
        <f t="shared" si="2"/>
        <v>5700</v>
      </c>
    </row>
    <row r="20" spans="1:23" ht="15" customHeight="1">
      <c r="A20" s="8">
        <v>19</v>
      </c>
      <c r="B20" s="8" t="s">
        <v>18</v>
      </c>
      <c r="C20" s="8" t="s">
        <v>113</v>
      </c>
      <c r="D20" s="8" t="s">
        <v>114</v>
      </c>
      <c r="E20" s="8" t="s">
        <v>21</v>
      </c>
      <c r="F20" s="8" t="s">
        <v>22</v>
      </c>
      <c r="G20" s="8">
        <v>460</v>
      </c>
      <c r="H20" s="8" t="s">
        <v>23</v>
      </c>
      <c r="I20" s="8" t="s">
        <v>115</v>
      </c>
      <c r="J20" s="8" t="s">
        <v>41</v>
      </c>
      <c r="K20" s="8" t="s">
        <v>26</v>
      </c>
      <c r="L20" s="8" t="s">
        <v>116</v>
      </c>
      <c r="M20" s="8">
        <v>5812</v>
      </c>
      <c r="N20" s="8" t="s">
        <v>28</v>
      </c>
      <c r="O20" s="8" t="s">
        <v>29</v>
      </c>
      <c r="P20" s="8" t="s">
        <v>30</v>
      </c>
      <c r="Q20" s="8" t="s">
        <v>31</v>
      </c>
      <c r="R20" s="7"/>
      <c r="S20" s="18">
        <v>45992</v>
      </c>
      <c r="T20" s="19">
        <f t="shared" si="3"/>
        <v>22000</v>
      </c>
      <c r="U20" s="19">
        <f t="shared" si="0"/>
        <v>3500</v>
      </c>
      <c r="V20" s="19">
        <f t="shared" si="1"/>
        <v>13200</v>
      </c>
      <c r="W20" s="20">
        <f t="shared" si="2"/>
        <v>5300</v>
      </c>
    </row>
    <row r="21" spans="1:23" ht="15" customHeight="1">
      <c r="A21" s="9">
        <v>20</v>
      </c>
      <c r="B21" s="9" t="s">
        <v>18</v>
      </c>
      <c r="C21" s="9" t="s">
        <v>117</v>
      </c>
      <c r="D21" s="9" t="s">
        <v>118</v>
      </c>
      <c r="E21" s="9" t="s">
        <v>21</v>
      </c>
      <c r="F21" s="9" t="s">
        <v>22</v>
      </c>
      <c r="G21" s="9">
        <v>1753</v>
      </c>
      <c r="H21" s="9" t="s">
        <v>23</v>
      </c>
      <c r="I21" s="9" t="s">
        <v>119</v>
      </c>
      <c r="J21" s="9" t="s">
        <v>25</v>
      </c>
      <c r="K21" s="9" t="s">
        <v>26</v>
      </c>
      <c r="L21" s="9" t="s">
        <v>120</v>
      </c>
      <c r="M21" s="9">
        <v>8299</v>
      </c>
      <c r="N21" s="9" t="s">
        <v>28</v>
      </c>
      <c r="O21" s="9" t="s">
        <v>29</v>
      </c>
      <c r="P21" s="9" t="s">
        <v>30</v>
      </c>
      <c r="Q21" s="9" t="s">
        <v>31</v>
      </c>
      <c r="R21" s="7"/>
      <c r="S21" s="15">
        <v>46023</v>
      </c>
      <c r="T21" s="16">
        <f t="shared" si="3"/>
        <v>22300</v>
      </c>
      <c r="U21" s="16">
        <f t="shared" si="0"/>
        <v>3500</v>
      </c>
      <c r="V21" s="16">
        <f t="shared" si="1"/>
        <v>13100</v>
      </c>
      <c r="W21" s="17">
        <f t="shared" si="2"/>
        <v>5700</v>
      </c>
    </row>
    <row r="22" spans="1:23" ht="15" customHeight="1">
      <c r="A22" s="8">
        <v>21</v>
      </c>
      <c r="B22" s="8" t="s">
        <v>18</v>
      </c>
      <c r="C22" s="8" t="s">
        <v>121</v>
      </c>
      <c r="D22" s="8" t="s">
        <v>122</v>
      </c>
      <c r="E22" s="8" t="s">
        <v>21</v>
      </c>
      <c r="F22" s="8" t="s">
        <v>22</v>
      </c>
      <c r="G22" s="8">
        <v>590</v>
      </c>
      <c r="H22" s="8" t="s">
        <v>23</v>
      </c>
      <c r="I22" s="8" t="s">
        <v>123</v>
      </c>
      <c r="J22" s="8" t="s">
        <v>41</v>
      </c>
      <c r="K22" s="8" t="s">
        <v>26</v>
      </c>
      <c r="L22" s="8" t="s">
        <v>124</v>
      </c>
      <c r="M22" s="8">
        <v>5541</v>
      </c>
      <c r="N22" s="8" t="s">
        <v>28</v>
      </c>
      <c r="O22" s="8" t="s">
        <v>29</v>
      </c>
      <c r="P22" s="8" t="s">
        <v>30</v>
      </c>
      <c r="Q22" s="8" t="s">
        <v>31</v>
      </c>
      <c r="R22" s="7"/>
      <c r="S22" s="18">
        <v>46054</v>
      </c>
      <c r="T22" s="19">
        <f t="shared" si="3"/>
        <v>22000</v>
      </c>
      <c r="U22" s="19">
        <f t="shared" si="0"/>
        <v>3500</v>
      </c>
      <c r="V22" s="19">
        <f t="shared" si="1"/>
        <v>13300</v>
      </c>
      <c r="W22" s="20">
        <f t="shared" si="2"/>
        <v>5200</v>
      </c>
    </row>
    <row r="23" spans="1:23" ht="15" customHeight="1">
      <c r="A23" s="9">
        <v>22</v>
      </c>
      <c r="B23" s="9" t="s">
        <v>18</v>
      </c>
      <c r="C23" s="9" t="s">
        <v>125</v>
      </c>
      <c r="D23" s="9" t="s">
        <v>126</v>
      </c>
      <c r="E23" s="9" t="s">
        <v>21</v>
      </c>
      <c r="F23" s="9" t="s">
        <v>22</v>
      </c>
      <c r="G23" s="9">
        <v>720</v>
      </c>
      <c r="H23" s="9" t="s">
        <v>23</v>
      </c>
      <c r="I23" s="9" t="s">
        <v>127</v>
      </c>
      <c r="J23" s="9" t="s">
        <v>25</v>
      </c>
      <c r="K23" s="9" t="s">
        <v>26</v>
      </c>
      <c r="L23" s="9" t="s">
        <v>128</v>
      </c>
      <c r="M23" s="9">
        <v>5999</v>
      </c>
      <c r="N23" s="9" t="s">
        <v>28</v>
      </c>
      <c r="O23" s="9" t="s">
        <v>29</v>
      </c>
      <c r="P23" s="9" t="s">
        <v>30</v>
      </c>
      <c r="Q23" s="9" t="s">
        <v>31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18</v>
      </c>
      <c r="C24" s="8" t="s">
        <v>129</v>
      </c>
      <c r="D24" s="8" t="s">
        <v>130</v>
      </c>
      <c r="E24" s="8" t="s">
        <v>21</v>
      </c>
      <c r="F24" s="8" t="s">
        <v>22</v>
      </c>
      <c r="G24" s="8">
        <v>1131</v>
      </c>
      <c r="H24" s="8" t="s">
        <v>23</v>
      </c>
      <c r="I24" s="8" t="s">
        <v>131</v>
      </c>
      <c r="J24" s="8" t="s">
        <v>41</v>
      </c>
      <c r="K24" s="8" t="s">
        <v>26</v>
      </c>
      <c r="L24" s="8" t="s">
        <v>132</v>
      </c>
      <c r="M24" s="8">
        <v>5411</v>
      </c>
      <c r="N24" s="8" t="s">
        <v>28</v>
      </c>
      <c r="O24" s="8" t="s">
        <v>29</v>
      </c>
      <c r="P24" s="8" t="s">
        <v>30</v>
      </c>
      <c r="Q24" s="8" t="s">
        <v>31</v>
      </c>
      <c r="R24" s="7"/>
      <c r="S24" s="22" t="s">
        <v>133</v>
      </c>
      <c r="T24" s="23">
        <f>IFERROR(AVERAGEIF(T9:T22,"&gt;"&amp;0),0)</f>
        <v>22050</v>
      </c>
      <c r="U24" s="23">
        <f>IFERROR(AVERAGEIF(U9:U22,"&gt;"&amp;0),0)</f>
        <v>3500</v>
      </c>
      <c r="V24" s="23">
        <f>IFERROR(AVERAGEIF(V9:V22,"&gt;"&amp;0),0)</f>
        <v>13171.428571428571</v>
      </c>
      <c r="W24" s="24">
        <f>T24-U24-V24</f>
        <v>5378.5714285714294</v>
      </c>
    </row>
    <row r="25" spans="1:23" ht="3.75" customHeight="1">
      <c r="A25" s="9">
        <v>24</v>
      </c>
      <c r="B25" s="9" t="s">
        <v>18</v>
      </c>
      <c r="C25" s="9" t="s">
        <v>134</v>
      </c>
      <c r="D25" s="9" t="s">
        <v>135</v>
      </c>
      <c r="E25" s="9" t="s">
        <v>21</v>
      </c>
      <c r="F25" s="9" t="s">
        <v>22</v>
      </c>
      <c r="G25" s="9">
        <v>441</v>
      </c>
      <c r="H25" s="9" t="s">
        <v>23</v>
      </c>
      <c r="I25" s="9" t="s">
        <v>56</v>
      </c>
      <c r="J25" s="9" t="s">
        <v>41</v>
      </c>
      <c r="K25" s="9" t="s">
        <v>26</v>
      </c>
      <c r="L25" s="9" t="s">
        <v>57</v>
      </c>
      <c r="M25" s="9">
        <v>5999</v>
      </c>
      <c r="N25" s="9" t="s">
        <v>28</v>
      </c>
      <c r="O25" s="9" t="s">
        <v>29</v>
      </c>
      <c r="P25" s="9" t="s">
        <v>30</v>
      </c>
      <c r="Q25" s="9" t="s">
        <v>31</v>
      </c>
      <c r="R25" s="7"/>
    </row>
    <row r="26" spans="1:23" ht="15" customHeight="1">
      <c r="A26" s="8">
        <v>25</v>
      </c>
      <c r="B26" s="8" t="s">
        <v>18</v>
      </c>
      <c r="C26" s="8" t="s">
        <v>136</v>
      </c>
      <c r="D26" s="8" t="s">
        <v>137</v>
      </c>
      <c r="E26" s="8" t="s">
        <v>21</v>
      </c>
      <c r="F26" s="8" t="s">
        <v>22</v>
      </c>
      <c r="G26" s="8">
        <v>461</v>
      </c>
      <c r="H26" s="8" t="s">
        <v>23</v>
      </c>
      <c r="I26" s="8" t="s">
        <v>138</v>
      </c>
      <c r="J26" s="8" t="s">
        <v>41</v>
      </c>
      <c r="K26" s="8" t="s">
        <v>26</v>
      </c>
      <c r="L26" s="8" t="s">
        <v>139</v>
      </c>
      <c r="M26" s="8">
        <v>5812</v>
      </c>
      <c r="N26" s="8" t="s">
        <v>28</v>
      </c>
      <c r="O26" s="8" t="s">
        <v>29</v>
      </c>
      <c r="P26" s="8" t="s">
        <v>30</v>
      </c>
      <c r="Q26" s="8" t="s">
        <v>31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18</v>
      </c>
      <c r="C27" s="9" t="s">
        <v>141</v>
      </c>
      <c r="D27" s="9" t="s">
        <v>142</v>
      </c>
      <c r="E27" s="9" t="s">
        <v>21</v>
      </c>
      <c r="F27" s="9" t="s">
        <v>22</v>
      </c>
      <c r="G27" s="9">
        <v>438</v>
      </c>
      <c r="H27" s="9" t="s">
        <v>23</v>
      </c>
      <c r="I27" s="9" t="s">
        <v>143</v>
      </c>
      <c r="J27" s="9" t="s">
        <v>41</v>
      </c>
      <c r="K27" s="9" t="s">
        <v>26</v>
      </c>
      <c r="L27" s="9" t="s">
        <v>144</v>
      </c>
      <c r="M27" s="9">
        <v>7996</v>
      </c>
      <c r="N27" s="9" t="s">
        <v>28</v>
      </c>
      <c r="O27" s="9" t="s">
        <v>29</v>
      </c>
      <c r="P27" s="9" t="s">
        <v>30</v>
      </c>
      <c r="Q27" s="9" t="s">
        <v>31</v>
      </c>
      <c r="R27" s="7"/>
      <c r="S27" s="76" t="s">
        <v>145</v>
      </c>
      <c r="T27" s="76" t="s">
        <v>146</v>
      </c>
      <c r="U27" s="76" t="s">
        <v>147</v>
      </c>
      <c r="V27" s="76" t="s">
        <v>148</v>
      </c>
      <c r="W27" s="76" t="s">
        <v>149</v>
      </c>
    </row>
    <row r="28" spans="1:23" ht="15.75" customHeight="1">
      <c r="A28" s="8">
        <v>27</v>
      </c>
      <c r="B28" s="8" t="s">
        <v>18</v>
      </c>
      <c r="C28" s="8" t="s">
        <v>150</v>
      </c>
      <c r="D28" s="8" t="s">
        <v>151</v>
      </c>
      <c r="E28" s="8" t="s">
        <v>21</v>
      </c>
      <c r="F28" s="8" t="s">
        <v>22</v>
      </c>
      <c r="G28" s="8">
        <v>671</v>
      </c>
      <c r="H28" s="8" t="s">
        <v>23</v>
      </c>
      <c r="I28" s="8" t="s">
        <v>152</v>
      </c>
      <c r="J28" s="8" t="s">
        <v>41</v>
      </c>
      <c r="K28" s="8" t="s">
        <v>26</v>
      </c>
      <c r="L28" s="8" t="s">
        <v>153</v>
      </c>
      <c r="M28" s="8">
        <v>8011</v>
      </c>
      <c r="N28" s="8" t="s">
        <v>28</v>
      </c>
      <c r="O28" s="8" t="s">
        <v>29</v>
      </c>
      <c r="P28" s="8" t="s">
        <v>30</v>
      </c>
      <c r="Q28" s="8" t="s">
        <v>31</v>
      </c>
      <c r="R28" s="7"/>
      <c r="S28" s="25" t="s">
        <v>154</v>
      </c>
      <c r="T28" s="26">
        <f>IFERROR(MEDIAN(T9:T22),0)</f>
        <v>22050</v>
      </c>
      <c r="U28" s="27" t="s">
        <v>155</v>
      </c>
      <c r="V28" s="28" t="s">
        <v>155</v>
      </c>
      <c r="W28" s="77" t="s">
        <v>156</v>
      </c>
    </row>
    <row r="29" spans="1:23" ht="15.75" customHeight="1">
      <c r="A29" s="9">
        <v>28</v>
      </c>
      <c r="B29" s="9" t="s">
        <v>18</v>
      </c>
      <c r="C29" s="9" t="s">
        <v>157</v>
      </c>
      <c r="D29" s="9" t="s">
        <v>158</v>
      </c>
      <c r="E29" s="9" t="s">
        <v>21</v>
      </c>
      <c r="F29" s="9" t="s">
        <v>22</v>
      </c>
      <c r="G29" s="9">
        <v>719</v>
      </c>
      <c r="H29" s="9" t="s">
        <v>23</v>
      </c>
      <c r="I29" s="9" t="s">
        <v>159</v>
      </c>
      <c r="J29" s="9" t="s">
        <v>25</v>
      </c>
      <c r="K29" s="9" t="s">
        <v>26</v>
      </c>
      <c r="L29" s="9" t="s">
        <v>160</v>
      </c>
      <c r="M29" s="9">
        <v>5999</v>
      </c>
      <c r="N29" s="9" t="s">
        <v>28</v>
      </c>
      <c r="O29" s="9" t="s">
        <v>29</v>
      </c>
      <c r="P29" s="9" t="s">
        <v>30</v>
      </c>
      <c r="Q29" s="9" t="s">
        <v>31</v>
      </c>
      <c r="R29" s="7"/>
      <c r="S29" s="30" t="s">
        <v>161</v>
      </c>
      <c r="T29" s="31">
        <f>T28*1.3</f>
        <v>28665</v>
      </c>
      <c r="U29" s="32" t="s">
        <v>162</v>
      </c>
      <c r="V29" s="33" t="s">
        <v>155</v>
      </c>
      <c r="W29" s="78" t="s">
        <v>163</v>
      </c>
    </row>
    <row r="30" spans="1:23" ht="15.75" customHeight="1">
      <c r="A30" s="8">
        <v>29</v>
      </c>
      <c r="B30" s="8" t="s">
        <v>18</v>
      </c>
      <c r="C30" s="8" t="s">
        <v>164</v>
      </c>
      <c r="D30" s="8" t="s">
        <v>165</v>
      </c>
      <c r="E30" s="8" t="s">
        <v>21</v>
      </c>
      <c r="F30" s="8" t="s">
        <v>22</v>
      </c>
      <c r="G30" s="8">
        <v>460</v>
      </c>
      <c r="H30" s="8" t="s">
        <v>23</v>
      </c>
      <c r="I30" s="8" t="s">
        <v>74</v>
      </c>
      <c r="J30" s="8" t="s">
        <v>41</v>
      </c>
      <c r="K30" s="8" t="s">
        <v>26</v>
      </c>
      <c r="L30" s="8" t="s">
        <v>75</v>
      </c>
      <c r="M30" s="8">
        <v>5812</v>
      </c>
      <c r="N30" s="8" t="s">
        <v>28</v>
      </c>
      <c r="O30" s="8" t="s">
        <v>29</v>
      </c>
      <c r="P30" s="8" t="s">
        <v>30</v>
      </c>
      <c r="Q30" s="8" t="s">
        <v>31</v>
      </c>
      <c r="R30" s="7"/>
      <c r="S30" s="25" t="s">
        <v>166</v>
      </c>
      <c r="T30" s="26">
        <f>IFERROR(MEDIAN(MIN(T20,T29),MIN(T21,T29),MIN(T22,T29)),0)</f>
        <v>22000</v>
      </c>
      <c r="U30" s="27" t="s">
        <v>155</v>
      </c>
      <c r="V30" s="28" t="s">
        <v>155</v>
      </c>
      <c r="W30" s="77" t="s">
        <v>167</v>
      </c>
    </row>
    <row r="31" spans="1:23" ht="15.75" customHeight="1">
      <c r="A31" s="9">
        <v>30</v>
      </c>
      <c r="B31" s="9" t="s">
        <v>18</v>
      </c>
      <c r="C31" s="9" t="s">
        <v>168</v>
      </c>
      <c r="D31" s="9" t="s">
        <v>169</v>
      </c>
      <c r="E31" s="9" t="s">
        <v>21</v>
      </c>
      <c r="F31" s="9" t="s">
        <v>22</v>
      </c>
      <c r="G31" s="9">
        <v>439</v>
      </c>
      <c r="H31" s="9" t="s">
        <v>23</v>
      </c>
      <c r="I31" s="9" t="s">
        <v>78</v>
      </c>
      <c r="J31" s="9" t="s">
        <v>41</v>
      </c>
      <c r="K31" s="9" t="s">
        <v>26</v>
      </c>
      <c r="L31" s="9" t="s">
        <v>79</v>
      </c>
      <c r="M31" s="9">
        <v>7996</v>
      </c>
      <c r="N31" s="9" t="s">
        <v>28</v>
      </c>
      <c r="O31" s="9" t="s">
        <v>29</v>
      </c>
      <c r="P31" s="9" t="s">
        <v>30</v>
      </c>
      <c r="Q31" s="9" t="s">
        <v>31</v>
      </c>
      <c r="R31" s="7"/>
      <c r="S31" s="30" t="s">
        <v>170</v>
      </c>
      <c r="T31" s="31">
        <f>T22</f>
        <v>22000</v>
      </c>
      <c r="U31" s="32" t="s">
        <v>155</v>
      </c>
      <c r="V31" s="33" t="s">
        <v>155</v>
      </c>
      <c r="W31" s="78" t="s">
        <v>171</v>
      </c>
    </row>
    <row r="32" spans="1:23" ht="15.75" customHeight="1">
      <c r="A32" s="8">
        <v>31</v>
      </c>
      <c r="B32" s="8" t="s">
        <v>18</v>
      </c>
      <c r="C32" s="8" t="s">
        <v>172</v>
      </c>
      <c r="D32" s="8" t="s">
        <v>173</v>
      </c>
      <c r="E32" s="8" t="s">
        <v>21</v>
      </c>
      <c r="F32" s="8" t="s">
        <v>22</v>
      </c>
      <c r="G32" s="8">
        <v>564</v>
      </c>
      <c r="H32" s="8" t="s">
        <v>23</v>
      </c>
      <c r="I32" s="8" t="s">
        <v>174</v>
      </c>
      <c r="J32" s="8" t="s">
        <v>36</v>
      </c>
      <c r="K32" s="8" t="s">
        <v>26</v>
      </c>
      <c r="L32" s="8" t="s">
        <v>175</v>
      </c>
      <c r="M32" s="8">
        <v>4813</v>
      </c>
      <c r="N32" s="8" t="s">
        <v>28</v>
      </c>
      <c r="O32" s="8" t="s">
        <v>29</v>
      </c>
      <c r="P32" s="8" t="s">
        <v>30</v>
      </c>
      <c r="Q32" s="8" t="s">
        <v>31</v>
      </c>
      <c r="R32" s="7"/>
      <c r="S32" s="25" t="s">
        <v>176</v>
      </c>
      <c r="T32" s="26">
        <f>U22</f>
        <v>3500</v>
      </c>
      <c r="U32" s="27" t="s">
        <v>155</v>
      </c>
      <c r="V32" s="28" t="s">
        <v>155</v>
      </c>
      <c r="W32" s="77" t="s">
        <v>177</v>
      </c>
    </row>
    <row r="33" spans="1:23" ht="15.75" customHeight="1">
      <c r="A33" s="9">
        <v>32</v>
      </c>
      <c r="B33" s="9" t="s">
        <v>18</v>
      </c>
      <c r="C33" s="9" t="s">
        <v>178</v>
      </c>
      <c r="D33" s="9" t="s">
        <v>179</v>
      </c>
      <c r="E33" s="9" t="s">
        <v>21</v>
      </c>
      <c r="F33" s="9" t="s">
        <v>22</v>
      </c>
      <c r="G33" s="9">
        <v>1130</v>
      </c>
      <c r="H33" s="9" t="s">
        <v>23</v>
      </c>
      <c r="I33" s="9" t="s">
        <v>180</v>
      </c>
      <c r="J33" s="9" t="s">
        <v>41</v>
      </c>
      <c r="K33" s="9" t="s">
        <v>26</v>
      </c>
      <c r="L33" s="9" t="s">
        <v>181</v>
      </c>
      <c r="M33" s="9">
        <v>5411</v>
      </c>
      <c r="N33" s="9" t="s">
        <v>28</v>
      </c>
      <c r="O33" s="9" t="s">
        <v>29</v>
      </c>
      <c r="P33" s="9" t="s">
        <v>30</v>
      </c>
      <c r="Q33" s="9" t="s">
        <v>31</v>
      </c>
      <c r="R33" s="7"/>
      <c r="S33" s="30" t="s">
        <v>182</v>
      </c>
      <c r="T33" s="31">
        <f>T24</f>
        <v>22050</v>
      </c>
      <c r="U33" s="32" t="s">
        <v>155</v>
      </c>
      <c r="V33" s="33" t="s">
        <v>155</v>
      </c>
      <c r="W33" s="78" t="s">
        <v>183</v>
      </c>
    </row>
    <row r="34" spans="1:23" ht="15.75" customHeight="1">
      <c r="A34" s="8">
        <v>33</v>
      </c>
      <c r="B34" s="8" t="s">
        <v>18</v>
      </c>
      <c r="C34" s="8" t="s">
        <v>184</v>
      </c>
      <c r="D34" s="8" t="s">
        <v>185</v>
      </c>
      <c r="E34" s="8" t="s">
        <v>21</v>
      </c>
      <c r="F34" s="8" t="s">
        <v>22</v>
      </c>
      <c r="G34" s="8">
        <v>572</v>
      </c>
      <c r="H34" s="8" t="s">
        <v>23</v>
      </c>
      <c r="I34" s="8" t="s">
        <v>186</v>
      </c>
      <c r="J34" s="8" t="s">
        <v>41</v>
      </c>
      <c r="K34" s="8" t="s">
        <v>26</v>
      </c>
      <c r="L34" s="8" t="s">
        <v>187</v>
      </c>
      <c r="M34" s="8">
        <v>5999</v>
      </c>
      <c r="N34" s="8" t="s">
        <v>28</v>
      </c>
      <c r="O34" s="8" t="s">
        <v>29</v>
      </c>
      <c r="P34" s="8" t="s">
        <v>30</v>
      </c>
      <c r="Q34" s="8" t="s">
        <v>31</v>
      </c>
      <c r="R34" s="7"/>
      <c r="S34" s="25" t="s">
        <v>188</v>
      </c>
      <c r="T34" s="26">
        <f>V24</f>
        <v>13171.428571428571</v>
      </c>
      <c r="U34" s="27" t="s">
        <v>155</v>
      </c>
      <c r="V34" s="28" t="s">
        <v>155</v>
      </c>
      <c r="W34" s="77" t="s">
        <v>189</v>
      </c>
    </row>
    <row r="35" spans="1:23" ht="15.75" customHeight="1">
      <c r="A35" s="9">
        <v>34</v>
      </c>
      <c r="B35" s="9" t="s">
        <v>18</v>
      </c>
      <c r="C35" s="9" t="s">
        <v>190</v>
      </c>
      <c r="D35" s="9" t="s">
        <v>191</v>
      </c>
      <c r="E35" s="9" t="s">
        <v>94</v>
      </c>
      <c r="F35" s="9" t="s">
        <v>22</v>
      </c>
      <c r="G35" s="9">
        <v>22500</v>
      </c>
      <c r="H35" s="9" t="s">
        <v>23</v>
      </c>
      <c r="I35" s="9" t="s">
        <v>95</v>
      </c>
      <c r="J35" s="9" t="s">
        <v>96</v>
      </c>
      <c r="K35" s="9" t="s">
        <v>97</v>
      </c>
      <c r="L35" s="9" t="s">
        <v>98</v>
      </c>
      <c r="M35" s="9"/>
      <c r="N35" s="9" t="s">
        <v>98</v>
      </c>
      <c r="O35" s="9" t="s">
        <v>192</v>
      </c>
      <c r="P35" s="9" t="s">
        <v>30</v>
      </c>
      <c r="Q35" s="9" t="s">
        <v>31</v>
      </c>
      <c r="R35" s="7"/>
      <c r="S35" s="30" t="s">
        <v>193</v>
      </c>
      <c r="T35" s="35">
        <f>IFERROR((T33-T34)/T33,0)</f>
        <v>0.4026563006154843</v>
      </c>
      <c r="U35" s="32" t="s">
        <v>194</v>
      </c>
      <c r="V35" s="36" t="str">
        <f>IF(T35&gt;=0.2,"✅ Meets","⚠️ Below")</f>
        <v>✅ Meets</v>
      </c>
      <c r="W35" s="78" t="s">
        <v>195</v>
      </c>
    </row>
    <row r="36" spans="1:23" ht="15.75" customHeight="1">
      <c r="A36" s="8">
        <v>35</v>
      </c>
      <c r="B36" s="8" t="s">
        <v>18</v>
      </c>
      <c r="C36" s="8" t="s">
        <v>196</v>
      </c>
      <c r="D36" s="8" t="s">
        <v>197</v>
      </c>
      <c r="E36" s="8" t="s">
        <v>21</v>
      </c>
      <c r="F36" s="8" t="s">
        <v>22</v>
      </c>
      <c r="G36" s="8">
        <v>1289</v>
      </c>
      <c r="H36" s="8" t="s">
        <v>23</v>
      </c>
      <c r="I36" s="8" t="s">
        <v>198</v>
      </c>
      <c r="J36" s="8" t="s">
        <v>36</v>
      </c>
      <c r="K36" s="8" t="s">
        <v>26</v>
      </c>
      <c r="L36" s="8" t="s">
        <v>199</v>
      </c>
      <c r="M36" s="8">
        <v>4900</v>
      </c>
      <c r="N36" s="8" t="s">
        <v>28</v>
      </c>
      <c r="O36" s="8" t="s">
        <v>29</v>
      </c>
      <c r="P36" s="8" t="s">
        <v>30</v>
      </c>
      <c r="Q36" s="8" t="s">
        <v>31</v>
      </c>
      <c r="R36" s="7"/>
      <c r="S36" s="25" t="s">
        <v>200</v>
      </c>
      <c r="T36" s="37">
        <f>T33-T34</f>
        <v>8878.5714285714294</v>
      </c>
      <c r="U36" s="27" t="s">
        <v>201</v>
      </c>
      <c r="V36" s="38" t="str">
        <f>IF(T36&gt;0,"✅ Positive","❌ Negative")</f>
        <v>✅ Positive</v>
      </c>
      <c r="W36" s="77" t="s">
        <v>202</v>
      </c>
    </row>
    <row r="37" spans="1:23" ht="15.75" customHeight="1">
      <c r="A37" s="9">
        <v>36</v>
      </c>
      <c r="B37" s="9" t="s">
        <v>18</v>
      </c>
      <c r="C37" s="9" t="s">
        <v>203</v>
      </c>
      <c r="D37" s="9" t="s">
        <v>204</v>
      </c>
      <c r="E37" s="9" t="s">
        <v>21</v>
      </c>
      <c r="F37" s="9" t="s">
        <v>22</v>
      </c>
      <c r="G37" s="9">
        <v>518</v>
      </c>
      <c r="H37" s="9" t="s">
        <v>23</v>
      </c>
      <c r="I37" s="9" t="s">
        <v>123</v>
      </c>
      <c r="J37" s="9" t="s">
        <v>41</v>
      </c>
      <c r="K37" s="9" t="s">
        <v>26</v>
      </c>
      <c r="L37" s="9" t="s">
        <v>124</v>
      </c>
      <c r="M37" s="9">
        <v>5541</v>
      </c>
      <c r="N37" s="9" t="s">
        <v>28</v>
      </c>
      <c r="O37" s="9" t="s">
        <v>29</v>
      </c>
      <c r="P37" s="9" t="s">
        <v>30</v>
      </c>
      <c r="Q37" s="9" t="s">
        <v>31</v>
      </c>
      <c r="R37" s="7"/>
      <c r="S37" s="30" t="s">
        <v>205</v>
      </c>
      <c r="T37" s="35">
        <f>IFERROR(U24/T30,0)</f>
        <v>0.15909090909090909</v>
      </c>
      <c r="U37" s="32" t="s">
        <v>206</v>
      </c>
      <c r="V37" s="36" t="str">
        <f>IF(T37&lt;=0.35,"✅ Meets","⚠️ Exceeds")</f>
        <v>✅ Meets</v>
      </c>
      <c r="W37" s="78" t="s">
        <v>207</v>
      </c>
    </row>
    <row r="38" spans="1:23" ht="3.75" customHeight="1">
      <c r="A38" s="8">
        <v>37</v>
      </c>
      <c r="B38" s="8" t="s">
        <v>18</v>
      </c>
      <c r="C38" s="8" t="s">
        <v>208</v>
      </c>
      <c r="D38" s="8" t="s">
        <v>209</v>
      </c>
      <c r="E38" s="8" t="s">
        <v>21</v>
      </c>
      <c r="F38" s="8" t="s">
        <v>22</v>
      </c>
      <c r="G38" s="8">
        <v>3500</v>
      </c>
      <c r="H38" s="8" t="s">
        <v>23</v>
      </c>
      <c r="I38" s="8" t="s">
        <v>35</v>
      </c>
      <c r="J38" s="8" t="s">
        <v>36</v>
      </c>
      <c r="K38" s="8" t="s">
        <v>26</v>
      </c>
      <c r="L38" s="8" t="s">
        <v>37</v>
      </c>
      <c r="M38" s="8">
        <v>6012</v>
      </c>
      <c r="N38" s="8" t="s">
        <v>28</v>
      </c>
      <c r="O38" s="8" t="s">
        <v>29</v>
      </c>
      <c r="P38" s="8" t="s">
        <v>30</v>
      </c>
      <c r="Q38" s="8" t="s">
        <v>31</v>
      </c>
      <c r="R38" s="7"/>
    </row>
    <row r="39" spans="1:23" ht="15" customHeight="1">
      <c r="A39" s="9">
        <v>38</v>
      </c>
      <c r="B39" s="9" t="s">
        <v>18</v>
      </c>
      <c r="C39" s="9" t="s">
        <v>210</v>
      </c>
      <c r="D39" s="9" t="s">
        <v>211</v>
      </c>
      <c r="E39" s="9" t="s">
        <v>21</v>
      </c>
      <c r="F39" s="9" t="s">
        <v>22</v>
      </c>
      <c r="G39" s="9">
        <v>1584</v>
      </c>
      <c r="H39" s="9" t="s">
        <v>23</v>
      </c>
      <c r="I39" s="9" t="s">
        <v>212</v>
      </c>
      <c r="J39" s="9" t="s">
        <v>25</v>
      </c>
      <c r="K39" s="9" t="s">
        <v>26</v>
      </c>
      <c r="L39" s="9" t="s">
        <v>213</v>
      </c>
      <c r="M39" s="9">
        <v>5999</v>
      </c>
      <c r="N39" s="9" t="s">
        <v>28</v>
      </c>
      <c r="O39" s="9" t="s">
        <v>29</v>
      </c>
      <c r="P39" s="9" t="s">
        <v>30</v>
      </c>
      <c r="Q39" s="9" t="s">
        <v>31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18</v>
      </c>
      <c r="C40" s="8" t="s">
        <v>215</v>
      </c>
      <c r="D40" s="8" t="s">
        <v>216</v>
      </c>
      <c r="E40" s="8" t="s">
        <v>21</v>
      </c>
      <c r="F40" s="8" t="s">
        <v>22</v>
      </c>
      <c r="G40" s="8">
        <v>324</v>
      </c>
      <c r="H40" s="8" t="s">
        <v>23</v>
      </c>
      <c r="I40" s="8" t="s">
        <v>217</v>
      </c>
      <c r="J40" s="8" t="s">
        <v>41</v>
      </c>
      <c r="K40" s="8" t="s">
        <v>26</v>
      </c>
      <c r="L40" s="8" t="s">
        <v>218</v>
      </c>
      <c r="M40" s="8">
        <v>5812</v>
      </c>
      <c r="N40" s="8" t="s">
        <v>28</v>
      </c>
      <c r="O40" s="8" t="s">
        <v>29</v>
      </c>
      <c r="P40" s="8" t="s">
        <v>30</v>
      </c>
      <c r="Q40" s="8" t="s">
        <v>31</v>
      </c>
      <c r="R40" s="7"/>
      <c r="S40" s="76" t="s">
        <v>219</v>
      </c>
      <c r="T40" s="76" t="s">
        <v>220</v>
      </c>
      <c r="U40" s="76" t="s">
        <v>221</v>
      </c>
      <c r="V40" s="76" t="s">
        <v>222</v>
      </c>
      <c r="W40" s="76" t="s">
        <v>223</v>
      </c>
    </row>
    <row r="41" spans="1:23" ht="18" customHeight="1">
      <c r="A41" s="9">
        <v>40</v>
      </c>
      <c r="B41" s="9" t="s">
        <v>18</v>
      </c>
      <c r="C41" s="9" t="s">
        <v>224</v>
      </c>
      <c r="D41" s="9" t="s">
        <v>225</v>
      </c>
      <c r="E41" s="9" t="s">
        <v>21</v>
      </c>
      <c r="F41" s="9" t="s">
        <v>22</v>
      </c>
      <c r="G41" s="9">
        <v>518</v>
      </c>
      <c r="H41" s="9" t="s">
        <v>23</v>
      </c>
      <c r="I41" s="9" t="s">
        <v>123</v>
      </c>
      <c r="J41" s="9" t="s">
        <v>41</v>
      </c>
      <c r="K41" s="9" t="s">
        <v>26</v>
      </c>
      <c r="L41" s="9" t="s">
        <v>124</v>
      </c>
      <c r="M41" s="9">
        <v>5541</v>
      </c>
      <c r="N41" s="9" t="s">
        <v>28</v>
      </c>
      <c r="O41" s="9" t="s">
        <v>29</v>
      </c>
      <c r="P41" s="9" t="s">
        <v>30</v>
      </c>
      <c r="Q41" s="9" t="s">
        <v>31</v>
      </c>
      <c r="R41" s="7"/>
      <c r="S41" s="39" t="s">
        <v>226</v>
      </c>
      <c r="T41" s="40">
        <f>T5</f>
        <v>42</v>
      </c>
      <c r="U41" s="41">
        <f>IF(T41&lt;18,0,IF(T41&lt;=25,30,IF(T41&lt;=35,80,IF(T41&lt;=50,150,IF(T41&lt;=60,100,0)))))</f>
        <v>150</v>
      </c>
      <c r="V41" s="42">
        <v>150</v>
      </c>
      <c r="W41" s="77" t="s">
        <v>227</v>
      </c>
    </row>
    <row r="42" spans="1:23" ht="18" customHeight="1">
      <c r="A42" s="8">
        <v>41</v>
      </c>
      <c r="B42" s="8" t="s">
        <v>18</v>
      </c>
      <c r="C42" s="8" t="s">
        <v>228</v>
      </c>
      <c r="D42" s="8" t="s">
        <v>229</v>
      </c>
      <c r="E42" s="8" t="s">
        <v>21</v>
      </c>
      <c r="F42" s="8" t="s">
        <v>22</v>
      </c>
      <c r="G42" s="8">
        <v>324</v>
      </c>
      <c r="H42" s="8" t="s">
        <v>23</v>
      </c>
      <c r="I42" s="8" t="s">
        <v>52</v>
      </c>
      <c r="J42" s="8" t="s">
        <v>41</v>
      </c>
      <c r="K42" s="8" t="s">
        <v>26</v>
      </c>
      <c r="L42" s="8" t="s">
        <v>53</v>
      </c>
      <c r="M42" s="8">
        <v>5812</v>
      </c>
      <c r="N42" s="8" t="s">
        <v>28</v>
      </c>
      <c r="O42" s="8" t="s">
        <v>29</v>
      </c>
      <c r="P42" s="8" t="s">
        <v>30</v>
      </c>
      <c r="Q42" s="8" t="s">
        <v>31</v>
      </c>
      <c r="R42" s="7"/>
      <c r="S42" s="43" t="s">
        <v>230</v>
      </c>
      <c r="T42" s="44">
        <f>T30</f>
        <v>22000</v>
      </c>
      <c r="U42" s="41">
        <f>IF(T42&lt;=5000,0,IF(T42&lt;=10000,50,IF(T42&lt;=15000,100,150)))</f>
        <v>150</v>
      </c>
      <c r="V42" s="42">
        <v>150</v>
      </c>
      <c r="W42" s="78" t="s">
        <v>231</v>
      </c>
    </row>
    <row r="43" spans="1:23" ht="18" customHeight="1">
      <c r="A43" s="9">
        <v>42</v>
      </c>
      <c r="B43" s="9" t="s">
        <v>18</v>
      </c>
      <c r="C43" s="9" t="s">
        <v>232</v>
      </c>
      <c r="D43" s="9" t="s">
        <v>233</v>
      </c>
      <c r="E43" s="9" t="s">
        <v>21</v>
      </c>
      <c r="F43" s="9" t="s">
        <v>22</v>
      </c>
      <c r="G43" s="9">
        <v>764</v>
      </c>
      <c r="H43" s="9" t="s">
        <v>23</v>
      </c>
      <c r="I43" s="9" t="s">
        <v>234</v>
      </c>
      <c r="J43" s="9" t="s">
        <v>41</v>
      </c>
      <c r="K43" s="9" t="s">
        <v>26</v>
      </c>
      <c r="L43" s="9" t="s">
        <v>235</v>
      </c>
      <c r="M43" s="9">
        <v>8011</v>
      </c>
      <c r="N43" s="9" t="s">
        <v>28</v>
      </c>
      <c r="O43" s="9" t="s">
        <v>29</v>
      </c>
      <c r="P43" s="9" t="s">
        <v>30</v>
      </c>
      <c r="Q43" s="9" t="s">
        <v>31</v>
      </c>
      <c r="R43" s="7"/>
      <c r="S43" s="39" t="s">
        <v>236</v>
      </c>
      <c r="T43" s="45">
        <f>T32</f>
        <v>3500</v>
      </c>
      <c r="U43" s="41">
        <f>IF(T43=0,150,IF(T43&lt;=1500,150,IF(T43&lt;=3000,130,IF(T43&lt;=4500,110,IF(T43&lt;=9000,80,IF(T43&lt;=15000,40,0))))))</f>
        <v>110</v>
      </c>
      <c r="V43" s="42">
        <v>150</v>
      </c>
      <c r="W43" s="77" t="s">
        <v>237</v>
      </c>
    </row>
    <row r="44" spans="1:23" ht="18" customHeight="1">
      <c r="A44" s="8">
        <v>43</v>
      </c>
      <c r="B44" s="8" t="s">
        <v>18</v>
      </c>
      <c r="C44" s="8" t="s">
        <v>238</v>
      </c>
      <c r="D44" s="8" t="s">
        <v>239</v>
      </c>
      <c r="E44" s="8" t="s">
        <v>21</v>
      </c>
      <c r="F44" s="8" t="s">
        <v>22</v>
      </c>
      <c r="G44" s="8">
        <v>760</v>
      </c>
      <c r="H44" s="8" t="s">
        <v>23</v>
      </c>
      <c r="I44" s="8" t="s">
        <v>86</v>
      </c>
      <c r="J44" s="8" t="s">
        <v>36</v>
      </c>
      <c r="K44" s="8" t="s">
        <v>26</v>
      </c>
      <c r="L44" s="8" t="s">
        <v>87</v>
      </c>
      <c r="M44" s="8">
        <v>4813</v>
      </c>
      <c r="N44" s="8" t="s">
        <v>28</v>
      </c>
      <c r="O44" s="8" t="s">
        <v>29</v>
      </c>
      <c r="P44" s="8" t="s">
        <v>30</v>
      </c>
      <c r="Q44" s="8" t="s">
        <v>31</v>
      </c>
      <c r="R44" s="7"/>
      <c r="S44" s="43" t="s">
        <v>240</v>
      </c>
      <c r="T44" s="46">
        <f>T35</f>
        <v>0.4026563006154843</v>
      </c>
      <c r="U44" s="41">
        <f>IF(T44&lt;=0,0,IF(T44&lt;=0.1,50,IF(T44&lt;=0.2,100,IF(T44&lt;=0.3,130,150))))</f>
        <v>150</v>
      </c>
      <c r="V44" s="42">
        <v>150</v>
      </c>
      <c r="W44" s="78" t="s">
        <v>241</v>
      </c>
    </row>
    <row r="45" spans="1:23" ht="18" customHeight="1">
      <c r="A45" s="9">
        <v>44</v>
      </c>
      <c r="B45" s="9" t="s">
        <v>18</v>
      </c>
      <c r="C45" s="9" t="s">
        <v>242</v>
      </c>
      <c r="D45" s="9" t="s">
        <v>243</v>
      </c>
      <c r="E45" s="9" t="s">
        <v>21</v>
      </c>
      <c r="F45" s="9" t="s">
        <v>22</v>
      </c>
      <c r="G45" s="9">
        <v>947</v>
      </c>
      <c r="H45" s="9" t="s">
        <v>23</v>
      </c>
      <c r="I45" s="9" t="s">
        <v>244</v>
      </c>
      <c r="J45" s="9" t="s">
        <v>41</v>
      </c>
      <c r="K45" s="9" t="s">
        <v>26</v>
      </c>
      <c r="L45" s="9" t="s">
        <v>245</v>
      </c>
      <c r="M45" s="9">
        <v>5411</v>
      </c>
      <c r="N45" s="9" t="s">
        <v>28</v>
      </c>
      <c r="O45" s="9" t="s">
        <v>29</v>
      </c>
      <c r="P45" s="9" t="s">
        <v>30</v>
      </c>
      <c r="Q45" s="9" t="s">
        <v>31</v>
      </c>
      <c r="R45" s="7"/>
      <c r="S45" s="39" t="s">
        <v>246</v>
      </c>
      <c r="T45" s="45">
        <f>T31</f>
        <v>22000</v>
      </c>
      <c r="U45" s="41">
        <f>IF(T45&lt;=5000,30,IF(T45&lt;=15000,90,150))</f>
        <v>150</v>
      </c>
      <c r="V45" s="42">
        <v>150</v>
      </c>
      <c r="W45" s="77" t="s">
        <v>247</v>
      </c>
    </row>
    <row r="46" spans="1:23" ht="18" customHeight="1">
      <c r="A46" s="8">
        <v>45</v>
      </c>
      <c r="B46" s="8" t="s">
        <v>18</v>
      </c>
      <c r="C46" s="8" t="s">
        <v>248</v>
      </c>
      <c r="D46" s="8" t="s">
        <v>249</v>
      </c>
      <c r="E46" s="8" t="s">
        <v>21</v>
      </c>
      <c r="F46" s="8" t="s">
        <v>22</v>
      </c>
      <c r="G46" s="8">
        <v>948</v>
      </c>
      <c r="H46" s="8" t="s">
        <v>23</v>
      </c>
      <c r="I46" s="8" t="s">
        <v>131</v>
      </c>
      <c r="J46" s="8" t="s">
        <v>41</v>
      </c>
      <c r="K46" s="8" t="s">
        <v>26</v>
      </c>
      <c r="L46" s="8" t="s">
        <v>132</v>
      </c>
      <c r="M46" s="8">
        <v>5411</v>
      </c>
      <c r="N46" s="8" t="s">
        <v>28</v>
      </c>
      <c r="O46" s="8" t="s">
        <v>29</v>
      </c>
      <c r="P46" s="8" t="s">
        <v>30</v>
      </c>
      <c r="Q46" s="8" t="s">
        <v>31</v>
      </c>
      <c r="R46" s="7"/>
      <c r="S46" s="43" t="s">
        <v>250</v>
      </c>
      <c r="T46" s="47">
        <f>T36</f>
        <v>8878.5714285714294</v>
      </c>
      <c r="U46" s="41">
        <f>IF(T46&lt;0,0,IF(T46&lt;=1000,50,IF(T46&lt;=3000,100,150)))</f>
        <v>150</v>
      </c>
      <c r="V46" s="42">
        <v>150</v>
      </c>
      <c r="W46" s="78" t="s">
        <v>251</v>
      </c>
    </row>
    <row r="47" spans="1:23" ht="18" customHeight="1">
      <c r="A47" s="9">
        <v>46</v>
      </c>
      <c r="B47" s="9" t="s">
        <v>18</v>
      </c>
      <c r="C47" s="9" t="s">
        <v>252</v>
      </c>
      <c r="D47" s="9" t="s">
        <v>253</v>
      </c>
      <c r="E47" s="9" t="s">
        <v>21</v>
      </c>
      <c r="F47" s="9" t="s">
        <v>22</v>
      </c>
      <c r="G47" s="9">
        <v>324</v>
      </c>
      <c r="H47" s="9" t="s">
        <v>23</v>
      </c>
      <c r="I47" s="9" t="s">
        <v>254</v>
      </c>
      <c r="J47" s="9" t="s">
        <v>41</v>
      </c>
      <c r="K47" s="9" t="s">
        <v>26</v>
      </c>
      <c r="L47" s="9" t="s">
        <v>255</v>
      </c>
      <c r="M47" s="9">
        <v>5812</v>
      </c>
      <c r="N47" s="9" t="s">
        <v>28</v>
      </c>
      <c r="O47" s="9" t="s">
        <v>29</v>
      </c>
      <c r="P47" s="9" t="s">
        <v>30</v>
      </c>
      <c r="Q47" s="9" t="s">
        <v>31</v>
      </c>
      <c r="R47" s="7"/>
      <c r="S47" s="39" t="s">
        <v>256</v>
      </c>
      <c r="T47" s="48">
        <f>T37</f>
        <v>0.15909090909090909</v>
      </c>
      <c r="U47" s="41">
        <f>IF(T47&lt;=0.1,100,IF(T47&lt;=0.25,70,IF(T47&lt;=0.4,40,IF(T47&lt;=0.6,20,0))))</f>
        <v>70</v>
      </c>
      <c r="V47" s="42">
        <v>100</v>
      </c>
      <c r="W47" s="77" t="s">
        <v>257</v>
      </c>
    </row>
    <row r="48" spans="1:23" ht="3.75" customHeight="1">
      <c r="A48" s="8">
        <v>47</v>
      </c>
      <c r="B48" s="8" t="s">
        <v>18</v>
      </c>
      <c r="C48" s="8" t="s">
        <v>258</v>
      </c>
      <c r="D48" s="8" t="s">
        <v>259</v>
      </c>
      <c r="E48" s="8" t="s">
        <v>21</v>
      </c>
      <c r="F48" s="8" t="s">
        <v>22</v>
      </c>
      <c r="G48" s="8">
        <v>324</v>
      </c>
      <c r="H48" s="8" t="s">
        <v>23</v>
      </c>
      <c r="I48" s="8" t="s">
        <v>217</v>
      </c>
      <c r="J48" s="8" t="s">
        <v>41</v>
      </c>
      <c r="K48" s="8" t="s">
        <v>26</v>
      </c>
      <c r="L48" s="8" t="s">
        <v>218</v>
      </c>
      <c r="M48" s="8">
        <v>5812</v>
      </c>
      <c r="N48" s="8" t="s">
        <v>28</v>
      </c>
      <c r="O48" s="8" t="s">
        <v>29</v>
      </c>
      <c r="P48" s="8" t="s">
        <v>30</v>
      </c>
      <c r="Q48" s="8" t="s">
        <v>31</v>
      </c>
      <c r="R48" s="7"/>
    </row>
    <row r="49" spans="1:23" ht="27.75" customHeight="1">
      <c r="A49" s="9">
        <v>48</v>
      </c>
      <c r="B49" s="9" t="s">
        <v>18</v>
      </c>
      <c r="C49" s="9" t="s">
        <v>260</v>
      </c>
      <c r="D49" s="9" t="s">
        <v>261</v>
      </c>
      <c r="E49" s="9" t="s">
        <v>21</v>
      </c>
      <c r="F49" s="9" t="s">
        <v>22</v>
      </c>
      <c r="G49" s="9">
        <v>1665</v>
      </c>
      <c r="H49" s="9" t="s">
        <v>23</v>
      </c>
      <c r="I49" s="9" t="s">
        <v>262</v>
      </c>
      <c r="J49" s="9" t="s">
        <v>25</v>
      </c>
      <c r="K49" s="9" t="s">
        <v>26</v>
      </c>
      <c r="L49" s="9" t="s">
        <v>263</v>
      </c>
      <c r="M49" s="9">
        <v>8299</v>
      </c>
      <c r="N49" s="9" t="s">
        <v>28</v>
      </c>
      <c r="O49" s="9" t="s">
        <v>29</v>
      </c>
      <c r="P49" s="9" t="s">
        <v>30</v>
      </c>
      <c r="Q49" s="9" t="s">
        <v>31</v>
      </c>
      <c r="R49" s="7"/>
      <c r="S49" s="49" t="s">
        <v>264</v>
      </c>
      <c r="T49" s="50">
        <f>U41+U42+U43+U44+U45+U46+U47</f>
        <v>930</v>
      </c>
      <c r="U49" s="51"/>
      <c r="V49" s="52">
        <v>1000</v>
      </c>
      <c r="W49" s="79" t="s">
        <v>265</v>
      </c>
    </row>
    <row r="50" spans="1:23" ht="19.5" customHeight="1">
      <c r="A50" s="8">
        <v>49</v>
      </c>
      <c r="B50" s="8" t="s">
        <v>18</v>
      </c>
      <c r="C50" s="8" t="s">
        <v>266</v>
      </c>
      <c r="D50" s="8" t="s">
        <v>267</v>
      </c>
      <c r="E50" s="8" t="s">
        <v>94</v>
      </c>
      <c r="F50" s="8" t="s">
        <v>22</v>
      </c>
      <c r="G50" s="8">
        <v>22000</v>
      </c>
      <c r="H50" s="8" t="s">
        <v>23</v>
      </c>
      <c r="I50" s="8" t="s">
        <v>95</v>
      </c>
      <c r="J50" s="8" t="s">
        <v>96</v>
      </c>
      <c r="K50" s="8" t="s">
        <v>97</v>
      </c>
      <c r="L50" s="8" t="s">
        <v>98</v>
      </c>
      <c r="M50" s="8"/>
      <c r="N50" s="8" t="s">
        <v>98</v>
      </c>
      <c r="O50" s="8" t="s">
        <v>268</v>
      </c>
      <c r="P50" s="8" t="s">
        <v>30</v>
      </c>
      <c r="Q50" s="8" t="s">
        <v>31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AAA</v>
      </c>
      <c r="U50" s="56"/>
      <c r="V50" s="56"/>
      <c r="W50" s="80" t="s">
        <v>270</v>
      </c>
    </row>
    <row r="51" spans="1:23" ht="19.5" customHeight="1">
      <c r="A51" s="9">
        <v>50</v>
      </c>
      <c r="B51" s="9" t="s">
        <v>18</v>
      </c>
      <c r="C51" s="9" t="s">
        <v>271</v>
      </c>
      <c r="D51" s="9" t="s">
        <v>272</v>
      </c>
      <c r="E51" s="9" t="s">
        <v>21</v>
      </c>
      <c r="F51" s="9" t="s">
        <v>22</v>
      </c>
      <c r="G51" s="9">
        <v>947</v>
      </c>
      <c r="H51" s="9" t="s">
        <v>23</v>
      </c>
      <c r="I51" s="9" t="s">
        <v>102</v>
      </c>
      <c r="J51" s="9" t="s">
        <v>41</v>
      </c>
      <c r="K51" s="9" t="s">
        <v>26</v>
      </c>
      <c r="L51" s="9" t="s">
        <v>103</v>
      </c>
      <c r="M51" s="9">
        <v>5411</v>
      </c>
      <c r="N51" s="9" t="s">
        <v>28</v>
      </c>
      <c r="O51" s="9" t="s">
        <v>29</v>
      </c>
      <c r="P51" s="9" t="s">
        <v>30</v>
      </c>
      <c r="Q51" s="9" t="s">
        <v>31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Excellent</v>
      </c>
      <c r="U51" s="59"/>
      <c r="V51" s="59"/>
      <c r="W51" s="81" t="s">
        <v>274</v>
      </c>
    </row>
    <row r="52" spans="1:23" ht="19.5" customHeight="1">
      <c r="A52" s="8">
        <v>51</v>
      </c>
      <c r="B52" s="8" t="s">
        <v>18</v>
      </c>
      <c r="C52" s="8" t="s">
        <v>275</v>
      </c>
      <c r="D52" s="8" t="s">
        <v>276</v>
      </c>
      <c r="E52" s="8" t="s">
        <v>21</v>
      </c>
      <c r="F52" s="8" t="s">
        <v>22</v>
      </c>
      <c r="G52" s="8">
        <v>2428</v>
      </c>
      <c r="H52" s="8" t="s">
        <v>23</v>
      </c>
      <c r="I52" s="8" t="s">
        <v>56</v>
      </c>
      <c r="J52" s="8" t="s">
        <v>41</v>
      </c>
      <c r="K52" s="8" t="s">
        <v>26</v>
      </c>
      <c r="L52" s="8" t="s">
        <v>57</v>
      </c>
      <c r="M52" s="8">
        <v>5999</v>
      </c>
      <c r="N52" s="8" t="s">
        <v>28</v>
      </c>
      <c r="O52" s="8" t="s">
        <v>29</v>
      </c>
      <c r="P52" s="8" t="s">
        <v>30</v>
      </c>
      <c r="Q52" s="8" t="s">
        <v>31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Very High</v>
      </c>
      <c r="U52" s="59"/>
      <c r="V52" s="59"/>
      <c r="W52" s="81" t="s">
        <v>278</v>
      </c>
    </row>
    <row r="53" spans="1:23" ht="6" customHeight="1">
      <c r="A53" s="9">
        <v>52</v>
      </c>
      <c r="B53" s="9" t="s">
        <v>18</v>
      </c>
      <c r="C53" s="9" t="s">
        <v>279</v>
      </c>
      <c r="D53" s="9" t="s">
        <v>280</v>
      </c>
      <c r="E53" s="9" t="s">
        <v>21</v>
      </c>
      <c r="F53" s="9" t="s">
        <v>22</v>
      </c>
      <c r="G53" s="9">
        <v>1025</v>
      </c>
      <c r="H53" s="9" t="s">
        <v>23</v>
      </c>
      <c r="I53" s="9" t="s">
        <v>198</v>
      </c>
      <c r="J53" s="9" t="s">
        <v>36</v>
      </c>
      <c r="K53" s="9" t="s">
        <v>26</v>
      </c>
      <c r="L53" s="9" t="s">
        <v>199</v>
      </c>
      <c r="M53" s="9">
        <v>4900</v>
      </c>
      <c r="N53" s="9" t="s">
        <v>28</v>
      </c>
      <c r="O53" s="9" t="s">
        <v>29</v>
      </c>
      <c r="P53" s="9" t="s">
        <v>30</v>
      </c>
      <c r="Q53" s="9" t="s">
        <v>31</v>
      </c>
      <c r="R53" s="7"/>
    </row>
    <row r="54" spans="1:23" ht="15.75" customHeight="1">
      <c r="A54" s="8">
        <v>53</v>
      </c>
      <c r="B54" s="8" t="s">
        <v>18</v>
      </c>
      <c r="C54" s="8" t="s">
        <v>281</v>
      </c>
      <c r="D54" s="8" t="s">
        <v>282</v>
      </c>
      <c r="E54" s="8" t="s">
        <v>21</v>
      </c>
      <c r="F54" s="8" t="s">
        <v>22</v>
      </c>
      <c r="G54" s="8">
        <v>3500</v>
      </c>
      <c r="H54" s="8" t="s">
        <v>23</v>
      </c>
      <c r="I54" s="8" t="s">
        <v>35</v>
      </c>
      <c r="J54" s="8" t="s">
        <v>36</v>
      </c>
      <c r="K54" s="8" t="s">
        <v>26</v>
      </c>
      <c r="L54" s="8" t="s">
        <v>37</v>
      </c>
      <c r="M54" s="8">
        <v>6012</v>
      </c>
      <c r="N54" s="8" t="s">
        <v>28</v>
      </c>
      <c r="O54" s="8" t="s">
        <v>29</v>
      </c>
      <c r="P54" s="8" t="s">
        <v>30</v>
      </c>
      <c r="Q54" s="8" t="s">
        <v>31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18</v>
      </c>
      <c r="C55" s="9" t="s">
        <v>284</v>
      </c>
      <c r="D55" s="9" t="s">
        <v>285</v>
      </c>
      <c r="E55" s="9" t="s">
        <v>21</v>
      </c>
      <c r="F55" s="9" t="s">
        <v>22</v>
      </c>
      <c r="G55" s="9">
        <v>615</v>
      </c>
      <c r="H55" s="9" t="s">
        <v>23</v>
      </c>
      <c r="I55" s="9" t="s">
        <v>286</v>
      </c>
      <c r="J55" s="9" t="s">
        <v>41</v>
      </c>
      <c r="K55" s="9" t="s">
        <v>26</v>
      </c>
      <c r="L55" s="9" t="s">
        <v>287</v>
      </c>
      <c r="M55" s="9">
        <v>8011</v>
      </c>
      <c r="N55" s="9" t="s">
        <v>28</v>
      </c>
      <c r="O55" s="9" t="s">
        <v>29</v>
      </c>
      <c r="P55" s="9" t="s">
        <v>30</v>
      </c>
      <c r="Q55" s="9" t="s">
        <v>31</v>
      </c>
      <c r="R55" s="7"/>
      <c r="S55" s="76" t="s">
        <v>288</v>
      </c>
      <c r="T55" s="76" t="s">
        <v>289</v>
      </c>
      <c r="U55" s="76" t="s">
        <v>290</v>
      </c>
      <c r="V55" s="76" t="s">
        <v>148</v>
      </c>
      <c r="W55" s="76" t="s">
        <v>291</v>
      </c>
    </row>
    <row r="56" spans="1:23" ht="18" customHeight="1">
      <c r="A56" s="8">
        <v>55</v>
      </c>
      <c r="B56" s="8" t="s">
        <v>18</v>
      </c>
      <c r="C56" s="8" t="s">
        <v>292</v>
      </c>
      <c r="D56" s="8" t="s">
        <v>293</v>
      </c>
      <c r="E56" s="8" t="s">
        <v>21</v>
      </c>
      <c r="F56" s="8" t="s">
        <v>22</v>
      </c>
      <c r="G56" s="8">
        <v>369</v>
      </c>
      <c r="H56" s="8" t="s">
        <v>23</v>
      </c>
      <c r="I56" s="8" t="s">
        <v>138</v>
      </c>
      <c r="J56" s="8" t="s">
        <v>41</v>
      </c>
      <c r="K56" s="8" t="s">
        <v>26</v>
      </c>
      <c r="L56" s="8" t="s">
        <v>139</v>
      </c>
      <c r="M56" s="8">
        <v>5812</v>
      </c>
      <c r="N56" s="8" t="s">
        <v>28</v>
      </c>
      <c r="O56" s="8" t="s">
        <v>29</v>
      </c>
      <c r="P56" s="8" t="s">
        <v>30</v>
      </c>
      <c r="Q56" s="8" t="s">
        <v>31</v>
      </c>
      <c r="R56" s="7"/>
      <c r="S56" s="25" t="s">
        <v>294</v>
      </c>
      <c r="T56" s="62">
        <f>IFERROR(U24/T24,0)</f>
        <v>0.15873015873015872</v>
      </c>
      <c r="U56" s="27" t="s">
        <v>206</v>
      </c>
      <c r="V56" s="38" t="str">
        <f>IF(T56&lt;=0.35,"✅ Meets","⚠️ Exceeds")</f>
        <v>✅ Meets</v>
      </c>
      <c r="W56" s="77" t="s">
        <v>295</v>
      </c>
    </row>
    <row r="57" spans="1:23" ht="18" customHeight="1">
      <c r="A57" s="9">
        <v>56</v>
      </c>
      <c r="B57" s="9" t="s">
        <v>18</v>
      </c>
      <c r="C57" s="9" t="s">
        <v>296</v>
      </c>
      <c r="D57" s="9" t="s">
        <v>297</v>
      </c>
      <c r="E57" s="9" t="s">
        <v>21</v>
      </c>
      <c r="F57" s="9" t="s">
        <v>22</v>
      </c>
      <c r="G57" s="9">
        <v>854</v>
      </c>
      <c r="H57" s="9" t="s">
        <v>23</v>
      </c>
      <c r="I57" s="9" t="s">
        <v>56</v>
      </c>
      <c r="J57" s="9" t="s">
        <v>41</v>
      </c>
      <c r="K57" s="9" t="s">
        <v>26</v>
      </c>
      <c r="L57" s="9" t="s">
        <v>57</v>
      </c>
      <c r="M57" s="9">
        <v>5999</v>
      </c>
      <c r="N57" s="9" t="s">
        <v>28</v>
      </c>
      <c r="O57" s="9" t="s">
        <v>29</v>
      </c>
      <c r="P57" s="9" t="s">
        <v>30</v>
      </c>
      <c r="Q57" s="9" t="s">
        <v>31</v>
      </c>
      <c r="R57" s="7"/>
      <c r="S57" s="12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13" t="s">
        <v>300</v>
      </c>
    </row>
    <row r="58" spans="1:23" ht="18" customHeight="1">
      <c r="A58" s="8">
        <v>57</v>
      </c>
      <c r="B58" s="8" t="s">
        <v>18</v>
      </c>
      <c r="C58" s="8" t="s">
        <v>301</v>
      </c>
      <c r="D58" s="8" t="s">
        <v>302</v>
      </c>
      <c r="E58" s="8" t="s">
        <v>21</v>
      </c>
      <c r="F58" s="8" t="s">
        <v>22</v>
      </c>
      <c r="G58" s="8">
        <v>1353</v>
      </c>
      <c r="H58" s="8" t="s">
        <v>23</v>
      </c>
      <c r="I58" s="8" t="s">
        <v>244</v>
      </c>
      <c r="J58" s="8" t="s">
        <v>41</v>
      </c>
      <c r="K58" s="8" t="s">
        <v>26</v>
      </c>
      <c r="L58" s="8" t="s">
        <v>245</v>
      </c>
      <c r="M58" s="8">
        <v>5411</v>
      </c>
      <c r="N58" s="8" t="s">
        <v>28</v>
      </c>
      <c r="O58" s="8" t="s">
        <v>29</v>
      </c>
      <c r="P58" s="8" t="s">
        <v>30</v>
      </c>
      <c r="Q58" s="8" t="s">
        <v>31</v>
      </c>
      <c r="R58" s="7"/>
      <c r="S58" s="25" t="s">
        <v>303</v>
      </c>
      <c r="T58" s="62">
        <f>T35</f>
        <v>0.4026563006154843</v>
      </c>
      <c r="U58" s="27" t="s">
        <v>304</v>
      </c>
      <c r="V58" s="38" t="str">
        <f>IF(T58&gt;=0.2,"✅ Meets","⚠️ Below")</f>
        <v>✅ Meets</v>
      </c>
      <c r="W58" s="77" t="s">
        <v>305</v>
      </c>
    </row>
    <row r="59" spans="1:23" ht="18" customHeight="1">
      <c r="A59" s="9">
        <v>58</v>
      </c>
      <c r="B59" s="9" t="s">
        <v>18</v>
      </c>
      <c r="C59" s="9" t="s">
        <v>306</v>
      </c>
      <c r="D59" s="9" t="s">
        <v>307</v>
      </c>
      <c r="E59" s="9" t="s">
        <v>21</v>
      </c>
      <c r="F59" s="9" t="s">
        <v>22</v>
      </c>
      <c r="G59" s="9">
        <v>1352</v>
      </c>
      <c r="H59" s="9" t="s">
        <v>23</v>
      </c>
      <c r="I59" s="9" t="s">
        <v>102</v>
      </c>
      <c r="J59" s="9" t="s">
        <v>41</v>
      </c>
      <c r="K59" s="9" t="s">
        <v>26</v>
      </c>
      <c r="L59" s="9" t="s">
        <v>103</v>
      </c>
      <c r="M59" s="9">
        <v>5411</v>
      </c>
      <c r="N59" s="9" t="s">
        <v>28</v>
      </c>
      <c r="O59" s="9" t="s">
        <v>29</v>
      </c>
      <c r="P59" s="9" t="s">
        <v>30</v>
      </c>
      <c r="Q59" s="9" t="s">
        <v>31</v>
      </c>
      <c r="R59" s="7"/>
      <c r="S59" s="30" t="s">
        <v>308</v>
      </c>
      <c r="T59" s="69">
        <f>T36</f>
        <v>8878.5714285714294</v>
      </c>
      <c r="U59" s="32" t="s">
        <v>309</v>
      </c>
      <c r="V59" s="36" t="str">
        <f>IF(T59&gt;0,"✅ Positive","❌ Negative")</f>
        <v>✅ Positive</v>
      </c>
      <c r="W59" s="78" t="s">
        <v>310</v>
      </c>
    </row>
    <row r="60" spans="1:23" ht="18" customHeight="1">
      <c r="A60" s="8">
        <v>59</v>
      </c>
      <c r="B60" s="8" t="s">
        <v>18</v>
      </c>
      <c r="C60" s="8" t="s">
        <v>311</v>
      </c>
      <c r="D60" s="8" t="s">
        <v>312</v>
      </c>
      <c r="E60" s="8" t="s">
        <v>21</v>
      </c>
      <c r="F60" s="8" t="s">
        <v>22</v>
      </c>
      <c r="G60" s="8">
        <v>1732</v>
      </c>
      <c r="H60" s="8" t="s">
        <v>23</v>
      </c>
      <c r="I60" s="8" t="s">
        <v>262</v>
      </c>
      <c r="J60" s="8" t="s">
        <v>25</v>
      </c>
      <c r="K60" s="8" t="s">
        <v>26</v>
      </c>
      <c r="L60" s="8" t="s">
        <v>263</v>
      </c>
      <c r="M60" s="8">
        <v>8299</v>
      </c>
      <c r="N60" s="8" t="s">
        <v>28</v>
      </c>
      <c r="O60" s="8" t="s">
        <v>29</v>
      </c>
      <c r="P60" s="8" t="s">
        <v>30</v>
      </c>
      <c r="Q60" s="8" t="s">
        <v>31</v>
      </c>
      <c r="R60" s="7"/>
      <c r="S60" s="12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13" t="s">
        <v>315</v>
      </c>
    </row>
    <row r="61" spans="1:23" ht="18" customHeight="1">
      <c r="A61" s="9">
        <v>60</v>
      </c>
      <c r="B61" s="9" t="s">
        <v>18</v>
      </c>
      <c r="C61" s="9" t="s">
        <v>316</v>
      </c>
      <c r="D61" s="9" t="s">
        <v>317</v>
      </c>
      <c r="E61" s="9" t="s">
        <v>21</v>
      </c>
      <c r="F61" s="9" t="s">
        <v>22</v>
      </c>
      <c r="G61" s="9">
        <v>1527</v>
      </c>
      <c r="H61" s="9" t="s">
        <v>23</v>
      </c>
      <c r="I61" s="9" t="s">
        <v>318</v>
      </c>
      <c r="J61" s="9" t="s">
        <v>25</v>
      </c>
      <c r="K61" s="9" t="s">
        <v>26</v>
      </c>
      <c r="L61" s="9" t="s">
        <v>319</v>
      </c>
      <c r="M61" s="9">
        <v>5999</v>
      </c>
      <c r="N61" s="9" t="s">
        <v>28</v>
      </c>
      <c r="O61" s="9" t="s">
        <v>29</v>
      </c>
      <c r="P61" s="9" t="s">
        <v>30</v>
      </c>
      <c r="Q61" s="9" t="s">
        <v>31</v>
      </c>
      <c r="R61" s="7"/>
      <c r="S61" s="12" t="s">
        <v>320</v>
      </c>
      <c r="T61" s="71">
        <v>0</v>
      </c>
      <c r="U61" s="65" t="s">
        <v>321</v>
      </c>
      <c r="V61" s="72" t="s">
        <v>155</v>
      </c>
      <c r="W61" s="13" t="s">
        <v>322</v>
      </c>
    </row>
    <row r="62" spans="1:23" ht="18" customHeight="1">
      <c r="A62" s="8">
        <v>61</v>
      </c>
      <c r="B62" s="8" t="s">
        <v>18</v>
      </c>
      <c r="C62" s="8" t="s">
        <v>323</v>
      </c>
      <c r="D62" s="8" t="s">
        <v>324</v>
      </c>
      <c r="E62" s="8" t="s">
        <v>21</v>
      </c>
      <c r="F62" s="8" t="s">
        <v>22</v>
      </c>
      <c r="G62" s="8">
        <v>369</v>
      </c>
      <c r="H62" s="8" t="s">
        <v>23</v>
      </c>
      <c r="I62" s="8" t="s">
        <v>74</v>
      </c>
      <c r="J62" s="8" t="s">
        <v>41</v>
      </c>
      <c r="K62" s="8" t="s">
        <v>26</v>
      </c>
      <c r="L62" s="8" t="s">
        <v>75</v>
      </c>
      <c r="M62" s="8">
        <v>5812</v>
      </c>
      <c r="N62" s="8" t="s">
        <v>28</v>
      </c>
      <c r="O62" s="8" t="s">
        <v>29</v>
      </c>
      <c r="P62" s="8" t="s">
        <v>30</v>
      </c>
      <c r="Q62" s="8" t="s">
        <v>31</v>
      </c>
      <c r="R62" s="7"/>
      <c r="S62" s="12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13" t="s">
        <v>327</v>
      </c>
    </row>
    <row r="63" spans="1:23" ht="18" customHeight="1">
      <c r="A63" s="9">
        <v>62</v>
      </c>
      <c r="B63" s="9" t="s">
        <v>18</v>
      </c>
      <c r="C63" s="9" t="s">
        <v>328</v>
      </c>
      <c r="D63" s="9" t="s">
        <v>329</v>
      </c>
      <c r="E63" s="9" t="s">
        <v>21</v>
      </c>
      <c r="F63" s="9" t="s">
        <v>22</v>
      </c>
      <c r="G63" s="9">
        <v>455</v>
      </c>
      <c r="H63" s="9" t="s">
        <v>23</v>
      </c>
      <c r="I63" s="9" t="s">
        <v>330</v>
      </c>
      <c r="J63" s="9" t="s">
        <v>331</v>
      </c>
      <c r="K63" s="9" t="s">
        <v>26</v>
      </c>
      <c r="L63" s="9" t="s">
        <v>332</v>
      </c>
      <c r="M63" s="9">
        <v>6011</v>
      </c>
      <c r="N63" s="9" t="s">
        <v>28</v>
      </c>
      <c r="O63" s="9" t="s">
        <v>29</v>
      </c>
      <c r="P63" s="9" t="s">
        <v>30</v>
      </c>
      <c r="Q63" s="9" t="s">
        <v>31</v>
      </c>
      <c r="R63" s="7"/>
      <c r="S63" s="30" t="s">
        <v>333</v>
      </c>
      <c r="T63" s="74">
        <f>IFERROR((MIN(1,SUMPRODUCT((LEFT($C$2:$C$246,7)=TEXT(S9,"YYYY-MM"))*($E$2:$E$246="KSAOB.Credit")*($K$2:$K$246="KSAOB.Deposit")))+MIN(1,SUMPRODUCT((LEFT($C$2:$C$246,7)=TEXT(S10,"YYYY-MM"))*($E$2:$E$246="KSAOB.Credit")*($K$2:$K$246="KSAOB.Deposit")))+MIN(1,SUMPRODUCT((LEFT($C$2:$C$246,7)=TEXT(S11,"YYYY-MM"))*($E$2:$E$246="KSAOB.Credit")*($K$2:$K$246="KSAOB.Deposit")))+MIN(1,SUMPRODUCT((LEFT($C$2:$C$246,7)=TEXT(S12,"YYYY-MM"))*($E$2:$E$246="KSAOB.Credit")*($K$2:$K$246="KSAOB.Deposit")))+MIN(1,SUMPRODUCT((LEFT($C$2:$C$246,7)=TEXT(S13,"YYYY-MM"))*($E$2:$E$246="KSAOB.Credit")*($K$2:$K$246="KSAOB.Deposit")))+MIN(1,SUMPRODUCT((LEFT($C$2:$C$246,7)=TEXT(S14,"YYYY-MM"))*($E$2:$E$246="KSAOB.Credit")*($K$2:$K$246="KSAOB.Deposit")))+MIN(1,SUMPRODUCT((LEFT($C$2:$C$246,7)=TEXT(S15,"YYYY-MM"))*($E$2:$E$246="KSAOB.Credit")*($K$2:$K$246="KSAOB.Deposit")))+MIN(1,SUMPRODUCT((LEFT($C$2:$C$246,7)=TEXT(S16,"YYYY-MM"))*($E$2:$E$246="KSAOB.Credit")*($K$2:$K$246="KSAOB.Deposit")))+MIN(1,SUMPRODUCT((LEFT($C$2:$C$246,7)=TEXT(S17,"YYYY-MM"))*($E$2:$E$246="KSAOB.Credit")*($K$2:$K$246="KSAOB.Deposit")))+MIN(1,SUMPRODUCT((LEFT($C$2:$C$246,7)=TEXT(S18,"YYYY-MM"))*($E$2:$E$246="KSAOB.Credit")*($K$2:$K$246="KSAOB.Deposit")))+MIN(1,SUMPRODUCT((LEFT($C$2:$C$246,7)=TEXT(S19,"YYYY-MM"))*($E$2:$E$246="KSAOB.Credit")*($K$2:$K$246="KSAOB.Deposit")))+MIN(1,SUMPRODUCT((LEFT($C$2:$C$246,7)=TEXT(S20,"YYYY-MM"))*($E$2:$E$246="KSAOB.Credit")*($K$2:$K$246="KSAOB.Deposit")))+MIN(1,SUMPRODUCT((LEFT($C$2:$C$246,7)=TEXT(S21,"YYYY-MM"))*($E$2:$E$246="KSAOB.Credit")*($K$2:$K$246="KSAOB.Deposit")))+MIN(1,SUMPRODUCT((LEFT($C$2:$C$246,7)=TEXT(S22,"YYYY-MM"))*($E$2:$E$246="KSAOB.Credit")*($K$2:$K$246="KSAOB.Deposit"))))/14,0)</f>
        <v>1</v>
      </c>
      <c r="U63" s="32" t="s">
        <v>334</v>
      </c>
      <c r="V63" s="36" t="str">
        <f>IF(T63&gt;=0.9,"✅ Meets","⚠️ Below")</f>
        <v>✅ Meets</v>
      </c>
      <c r="W63" s="78" t="s">
        <v>335</v>
      </c>
    </row>
    <row r="64" spans="1:23" ht="15" customHeight="1">
      <c r="A64" s="8">
        <v>63</v>
      </c>
      <c r="B64" s="8" t="s">
        <v>18</v>
      </c>
      <c r="C64" s="8" t="s">
        <v>336</v>
      </c>
      <c r="D64" s="8" t="s">
        <v>337</v>
      </c>
      <c r="E64" s="8" t="s">
        <v>21</v>
      </c>
      <c r="F64" s="8" t="s">
        <v>22</v>
      </c>
      <c r="G64" s="8">
        <v>1252</v>
      </c>
      <c r="H64" s="8" t="s">
        <v>23</v>
      </c>
      <c r="I64" s="8" t="s">
        <v>198</v>
      </c>
      <c r="J64" s="8" t="s">
        <v>36</v>
      </c>
      <c r="K64" s="8" t="s">
        <v>26</v>
      </c>
      <c r="L64" s="8" t="s">
        <v>199</v>
      </c>
      <c r="M64" s="8">
        <v>4900</v>
      </c>
      <c r="N64" s="8" t="s">
        <v>28</v>
      </c>
      <c r="O64" s="8" t="s">
        <v>29</v>
      </c>
      <c r="P64" s="8" t="s">
        <v>30</v>
      </c>
      <c r="Q64" s="8" t="s">
        <v>31</v>
      </c>
      <c r="R64" s="7"/>
    </row>
    <row r="65" spans="1:17" ht="15" customHeight="1">
      <c r="A65" s="9">
        <v>64</v>
      </c>
      <c r="B65" s="9" t="s">
        <v>18</v>
      </c>
      <c r="C65" s="9" t="s">
        <v>338</v>
      </c>
      <c r="D65" s="9" t="s">
        <v>339</v>
      </c>
      <c r="E65" s="9" t="s">
        <v>21</v>
      </c>
      <c r="F65" s="9" t="s">
        <v>22</v>
      </c>
      <c r="G65" s="9">
        <v>369</v>
      </c>
      <c r="H65" s="9" t="s">
        <v>23</v>
      </c>
      <c r="I65" s="9" t="s">
        <v>340</v>
      </c>
      <c r="J65" s="9" t="s">
        <v>41</v>
      </c>
      <c r="K65" s="9" t="s">
        <v>26</v>
      </c>
      <c r="L65" s="9" t="s">
        <v>341</v>
      </c>
      <c r="M65" s="9">
        <v>5812</v>
      </c>
      <c r="N65" s="9" t="s">
        <v>28</v>
      </c>
      <c r="O65" s="9" t="s">
        <v>29</v>
      </c>
      <c r="P65" s="9" t="s">
        <v>30</v>
      </c>
      <c r="Q65" s="9" t="s">
        <v>31</v>
      </c>
    </row>
    <row r="66" spans="1:17" ht="15" customHeight="1">
      <c r="A66" s="8">
        <v>65</v>
      </c>
      <c r="B66" s="8" t="s">
        <v>18</v>
      </c>
      <c r="C66" s="8" t="s">
        <v>342</v>
      </c>
      <c r="D66" s="8" t="s">
        <v>343</v>
      </c>
      <c r="E66" s="8" t="s">
        <v>21</v>
      </c>
      <c r="F66" s="8" t="s">
        <v>22</v>
      </c>
      <c r="G66" s="8">
        <v>1131</v>
      </c>
      <c r="H66" s="8" t="s">
        <v>23</v>
      </c>
      <c r="I66" s="8" t="s">
        <v>111</v>
      </c>
      <c r="J66" s="8" t="s">
        <v>41</v>
      </c>
      <c r="K66" s="8" t="s">
        <v>26</v>
      </c>
      <c r="L66" s="8" t="s">
        <v>112</v>
      </c>
      <c r="M66" s="8">
        <v>5541</v>
      </c>
      <c r="N66" s="8" t="s">
        <v>28</v>
      </c>
      <c r="O66" s="8" t="s">
        <v>29</v>
      </c>
      <c r="P66" s="8" t="s">
        <v>30</v>
      </c>
      <c r="Q66" s="8" t="s">
        <v>31</v>
      </c>
    </row>
    <row r="67" spans="1:17" ht="15" customHeight="1">
      <c r="A67" s="9">
        <v>66</v>
      </c>
      <c r="B67" s="9" t="s">
        <v>18</v>
      </c>
      <c r="C67" s="9" t="s">
        <v>344</v>
      </c>
      <c r="D67" s="9" t="s">
        <v>345</v>
      </c>
      <c r="E67" s="9" t="s">
        <v>21</v>
      </c>
      <c r="F67" s="9" t="s">
        <v>22</v>
      </c>
      <c r="G67" s="9">
        <v>874</v>
      </c>
      <c r="H67" s="9" t="s">
        <v>23</v>
      </c>
      <c r="I67" s="9" t="s">
        <v>78</v>
      </c>
      <c r="J67" s="9" t="s">
        <v>41</v>
      </c>
      <c r="K67" s="9" t="s">
        <v>26</v>
      </c>
      <c r="L67" s="9" t="s">
        <v>79</v>
      </c>
      <c r="M67" s="9">
        <v>7996</v>
      </c>
      <c r="N67" s="9" t="s">
        <v>28</v>
      </c>
      <c r="O67" s="9" t="s">
        <v>29</v>
      </c>
      <c r="P67" s="9" t="s">
        <v>30</v>
      </c>
      <c r="Q67" s="9" t="s">
        <v>31</v>
      </c>
    </row>
    <row r="68" spans="1:17" ht="15" customHeight="1">
      <c r="A68" s="8">
        <v>67</v>
      </c>
      <c r="B68" s="8" t="s">
        <v>18</v>
      </c>
      <c r="C68" s="8" t="s">
        <v>346</v>
      </c>
      <c r="D68" s="8" t="s">
        <v>347</v>
      </c>
      <c r="E68" s="8" t="s">
        <v>94</v>
      </c>
      <c r="F68" s="8" t="s">
        <v>22</v>
      </c>
      <c r="G68" s="8">
        <v>21500</v>
      </c>
      <c r="H68" s="8" t="s">
        <v>23</v>
      </c>
      <c r="I68" s="8" t="s">
        <v>95</v>
      </c>
      <c r="J68" s="8" t="s">
        <v>96</v>
      </c>
      <c r="K68" s="8" t="s">
        <v>97</v>
      </c>
      <c r="L68" s="8" t="s">
        <v>98</v>
      </c>
      <c r="M68" s="8"/>
      <c r="N68" s="8" t="s">
        <v>98</v>
      </c>
      <c r="O68" s="8" t="s">
        <v>348</v>
      </c>
      <c r="P68" s="8" t="s">
        <v>30</v>
      </c>
      <c r="Q68" s="8" t="s">
        <v>31</v>
      </c>
    </row>
    <row r="69" spans="1:17" ht="15" customHeight="1">
      <c r="A69" s="9">
        <v>68</v>
      </c>
      <c r="B69" s="9" t="s">
        <v>18</v>
      </c>
      <c r="C69" s="9" t="s">
        <v>349</v>
      </c>
      <c r="D69" s="9" t="s">
        <v>350</v>
      </c>
      <c r="E69" s="9" t="s">
        <v>21</v>
      </c>
      <c r="F69" s="9" t="s">
        <v>22</v>
      </c>
      <c r="G69" s="9">
        <v>548</v>
      </c>
      <c r="H69" s="9" t="s">
        <v>23</v>
      </c>
      <c r="I69" s="9" t="s">
        <v>351</v>
      </c>
      <c r="J69" s="9" t="s">
        <v>36</v>
      </c>
      <c r="K69" s="9" t="s">
        <v>26</v>
      </c>
      <c r="L69" s="9" t="s">
        <v>352</v>
      </c>
      <c r="M69" s="9">
        <v>4813</v>
      </c>
      <c r="N69" s="9" t="s">
        <v>28</v>
      </c>
      <c r="O69" s="9" t="s">
        <v>29</v>
      </c>
      <c r="P69" s="9" t="s">
        <v>30</v>
      </c>
      <c r="Q69" s="9" t="s">
        <v>31</v>
      </c>
    </row>
    <row r="70" spans="1:17" ht="15" customHeight="1">
      <c r="A70" s="8">
        <v>69</v>
      </c>
      <c r="B70" s="8" t="s">
        <v>18</v>
      </c>
      <c r="C70" s="8" t="s">
        <v>353</v>
      </c>
      <c r="D70" s="8" t="s">
        <v>354</v>
      </c>
      <c r="E70" s="8" t="s">
        <v>21</v>
      </c>
      <c r="F70" s="8" t="s">
        <v>22</v>
      </c>
      <c r="G70" s="8">
        <v>3500</v>
      </c>
      <c r="H70" s="8" t="s">
        <v>23</v>
      </c>
      <c r="I70" s="8" t="s">
        <v>35</v>
      </c>
      <c r="J70" s="8" t="s">
        <v>36</v>
      </c>
      <c r="K70" s="8" t="s">
        <v>26</v>
      </c>
      <c r="L70" s="8" t="s">
        <v>37</v>
      </c>
      <c r="M70" s="8">
        <v>6012</v>
      </c>
      <c r="N70" s="8" t="s">
        <v>28</v>
      </c>
      <c r="O70" s="8" t="s">
        <v>29</v>
      </c>
      <c r="P70" s="8" t="s">
        <v>30</v>
      </c>
      <c r="Q70" s="8" t="s">
        <v>31</v>
      </c>
    </row>
    <row r="71" spans="1:17" ht="15" customHeight="1">
      <c r="A71" s="9">
        <v>70</v>
      </c>
      <c r="B71" s="9" t="s">
        <v>18</v>
      </c>
      <c r="C71" s="9" t="s">
        <v>355</v>
      </c>
      <c r="D71" s="9" t="s">
        <v>356</v>
      </c>
      <c r="E71" s="9" t="s">
        <v>21</v>
      </c>
      <c r="F71" s="9" t="s">
        <v>22</v>
      </c>
      <c r="G71" s="9">
        <v>537</v>
      </c>
      <c r="H71" s="9" t="s">
        <v>23</v>
      </c>
      <c r="I71" s="9" t="s">
        <v>123</v>
      </c>
      <c r="J71" s="9" t="s">
        <v>41</v>
      </c>
      <c r="K71" s="9" t="s">
        <v>26</v>
      </c>
      <c r="L71" s="9" t="s">
        <v>124</v>
      </c>
      <c r="M71" s="9">
        <v>5541</v>
      </c>
      <c r="N71" s="9" t="s">
        <v>28</v>
      </c>
      <c r="O71" s="9" t="s">
        <v>29</v>
      </c>
      <c r="P71" s="9" t="s">
        <v>30</v>
      </c>
      <c r="Q71" s="9" t="s">
        <v>31</v>
      </c>
    </row>
    <row r="72" spans="1:17" ht="15" customHeight="1">
      <c r="A72" s="8">
        <v>71</v>
      </c>
      <c r="B72" s="8" t="s">
        <v>18</v>
      </c>
      <c r="C72" s="8" t="s">
        <v>357</v>
      </c>
      <c r="D72" s="8" t="s">
        <v>358</v>
      </c>
      <c r="E72" s="8" t="s">
        <v>21</v>
      </c>
      <c r="F72" s="8" t="s">
        <v>22</v>
      </c>
      <c r="G72" s="8">
        <v>318</v>
      </c>
      <c r="H72" s="8" t="s">
        <v>23</v>
      </c>
      <c r="I72" s="8" t="s">
        <v>138</v>
      </c>
      <c r="J72" s="8" t="s">
        <v>41</v>
      </c>
      <c r="K72" s="8" t="s">
        <v>26</v>
      </c>
      <c r="L72" s="8" t="s">
        <v>139</v>
      </c>
      <c r="M72" s="8">
        <v>5812</v>
      </c>
      <c r="N72" s="8" t="s">
        <v>28</v>
      </c>
      <c r="O72" s="8" t="s">
        <v>29</v>
      </c>
      <c r="P72" s="8" t="s">
        <v>30</v>
      </c>
      <c r="Q72" s="8" t="s">
        <v>31</v>
      </c>
    </row>
    <row r="73" spans="1:17" ht="15" customHeight="1">
      <c r="A73" s="9">
        <v>72</v>
      </c>
      <c r="B73" s="9" t="s">
        <v>18</v>
      </c>
      <c r="C73" s="9" t="s">
        <v>359</v>
      </c>
      <c r="D73" s="9" t="s">
        <v>360</v>
      </c>
      <c r="E73" s="9" t="s">
        <v>21</v>
      </c>
      <c r="F73" s="9" t="s">
        <v>22</v>
      </c>
      <c r="G73" s="9">
        <v>568</v>
      </c>
      <c r="H73" s="9" t="s">
        <v>23</v>
      </c>
      <c r="I73" s="9" t="s">
        <v>86</v>
      </c>
      <c r="J73" s="9" t="s">
        <v>36</v>
      </c>
      <c r="K73" s="9" t="s">
        <v>26</v>
      </c>
      <c r="L73" s="9" t="s">
        <v>87</v>
      </c>
      <c r="M73" s="9">
        <v>4813</v>
      </c>
      <c r="N73" s="9" t="s">
        <v>28</v>
      </c>
      <c r="O73" s="9" t="s">
        <v>29</v>
      </c>
      <c r="P73" s="9" t="s">
        <v>30</v>
      </c>
      <c r="Q73" s="9" t="s">
        <v>31</v>
      </c>
    </row>
    <row r="74" spans="1:17" ht="15" customHeight="1">
      <c r="A74" s="8">
        <v>73</v>
      </c>
      <c r="B74" s="8" t="s">
        <v>18</v>
      </c>
      <c r="C74" s="8" t="s">
        <v>361</v>
      </c>
      <c r="D74" s="8" t="s">
        <v>362</v>
      </c>
      <c r="E74" s="8" t="s">
        <v>21</v>
      </c>
      <c r="F74" s="8" t="s">
        <v>22</v>
      </c>
      <c r="G74" s="8">
        <v>1350</v>
      </c>
      <c r="H74" s="8" t="s">
        <v>23</v>
      </c>
      <c r="I74" s="8" t="s">
        <v>363</v>
      </c>
      <c r="J74" s="8" t="s">
        <v>41</v>
      </c>
      <c r="K74" s="8" t="s">
        <v>26</v>
      </c>
      <c r="L74" s="8" t="s">
        <v>364</v>
      </c>
      <c r="M74" s="8">
        <v>5999</v>
      </c>
      <c r="N74" s="8" t="s">
        <v>28</v>
      </c>
      <c r="O74" s="8" t="s">
        <v>29</v>
      </c>
      <c r="P74" s="8" t="s">
        <v>30</v>
      </c>
      <c r="Q74" s="8" t="s">
        <v>31</v>
      </c>
    </row>
    <row r="75" spans="1:17" ht="15" customHeight="1">
      <c r="A75" s="9">
        <v>74</v>
      </c>
      <c r="B75" s="9" t="s">
        <v>18</v>
      </c>
      <c r="C75" s="9" t="s">
        <v>365</v>
      </c>
      <c r="D75" s="9" t="s">
        <v>366</v>
      </c>
      <c r="E75" s="9" t="s">
        <v>21</v>
      </c>
      <c r="F75" s="9" t="s">
        <v>22</v>
      </c>
      <c r="G75" s="9">
        <v>538</v>
      </c>
      <c r="H75" s="9" t="s">
        <v>23</v>
      </c>
      <c r="I75" s="9" t="s">
        <v>70</v>
      </c>
      <c r="J75" s="9" t="s">
        <v>41</v>
      </c>
      <c r="K75" s="9" t="s">
        <v>26</v>
      </c>
      <c r="L75" s="9" t="s">
        <v>71</v>
      </c>
      <c r="M75" s="9">
        <v>5541</v>
      </c>
      <c r="N75" s="9" t="s">
        <v>28</v>
      </c>
      <c r="O75" s="9" t="s">
        <v>29</v>
      </c>
      <c r="P75" s="9" t="s">
        <v>30</v>
      </c>
      <c r="Q75" s="9" t="s">
        <v>31</v>
      </c>
    </row>
    <row r="76" spans="1:17" ht="15" customHeight="1">
      <c r="A76" s="8">
        <v>75</v>
      </c>
      <c r="B76" s="8" t="s">
        <v>18</v>
      </c>
      <c r="C76" s="8" t="s">
        <v>367</v>
      </c>
      <c r="D76" s="8" t="s">
        <v>368</v>
      </c>
      <c r="E76" s="8" t="s">
        <v>21</v>
      </c>
      <c r="F76" s="8" t="s">
        <v>22</v>
      </c>
      <c r="G76" s="8">
        <v>696</v>
      </c>
      <c r="H76" s="8" t="s">
        <v>23</v>
      </c>
      <c r="I76" s="8" t="s">
        <v>244</v>
      </c>
      <c r="J76" s="8" t="s">
        <v>41</v>
      </c>
      <c r="K76" s="8" t="s">
        <v>26</v>
      </c>
      <c r="L76" s="8" t="s">
        <v>245</v>
      </c>
      <c r="M76" s="8">
        <v>5411</v>
      </c>
      <c r="N76" s="8" t="s">
        <v>28</v>
      </c>
      <c r="O76" s="8" t="s">
        <v>29</v>
      </c>
      <c r="P76" s="8" t="s">
        <v>30</v>
      </c>
      <c r="Q76" s="8" t="s">
        <v>31</v>
      </c>
    </row>
    <row r="77" spans="1:17" ht="15" customHeight="1">
      <c r="A77" s="9">
        <v>76</v>
      </c>
      <c r="B77" s="9" t="s">
        <v>18</v>
      </c>
      <c r="C77" s="9" t="s">
        <v>369</v>
      </c>
      <c r="D77" s="9" t="s">
        <v>370</v>
      </c>
      <c r="E77" s="9" t="s">
        <v>21</v>
      </c>
      <c r="F77" s="9" t="s">
        <v>22</v>
      </c>
      <c r="G77" s="9">
        <v>319</v>
      </c>
      <c r="H77" s="9" t="s">
        <v>23</v>
      </c>
      <c r="I77" s="9" t="s">
        <v>52</v>
      </c>
      <c r="J77" s="9" t="s">
        <v>41</v>
      </c>
      <c r="K77" s="9" t="s">
        <v>26</v>
      </c>
      <c r="L77" s="9" t="s">
        <v>53</v>
      </c>
      <c r="M77" s="9">
        <v>5812</v>
      </c>
      <c r="N77" s="9" t="s">
        <v>28</v>
      </c>
      <c r="O77" s="9" t="s">
        <v>29</v>
      </c>
      <c r="P77" s="9" t="s">
        <v>30</v>
      </c>
      <c r="Q77" s="9" t="s">
        <v>31</v>
      </c>
    </row>
    <row r="78" spans="1:17" ht="15" customHeight="1">
      <c r="A78" s="8">
        <v>77</v>
      </c>
      <c r="B78" s="8" t="s">
        <v>18</v>
      </c>
      <c r="C78" s="8" t="s">
        <v>371</v>
      </c>
      <c r="D78" s="8" t="s">
        <v>372</v>
      </c>
      <c r="E78" s="8" t="s">
        <v>21</v>
      </c>
      <c r="F78" s="8" t="s">
        <v>22</v>
      </c>
      <c r="G78" s="8">
        <v>318</v>
      </c>
      <c r="H78" s="8" t="s">
        <v>23</v>
      </c>
      <c r="I78" s="8" t="s">
        <v>340</v>
      </c>
      <c r="J78" s="8" t="s">
        <v>41</v>
      </c>
      <c r="K78" s="8" t="s">
        <v>26</v>
      </c>
      <c r="L78" s="8" t="s">
        <v>341</v>
      </c>
      <c r="M78" s="8">
        <v>5812</v>
      </c>
      <c r="N78" s="8" t="s">
        <v>28</v>
      </c>
      <c r="O78" s="8" t="s">
        <v>29</v>
      </c>
      <c r="P78" s="8" t="s">
        <v>30</v>
      </c>
      <c r="Q78" s="8" t="s">
        <v>31</v>
      </c>
    </row>
    <row r="79" spans="1:17" ht="15" customHeight="1">
      <c r="A79" s="9">
        <v>78</v>
      </c>
      <c r="B79" s="9" t="s">
        <v>18</v>
      </c>
      <c r="C79" s="9" t="s">
        <v>373</v>
      </c>
      <c r="D79" s="9" t="s">
        <v>374</v>
      </c>
      <c r="E79" s="9" t="s">
        <v>21</v>
      </c>
      <c r="F79" s="9" t="s">
        <v>22</v>
      </c>
      <c r="G79" s="9">
        <v>1392</v>
      </c>
      <c r="H79" s="9" t="s">
        <v>23</v>
      </c>
      <c r="I79" s="9" t="s">
        <v>24</v>
      </c>
      <c r="J79" s="9" t="s">
        <v>25</v>
      </c>
      <c r="K79" s="9" t="s">
        <v>26</v>
      </c>
      <c r="L79" s="9" t="s">
        <v>27</v>
      </c>
      <c r="M79" s="9">
        <v>8299</v>
      </c>
      <c r="N79" s="9" t="s">
        <v>28</v>
      </c>
      <c r="O79" s="9" t="s">
        <v>29</v>
      </c>
      <c r="P79" s="9" t="s">
        <v>30</v>
      </c>
      <c r="Q79" s="9" t="s">
        <v>31</v>
      </c>
    </row>
    <row r="80" spans="1:17" ht="15" customHeight="1">
      <c r="A80" s="8">
        <v>79</v>
      </c>
      <c r="B80" s="8" t="s">
        <v>18</v>
      </c>
      <c r="C80" s="8" t="s">
        <v>375</v>
      </c>
      <c r="D80" s="8" t="s">
        <v>376</v>
      </c>
      <c r="E80" s="8" t="s">
        <v>21</v>
      </c>
      <c r="F80" s="8" t="s">
        <v>22</v>
      </c>
      <c r="G80" s="8">
        <v>704</v>
      </c>
      <c r="H80" s="8" t="s">
        <v>23</v>
      </c>
      <c r="I80" s="8" t="s">
        <v>46</v>
      </c>
      <c r="J80" s="8" t="s">
        <v>41</v>
      </c>
      <c r="K80" s="8" t="s">
        <v>26</v>
      </c>
      <c r="L80" s="8" t="s">
        <v>47</v>
      </c>
      <c r="M80" s="8">
        <v>8011</v>
      </c>
      <c r="N80" s="8" t="s">
        <v>28</v>
      </c>
      <c r="O80" s="8" t="s">
        <v>29</v>
      </c>
      <c r="P80" s="8" t="s">
        <v>30</v>
      </c>
      <c r="Q80" s="8" t="s">
        <v>31</v>
      </c>
    </row>
    <row r="81" spans="1:17" ht="15" customHeight="1">
      <c r="A81" s="9">
        <v>80</v>
      </c>
      <c r="B81" s="9" t="s">
        <v>18</v>
      </c>
      <c r="C81" s="9" t="s">
        <v>377</v>
      </c>
      <c r="D81" s="9" t="s">
        <v>378</v>
      </c>
      <c r="E81" s="9" t="s">
        <v>21</v>
      </c>
      <c r="F81" s="9" t="s">
        <v>22</v>
      </c>
      <c r="G81" s="9">
        <v>697</v>
      </c>
      <c r="H81" s="9" t="s">
        <v>23</v>
      </c>
      <c r="I81" s="9" t="s">
        <v>379</v>
      </c>
      <c r="J81" s="9" t="s">
        <v>41</v>
      </c>
      <c r="K81" s="9" t="s">
        <v>26</v>
      </c>
      <c r="L81" s="9" t="s">
        <v>380</v>
      </c>
      <c r="M81" s="9">
        <v>5411</v>
      </c>
      <c r="N81" s="9" t="s">
        <v>28</v>
      </c>
      <c r="O81" s="9" t="s">
        <v>29</v>
      </c>
      <c r="P81" s="9" t="s">
        <v>30</v>
      </c>
      <c r="Q81" s="9" t="s">
        <v>31</v>
      </c>
    </row>
    <row r="82" spans="1:17" ht="15" customHeight="1">
      <c r="A82" s="8">
        <v>81</v>
      </c>
      <c r="B82" s="8" t="s">
        <v>18</v>
      </c>
      <c r="C82" s="8" t="s">
        <v>381</v>
      </c>
      <c r="D82" s="8" t="s">
        <v>382</v>
      </c>
      <c r="E82" s="8" t="s">
        <v>21</v>
      </c>
      <c r="F82" s="8" t="s">
        <v>22</v>
      </c>
      <c r="G82" s="8">
        <v>700</v>
      </c>
      <c r="H82" s="8" t="s">
        <v>23</v>
      </c>
      <c r="I82" s="8" t="s">
        <v>318</v>
      </c>
      <c r="J82" s="8" t="s">
        <v>25</v>
      </c>
      <c r="K82" s="8" t="s">
        <v>26</v>
      </c>
      <c r="L82" s="8" t="s">
        <v>319</v>
      </c>
      <c r="M82" s="8">
        <v>5999</v>
      </c>
      <c r="N82" s="8" t="s">
        <v>28</v>
      </c>
      <c r="O82" s="8" t="s">
        <v>29</v>
      </c>
      <c r="P82" s="8" t="s">
        <v>30</v>
      </c>
      <c r="Q82" s="8" t="s">
        <v>31</v>
      </c>
    </row>
    <row r="83" spans="1:17" ht="15" customHeight="1">
      <c r="A83" s="9">
        <v>82</v>
      </c>
      <c r="B83" s="9" t="s">
        <v>18</v>
      </c>
      <c r="C83" s="9" t="s">
        <v>383</v>
      </c>
      <c r="D83" s="9" t="s">
        <v>384</v>
      </c>
      <c r="E83" s="9" t="s">
        <v>21</v>
      </c>
      <c r="F83" s="9" t="s">
        <v>22</v>
      </c>
      <c r="G83" s="9">
        <v>1069</v>
      </c>
      <c r="H83" s="9" t="s">
        <v>23</v>
      </c>
      <c r="I83" s="9" t="s">
        <v>56</v>
      </c>
      <c r="J83" s="9" t="s">
        <v>41</v>
      </c>
      <c r="K83" s="9" t="s">
        <v>26</v>
      </c>
      <c r="L83" s="9" t="s">
        <v>57</v>
      </c>
      <c r="M83" s="9">
        <v>5999</v>
      </c>
      <c r="N83" s="9" t="s">
        <v>28</v>
      </c>
      <c r="O83" s="9" t="s">
        <v>29</v>
      </c>
      <c r="P83" s="9" t="s">
        <v>30</v>
      </c>
      <c r="Q83" s="9" t="s">
        <v>31</v>
      </c>
    </row>
    <row r="84" spans="1:17" ht="15" customHeight="1">
      <c r="A84" s="8">
        <v>83</v>
      </c>
      <c r="B84" s="8" t="s">
        <v>18</v>
      </c>
      <c r="C84" s="8" t="s">
        <v>385</v>
      </c>
      <c r="D84" s="8" t="s">
        <v>386</v>
      </c>
      <c r="E84" s="8" t="s">
        <v>21</v>
      </c>
      <c r="F84" s="8" t="s">
        <v>22</v>
      </c>
      <c r="G84" s="8">
        <v>697</v>
      </c>
      <c r="H84" s="8" t="s">
        <v>23</v>
      </c>
      <c r="I84" s="8" t="s">
        <v>180</v>
      </c>
      <c r="J84" s="8" t="s">
        <v>41</v>
      </c>
      <c r="K84" s="8" t="s">
        <v>26</v>
      </c>
      <c r="L84" s="8" t="s">
        <v>181</v>
      </c>
      <c r="M84" s="8">
        <v>5411</v>
      </c>
      <c r="N84" s="8" t="s">
        <v>28</v>
      </c>
      <c r="O84" s="8" t="s">
        <v>29</v>
      </c>
      <c r="P84" s="8" t="s">
        <v>30</v>
      </c>
      <c r="Q84" s="8" t="s">
        <v>31</v>
      </c>
    </row>
    <row r="85" spans="1:17" ht="15" customHeight="1">
      <c r="A85" s="9">
        <v>84</v>
      </c>
      <c r="B85" s="9" t="s">
        <v>18</v>
      </c>
      <c r="C85" s="9" t="s">
        <v>387</v>
      </c>
      <c r="D85" s="9" t="s">
        <v>388</v>
      </c>
      <c r="E85" s="9" t="s">
        <v>21</v>
      </c>
      <c r="F85" s="9" t="s">
        <v>22</v>
      </c>
      <c r="G85" s="9">
        <v>696</v>
      </c>
      <c r="H85" s="9" t="s">
        <v>23</v>
      </c>
      <c r="I85" s="9" t="s">
        <v>180</v>
      </c>
      <c r="J85" s="9" t="s">
        <v>41</v>
      </c>
      <c r="K85" s="9" t="s">
        <v>26</v>
      </c>
      <c r="L85" s="9" t="s">
        <v>181</v>
      </c>
      <c r="M85" s="9">
        <v>5411</v>
      </c>
      <c r="N85" s="9" t="s">
        <v>28</v>
      </c>
      <c r="O85" s="9" t="s">
        <v>29</v>
      </c>
      <c r="P85" s="9" t="s">
        <v>30</v>
      </c>
      <c r="Q85" s="9" t="s">
        <v>31</v>
      </c>
    </row>
    <row r="86" spans="1:17" ht="15" customHeight="1">
      <c r="A86" s="8">
        <v>85</v>
      </c>
      <c r="B86" s="8" t="s">
        <v>18</v>
      </c>
      <c r="C86" s="8" t="s">
        <v>389</v>
      </c>
      <c r="D86" s="8" t="s">
        <v>390</v>
      </c>
      <c r="E86" s="8" t="s">
        <v>21</v>
      </c>
      <c r="F86" s="8" t="s">
        <v>22</v>
      </c>
      <c r="G86" s="8">
        <v>510</v>
      </c>
      <c r="H86" s="8" t="s">
        <v>23</v>
      </c>
      <c r="I86" s="8" t="s">
        <v>391</v>
      </c>
      <c r="J86" s="8" t="s">
        <v>331</v>
      </c>
      <c r="K86" s="8" t="s">
        <v>26</v>
      </c>
      <c r="L86" s="8" t="s">
        <v>392</v>
      </c>
      <c r="M86" s="8">
        <v>6011</v>
      </c>
      <c r="N86" s="8" t="s">
        <v>28</v>
      </c>
      <c r="O86" s="8" t="s">
        <v>29</v>
      </c>
      <c r="P86" s="8" t="s">
        <v>30</v>
      </c>
      <c r="Q86" s="8" t="s">
        <v>31</v>
      </c>
    </row>
    <row r="87" spans="1:17" ht="15" customHeight="1">
      <c r="A87" s="9">
        <v>86</v>
      </c>
      <c r="B87" s="9" t="s">
        <v>18</v>
      </c>
      <c r="C87" s="9" t="s">
        <v>393</v>
      </c>
      <c r="D87" s="9" t="s">
        <v>394</v>
      </c>
      <c r="E87" s="9" t="s">
        <v>94</v>
      </c>
      <c r="F87" s="9" t="s">
        <v>22</v>
      </c>
      <c r="G87" s="9">
        <v>22300</v>
      </c>
      <c r="H87" s="9" t="s">
        <v>23</v>
      </c>
      <c r="I87" s="9" t="s">
        <v>95</v>
      </c>
      <c r="J87" s="9" t="s">
        <v>96</v>
      </c>
      <c r="K87" s="9" t="s">
        <v>97</v>
      </c>
      <c r="L87" s="9" t="s">
        <v>98</v>
      </c>
      <c r="M87" s="9"/>
      <c r="N87" s="9" t="s">
        <v>98</v>
      </c>
      <c r="O87" s="9" t="s">
        <v>395</v>
      </c>
      <c r="P87" s="9" t="s">
        <v>30</v>
      </c>
      <c r="Q87" s="9" t="s">
        <v>31</v>
      </c>
    </row>
    <row r="88" spans="1:17" ht="15" customHeight="1">
      <c r="A88" s="8">
        <v>87</v>
      </c>
      <c r="B88" s="8" t="s">
        <v>18</v>
      </c>
      <c r="C88" s="8" t="s">
        <v>396</v>
      </c>
      <c r="D88" s="8" t="s">
        <v>397</v>
      </c>
      <c r="E88" s="8" t="s">
        <v>21</v>
      </c>
      <c r="F88" s="8" t="s">
        <v>22</v>
      </c>
      <c r="G88" s="8">
        <v>1073</v>
      </c>
      <c r="H88" s="8" t="s">
        <v>23</v>
      </c>
      <c r="I88" s="8" t="s">
        <v>90</v>
      </c>
      <c r="J88" s="8" t="s">
        <v>36</v>
      </c>
      <c r="K88" s="8" t="s">
        <v>26</v>
      </c>
      <c r="L88" s="8" t="s">
        <v>91</v>
      </c>
      <c r="M88" s="8">
        <v>4900</v>
      </c>
      <c r="N88" s="8" t="s">
        <v>28</v>
      </c>
      <c r="O88" s="8" t="s">
        <v>29</v>
      </c>
      <c r="P88" s="8" t="s">
        <v>30</v>
      </c>
      <c r="Q88" s="8" t="s">
        <v>31</v>
      </c>
    </row>
    <row r="89" spans="1:17" ht="15" customHeight="1">
      <c r="A89" s="9">
        <v>88</v>
      </c>
      <c r="B89" s="9" t="s">
        <v>18</v>
      </c>
      <c r="C89" s="9" t="s">
        <v>398</v>
      </c>
      <c r="D89" s="9" t="s">
        <v>399</v>
      </c>
      <c r="E89" s="9" t="s">
        <v>21</v>
      </c>
      <c r="F89" s="9" t="s">
        <v>22</v>
      </c>
      <c r="G89" s="9">
        <v>700</v>
      </c>
      <c r="H89" s="9" t="s">
        <v>23</v>
      </c>
      <c r="I89" s="9" t="s">
        <v>127</v>
      </c>
      <c r="J89" s="9" t="s">
        <v>25</v>
      </c>
      <c r="K89" s="9" t="s">
        <v>26</v>
      </c>
      <c r="L89" s="9" t="s">
        <v>128</v>
      </c>
      <c r="M89" s="9">
        <v>5999</v>
      </c>
      <c r="N89" s="9" t="s">
        <v>28</v>
      </c>
      <c r="O89" s="9" t="s">
        <v>29</v>
      </c>
      <c r="P89" s="9" t="s">
        <v>30</v>
      </c>
      <c r="Q89" s="9" t="s">
        <v>31</v>
      </c>
    </row>
    <row r="90" spans="1:17" ht="15" customHeight="1">
      <c r="A90" s="8">
        <v>89</v>
      </c>
      <c r="B90" s="8" t="s">
        <v>18</v>
      </c>
      <c r="C90" s="8" t="s">
        <v>400</v>
      </c>
      <c r="D90" s="8" t="s">
        <v>401</v>
      </c>
      <c r="E90" s="8" t="s">
        <v>21</v>
      </c>
      <c r="F90" s="8" t="s">
        <v>22</v>
      </c>
      <c r="G90" s="8">
        <v>318</v>
      </c>
      <c r="H90" s="8" t="s">
        <v>23</v>
      </c>
      <c r="I90" s="8" t="s">
        <v>40</v>
      </c>
      <c r="J90" s="8" t="s">
        <v>41</v>
      </c>
      <c r="K90" s="8" t="s">
        <v>26</v>
      </c>
      <c r="L90" s="8" t="s">
        <v>42</v>
      </c>
      <c r="M90" s="8">
        <v>5812</v>
      </c>
      <c r="N90" s="8" t="s">
        <v>28</v>
      </c>
      <c r="O90" s="8" t="s">
        <v>29</v>
      </c>
      <c r="P90" s="8" t="s">
        <v>30</v>
      </c>
      <c r="Q90" s="8" t="s">
        <v>31</v>
      </c>
    </row>
    <row r="91" spans="1:17" ht="15" customHeight="1">
      <c r="A91" s="9">
        <v>90</v>
      </c>
      <c r="B91" s="9" t="s">
        <v>18</v>
      </c>
      <c r="C91" s="9" t="s">
        <v>402</v>
      </c>
      <c r="D91" s="9" t="s">
        <v>403</v>
      </c>
      <c r="E91" s="9" t="s">
        <v>21</v>
      </c>
      <c r="F91" s="9" t="s">
        <v>22</v>
      </c>
      <c r="G91" s="9">
        <v>990</v>
      </c>
      <c r="H91" s="9" t="s">
        <v>23</v>
      </c>
      <c r="I91" s="9" t="s">
        <v>379</v>
      </c>
      <c r="J91" s="9" t="s">
        <v>41</v>
      </c>
      <c r="K91" s="9" t="s">
        <v>26</v>
      </c>
      <c r="L91" s="9" t="s">
        <v>380</v>
      </c>
      <c r="M91" s="9">
        <v>5411</v>
      </c>
      <c r="N91" s="9" t="s">
        <v>28</v>
      </c>
      <c r="O91" s="9" t="s">
        <v>29</v>
      </c>
      <c r="P91" s="9" t="s">
        <v>30</v>
      </c>
      <c r="Q91" s="9" t="s">
        <v>31</v>
      </c>
    </row>
    <row r="92" spans="1:17" ht="15" customHeight="1">
      <c r="A92" s="8">
        <v>91</v>
      </c>
      <c r="B92" s="8" t="s">
        <v>18</v>
      </c>
      <c r="C92" s="8" t="s">
        <v>404</v>
      </c>
      <c r="D92" s="8" t="s">
        <v>405</v>
      </c>
      <c r="E92" s="8" t="s">
        <v>21</v>
      </c>
      <c r="F92" s="8" t="s">
        <v>22</v>
      </c>
      <c r="G92" s="8">
        <v>3500</v>
      </c>
      <c r="H92" s="8" t="s">
        <v>23</v>
      </c>
      <c r="I92" s="8" t="s">
        <v>35</v>
      </c>
      <c r="J92" s="8" t="s">
        <v>36</v>
      </c>
      <c r="K92" s="8" t="s">
        <v>26</v>
      </c>
      <c r="L92" s="8" t="s">
        <v>37</v>
      </c>
      <c r="M92" s="8">
        <v>6012</v>
      </c>
      <c r="N92" s="8" t="s">
        <v>28</v>
      </c>
      <c r="O92" s="8" t="s">
        <v>29</v>
      </c>
      <c r="P92" s="8" t="s">
        <v>30</v>
      </c>
      <c r="Q92" s="8" t="s">
        <v>31</v>
      </c>
    </row>
    <row r="93" spans="1:17" ht="15" customHeight="1">
      <c r="A93" s="9">
        <v>92</v>
      </c>
      <c r="B93" s="9" t="s">
        <v>18</v>
      </c>
      <c r="C93" s="9" t="s">
        <v>406</v>
      </c>
      <c r="D93" s="9" t="s">
        <v>407</v>
      </c>
      <c r="E93" s="9" t="s">
        <v>21</v>
      </c>
      <c r="F93" s="9" t="s">
        <v>22</v>
      </c>
      <c r="G93" s="9">
        <v>1529</v>
      </c>
      <c r="H93" s="9" t="s">
        <v>23</v>
      </c>
      <c r="I93" s="9" t="s">
        <v>262</v>
      </c>
      <c r="J93" s="9" t="s">
        <v>25</v>
      </c>
      <c r="K93" s="9" t="s">
        <v>26</v>
      </c>
      <c r="L93" s="9" t="s">
        <v>263</v>
      </c>
      <c r="M93" s="9">
        <v>8299</v>
      </c>
      <c r="N93" s="9" t="s">
        <v>28</v>
      </c>
      <c r="O93" s="9" t="s">
        <v>29</v>
      </c>
      <c r="P93" s="9" t="s">
        <v>30</v>
      </c>
      <c r="Q93" s="9" t="s">
        <v>31</v>
      </c>
    </row>
    <row r="94" spans="1:17" ht="15" customHeight="1">
      <c r="A94" s="8">
        <v>93</v>
      </c>
      <c r="B94" s="8" t="s">
        <v>18</v>
      </c>
      <c r="C94" s="8" t="s">
        <v>408</v>
      </c>
      <c r="D94" s="8" t="s">
        <v>409</v>
      </c>
      <c r="E94" s="8" t="s">
        <v>21</v>
      </c>
      <c r="F94" s="8" t="s">
        <v>22</v>
      </c>
      <c r="G94" s="8">
        <v>361</v>
      </c>
      <c r="H94" s="8" t="s">
        <v>23</v>
      </c>
      <c r="I94" s="8" t="s">
        <v>74</v>
      </c>
      <c r="J94" s="8" t="s">
        <v>41</v>
      </c>
      <c r="K94" s="8" t="s">
        <v>26</v>
      </c>
      <c r="L94" s="8" t="s">
        <v>75</v>
      </c>
      <c r="M94" s="8">
        <v>5812</v>
      </c>
      <c r="N94" s="8" t="s">
        <v>28</v>
      </c>
      <c r="O94" s="8" t="s">
        <v>29</v>
      </c>
      <c r="P94" s="8" t="s">
        <v>30</v>
      </c>
      <c r="Q94" s="8" t="s">
        <v>31</v>
      </c>
    </row>
    <row r="95" spans="1:17" ht="15" customHeight="1">
      <c r="A95" s="9">
        <v>94</v>
      </c>
      <c r="B95" s="9" t="s">
        <v>18</v>
      </c>
      <c r="C95" s="9" t="s">
        <v>410</v>
      </c>
      <c r="D95" s="9" t="s">
        <v>411</v>
      </c>
      <c r="E95" s="9" t="s">
        <v>21</v>
      </c>
      <c r="F95" s="9" t="s">
        <v>22</v>
      </c>
      <c r="G95" s="9">
        <v>991</v>
      </c>
      <c r="H95" s="9" t="s">
        <v>23</v>
      </c>
      <c r="I95" s="9" t="s">
        <v>102</v>
      </c>
      <c r="J95" s="9" t="s">
        <v>41</v>
      </c>
      <c r="K95" s="9" t="s">
        <v>26</v>
      </c>
      <c r="L95" s="9" t="s">
        <v>103</v>
      </c>
      <c r="M95" s="9">
        <v>5411</v>
      </c>
      <c r="N95" s="9" t="s">
        <v>28</v>
      </c>
      <c r="O95" s="9" t="s">
        <v>29</v>
      </c>
      <c r="P95" s="9" t="s">
        <v>30</v>
      </c>
      <c r="Q95" s="9" t="s">
        <v>31</v>
      </c>
    </row>
    <row r="96" spans="1:17" ht="15" customHeight="1">
      <c r="A96" s="8">
        <v>95</v>
      </c>
      <c r="B96" s="8" t="s">
        <v>18</v>
      </c>
      <c r="C96" s="8" t="s">
        <v>412</v>
      </c>
      <c r="D96" s="8" t="s">
        <v>413</v>
      </c>
      <c r="E96" s="8" t="s">
        <v>21</v>
      </c>
      <c r="F96" s="8" t="s">
        <v>22</v>
      </c>
      <c r="G96" s="8">
        <v>1141</v>
      </c>
      <c r="H96" s="8" t="s">
        <v>23</v>
      </c>
      <c r="I96" s="8" t="s">
        <v>111</v>
      </c>
      <c r="J96" s="8" t="s">
        <v>41</v>
      </c>
      <c r="K96" s="8" t="s">
        <v>26</v>
      </c>
      <c r="L96" s="8" t="s">
        <v>112</v>
      </c>
      <c r="M96" s="8">
        <v>5541</v>
      </c>
      <c r="N96" s="8" t="s">
        <v>28</v>
      </c>
      <c r="O96" s="8" t="s">
        <v>29</v>
      </c>
      <c r="P96" s="8" t="s">
        <v>30</v>
      </c>
      <c r="Q96" s="8" t="s">
        <v>31</v>
      </c>
    </row>
    <row r="97" spans="1:17" ht="15" customHeight="1">
      <c r="A97" s="9">
        <v>96</v>
      </c>
      <c r="B97" s="9" t="s">
        <v>18</v>
      </c>
      <c r="C97" s="9" t="s">
        <v>414</v>
      </c>
      <c r="D97" s="9" t="s">
        <v>415</v>
      </c>
      <c r="E97" s="9" t="s">
        <v>21</v>
      </c>
      <c r="F97" s="9" t="s">
        <v>22</v>
      </c>
      <c r="G97" s="9">
        <v>599</v>
      </c>
      <c r="H97" s="9" t="s">
        <v>23</v>
      </c>
      <c r="I97" s="9" t="s">
        <v>363</v>
      </c>
      <c r="J97" s="9" t="s">
        <v>41</v>
      </c>
      <c r="K97" s="9" t="s">
        <v>26</v>
      </c>
      <c r="L97" s="9" t="s">
        <v>364</v>
      </c>
      <c r="M97" s="9">
        <v>5999</v>
      </c>
      <c r="N97" s="9" t="s">
        <v>28</v>
      </c>
      <c r="O97" s="9" t="s">
        <v>29</v>
      </c>
      <c r="P97" s="9" t="s">
        <v>30</v>
      </c>
      <c r="Q97" s="9" t="s">
        <v>31</v>
      </c>
    </row>
    <row r="98" spans="1:17" ht="15" customHeight="1">
      <c r="A98" s="8">
        <v>97</v>
      </c>
      <c r="B98" s="8" t="s">
        <v>18</v>
      </c>
      <c r="C98" s="8" t="s">
        <v>416</v>
      </c>
      <c r="D98" s="8" t="s">
        <v>417</v>
      </c>
      <c r="E98" s="8" t="s">
        <v>21</v>
      </c>
      <c r="F98" s="8" t="s">
        <v>22</v>
      </c>
      <c r="G98" s="8">
        <v>360</v>
      </c>
      <c r="H98" s="8" t="s">
        <v>23</v>
      </c>
      <c r="I98" s="8" t="s">
        <v>340</v>
      </c>
      <c r="J98" s="8" t="s">
        <v>41</v>
      </c>
      <c r="K98" s="8" t="s">
        <v>26</v>
      </c>
      <c r="L98" s="8" t="s">
        <v>341</v>
      </c>
      <c r="M98" s="8">
        <v>5812</v>
      </c>
      <c r="N98" s="8" t="s">
        <v>28</v>
      </c>
      <c r="O98" s="8" t="s">
        <v>29</v>
      </c>
      <c r="P98" s="8" t="s">
        <v>30</v>
      </c>
      <c r="Q98" s="8" t="s">
        <v>31</v>
      </c>
    </row>
    <row r="99" spans="1:17" ht="15" customHeight="1">
      <c r="A99" s="9">
        <v>98</v>
      </c>
      <c r="B99" s="9" t="s">
        <v>18</v>
      </c>
      <c r="C99" s="9" t="s">
        <v>418</v>
      </c>
      <c r="D99" s="9" t="s">
        <v>419</v>
      </c>
      <c r="E99" s="9" t="s">
        <v>21</v>
      </c>
      <c r="F99" s="9" t="s">
        <v>22</v>
      </c>
      <c r="G99" s="9">
        <v>1788</v>
      </c>
      <c r="H99" s="9" t="s">
        <v>23</v>
      </c>
      <c r="I99" s="9" t="s">
        <v>212</v>
      </c>
      <c r="J99" s="9" t="s">
        <v>25</v>
      </c>
      <c r="K99" s="9" t="s">
        <v>26</v>
      </c>
      <c r="L99" s="9" t="s">
        <v>213</v>
      </c>
      <c r="M99" s="9">
        <v>5999</v>
      </c>
      <c r="N99" s="9" t="s">
        <v>28</v>
      </c>
      <c r="O99" s="9" t="s">
        <v>29</v>
      </c>
      <c r="P99" s="9" t="s">
        <v>30</v>
      </c>
      <c r="Q99" s="9" t="s">
        <v>31</v>
      </c>
    </row>
    <row r="100" spans="1:17" ht="15" customHeight="1">
      <c r="A100" s="8">
        <v>99</v>
      </c>
      <c r="B100" s="8" t="s">
        <v>18</v>
      </c>
      <c r="C100" s="8" t="s">
        <v>420</v>
      </c>
      <c r="D100" s="8" t="s">
        <v>421</v>
      </c>
      <c r="E100" s="8" t="s">
        <v>21</v>
      </c>
      <c r="F100" s="8" t="s">
        <v>22</v>
      </c>
      <c r="G100" s="8">
        <v>651</v>
      </c>
      <c r="H100" s="8" t="s">
        <v>23</v>
      </c>
      <c r="I100" s="8" t="s">
        <v>351</v>
      </c>
      <c r="J100" s="8" t="s">
        <v>36</v>
      </c>
      <c r="K100" s="8" t="s">
        <v>26</v>
      </c>
      <c r="L100" s="8" t="s">
        <v>352</v>
      </c>
      <c r="M100" s="8">
        <v>4813</v>
      </c>
      <c r="N100" s="8" t="s">
        <v>28</v>
      </c>
      <c r="O100" s="8" t="s">
        <v>29</v>
      </c>
      <c r="P100" s="8" t="s">
        <v>30</v>
      </c>
      <c r="Q100" s="8" t="s">
        <v>31</v>
      </c>
    </row>
    <row r="101" spans="1:17" ht="15" customHeight="1">
      <c r="A101" s="9">
        <v>100</v>
      </c>
      <c r="B101" s="9" t="s">
        <v>18</v>
      </c>
      <c r="C101" s="9" t="s">
        <v>422</v>
      </c>
      <c r="D101" s="9" t="s">
        <v>423</v>
      </c>
      <c r="E101" s="9" t="s">
        <v>21</v>
      </c>
      <c r="F101" s="9" t="s">
        <v>22</v>
      </c>
      <c r="G101" s="9">
        <v>712</v>
      </c>
      <c r="H101" s="9" t="s">
        <v>23</v>
      </c>
      <c r="I101" s="9" t="s">
        <v>152</v>
      </c>
      <c r="J101" s="9" t="s">
        <v>41</v>
      </c>
      <c r="K101" s="9" t="s">
        <v>26</v>
      </c>
      <c r="L101" s="9" t="s">
        <v>153</v>
      </c>
      <c r="M101" s="9">
        <v>8011</v>
      </c>
      <c r="N101" s="9" t="s">
        <v>28</v>
      </c>
      <c r="O101" s="9" t="s">
        <v>29</v>
      </c>
      <c r="P101" s="9" t="s">
        <v>30</v>
      </c>
      <c r="Q101" s="9" t="s">
        <v>31</v>
      </c>
    </row>
    <row r="102" spans="1:17" ht="15" customHeight="1">
      <c r="A102" s="8">
        <v>101</v>
      </c>
      <c r="B102" s="8" t="s">
        <v>18</v>
      </c>
      <c r="C102" s="8" t="s">
        <v>424</v>
      </c>
      <c r="D102" s="8" t="s">
        <v>425</v>
      </c>
      <c r="E102" s="8" t="s">
        <v>21</v>
      </c>
      <c r="F102" s="8" t="s">
        <v>22</v>
      </c>
      <c r="G102" s="8">
        <v>361</v>
      </c>
      <c r="H102" s="8" t="s">
        <v>23</v>
      </c>
      <c r="I102" s="8" t="s">
        <v>74</v>
      </c>
      <c r="J102" s="8" t="s">
        <v>41</v>
      </c>
      <c r="K102" s="8" t="s">
        <v>26</v>
      </c>
      <c r="L102" s="8" t="s">
        <v>75</v>
      </c>
      <c r="M102" s="8">
        <v>5812</v>
      </c>
      <c r="N102" s="8" t="s">
        <v>28</v>
      </c>
      <c r="O102" s="8" t="s">
        <v>29</v>
      </c>
      <c r="P102" s="8" t="s">
        <v>30</v>
      </c>
      <c r="Q102" s="8" t="s">
        <v>31</v>
      </c>
    </row>
    <row r="103" spans="1:17" ht="15" customHeight="1">
      <c r="A103" s="9">
        <v>102</v>
      </c>
      <c r="B103" s="9" t="s">
        <v>18</v>
      </c>
      <c r="C103" s="9" t="s">
        <v>426</v>
      </c>
      <c r="D103" s="9" t="s">
        <v>427</v>
      </c>
      <c r="E103" s="9" t="s">
        <v>21</v>
      </c>
      <c r="F103" s="9" t="s">
        <v>22</v>
      </c>
      <c r="G103" s="9">
        <v>1277</v>
      </c>
      <c r="H103" s="9" t="s">
        <v>23</v>
      </c>
      <c r="I103" s="9" t="s">
        <v>198</v>
      </c>
      <c r="J103" s="9" t="s">
        <v>36</v>
      </c>
      <c r="K103" s="9" t="s">
        <v>26</v>
      </c>
      <c r="L103" s="9" t="s">
        <v>199</v>
      </c>
      <c r="M103" s="9">
        <v>4900</v>
      </c>
      <c r="N103" s="9" t="s">
        <v>28</v>
      </c>
      <c r="O103" s="9" t="s">
        <v>29</v>
      </c>
      <c r="P103" s="9" t="s">
        <v>30</v>
      </c>
      <c r="Q103" s="9" t="s">
        <v>31</v>
      </c>
    </row>
    <row r="104" spans="1:17" ht="15" customHeight="1">
      <c r="A104" s="8">
        <v>103</v>
      </c>
      <c r="B104" s="8" t="s">
        <v>18</v>
      </c>
      <c r="C104" s="8" t="s">
        <v>428</v>
      </c>
      <c r="D104" s="8" t="s">
        <v>429</v>
      </c>
      <c r="E104" s="8" t="s">
        <v>21</v>
      </c>
      <c r="F104" s="8" t="s">
        <v>22</v>
      </c>
      <c r="G104" s="8">
        <v>598</v>
      </c>
      <c r="H104" s="8" t="s">
        <v>23</v>
      </c>
      <c r="I104" s="8" t="s">
        <v>363</v>
      </c>
      <c r="J104" s="8" t="s">
        <v>41</v>
      </c>
      <c r="K104" s="8" t="s">
        <v>26</v>
      </c>
      <c r="L104" s="8" t="s">
        <v>364</v>
      </c>
      <c r="M104" s="8">
        <v>5999</v>
      </c>
      <c r="N104" s="8" t="s">
        <v>28</v>
      </c>
      <c r="O104" s="8" t="s">
        <v>29</v>
      </c>
      <c r="P104" s="8" t="s">
        <v>30</v>
      </c>
      <c r="Q104" s="8" t="s">
        <v>31</v>
      </c>
    </row>
    <row r="105" spans="1:17" ht="15" customHeight="1">
      <c r="A105" s="9">
        <v>104</v>
      </c>
      <c r="B105" s="9" t="s">
        <v>18</v>
      </c>
      <c r="C105" s="9" t="s">
        <v>430</v>
      </c>
      <c r="D105" s="9" t="s">
        <v>431</v>
      </c>
      <c r="E105" s="9" t="s">
        <v>21</v>
      </c>
      <c r="F105" s="9" t="s">
        <v>22</v>
      </c>
      <c r="G105" s="9">
        <v>791</v>
      </c>
      <c r="H105" s="9" t="s">
        <v>23</v>
      </c>
      <c r="I105" s="9" t="s">
        <v>56</v>
      </c>
      <c r="J105" s="9" t="s">
        <v>41</v>
      </c>
      <c r="K105" s="9" t="s">
        <v>26</v>
      </c>
      <c r="L105" s="9" t="s">
        <v>57</v>
      </c>
      <c r="M105" s="9">
        <v>5999</v>
      </c>
      <c r="N105" s="9" t="s">
        <v>28</v>
      </c>
      <c r="O105" s="9" t="s">
        <v>29</v>
      </c>
      <c r="P105" s="9" t="s">
        <v>30</v>
      </c>
      <c r="Q105" s="9" t="s">
        <v>31</v>
      </c>
    </row>
    <row r="106" spans="1:17" ht="15" customHeight="1">
      <c r="A106" s="8">
        <v>105</v>
      </c>
      <c r="B106" s="8" t="s">
        <v>18</v>
      </c>
      <c r="C106" s="8" t="s">
        <v>432</v>
      </c>
      <c r="D106" s="8" t="s">
        <v>433</v>
      </c>
      <c r="E106" s="8" t="s">
        <v>21</v>
      </c>
      <c r="F106" s="8" t="s">
        <v>22</v>
      </c>
      <c r="G106" s="8">
        <v>991</v>
      </c>
      <c r="H106" s="8" t="s">
        <v>23</v>
      </c>
      <c r="I106" s="8" t="s">
        <v>82</v>
      </c>
      <c r="J106" s="8" t="s">
        <v>41</v>
      </c>
      <c r="K106" s="8" t="s">
        <v>26</v>
      </c>
      <c r="L106" s="8" t="s">
        <v>83</v>
      </c>
      <c r="M106" s="8">
        <v>5411</v>
      </c>
      <c r="N106" s="8" t="s">
        <v>28</v>
      </c>
      <c r="O106" s="8" t="s">
        <v>29</v>
      </c>
      <c r="P106" s="8" t="s">
        <v>30</v>
      </c>
      <c r="Q106" s="8" t="s">
        <v>31</v>
      </c>
    </row>
    <row r="107" spans="1:17" ht="15" customHeight="1">
      <c r="A107" s="9">
        <v>106</v>
      </c>
      <c r="B107" s="9" t="s">
        <v>18</v>
      </c>
      <c r="C107" s="9" t="s">
        <v>434</v>
      </c>
      <c r="D107" s="9" t="s">
        <v>435</v>
      </c>
      <c r="E107" s="9" t="s">
        <v>94</v>
      </c>
      <c r="F107" s="9" t="s">
        <v>22</v>
      </c>
      <c r="G107" s="9">
        <v>22100</v>
      </c>
      <c r="H107" s="9" t="s">
        <v>23</v>
      </c>
      <c r="I107" s="9" t="s">
        <v>95</v>
      </c>
      <c r="J107" s="9" t="s">
        <v>96</v>
      </c>
      <c r="K107" s="9" t="s">
        <v>97</v>
      </c>
      <c r="L107" s="9" t="s">
        <v>98</v>
      </c>
      <c r="M107" s="9"/>
      <c r="N107" s="9" t="s">
        <v>98</v>
      </c>
      <c r="O107" s="9" t="s">
        <v>436</v>
      </c>
      <c r="P107" s="9" t="s">
        <v>30</v>
      </c>
      <c r="Q107" s="9" t="s">
        <v>31</v>
      </c>
    </row>
    <row r="108" spans="1:17" ht="15" customHeight="1">
      <c r="A108" s="8">
        <v>107</v>
      </c>
      <c r="B108" s="8" t="s">
        <v>18</v>
      </c>
      <c r="C108" s="8" t="s">
        <v>437</v>
      </c>
      <c r="D108" s="8" t="s">
        <v>438</v>
      </c>
      <c r="E108" s="8" t="s">
        <v>21</v>
      </c>
      <c r="F108" s="8" t="s">
        <v>22</v>
      </c>
      <c r="G108" s="8">
        <v>360</v>
      </c>
      <c r="H108" s="8" t="s">
        <v>23</v>
      </c>
      <c r="I108" s="8" t="s">
        <v>138</v>
      </c>
      <c r="J108" s="8" t="s">
        <v>41</v>
      </c>
      <c r="K108" s="8" t="s">
        <v>26</v>
      </c>
      <c r="L108" s="8" t="s">
        <v>139</v>
      </c>
      <c r="M108" s="8">
        <v>5812</v>
      </c>
      <c r="N108" s="8" t="s">
        <v>28</v>
      </c>
      <c r="O108" s="8" t="s">
        <v>29</v>
      </c>
      <c r="P108" s="8" t="s">
        <v>30</v>
      </c>
      <c r="Q108" s="8" t="s">
        <v>31</v>
      </c>
    </row>
    <row r="109" spans="1:17" ht="15" customHeight="1">
      <c r="A109" s="9">
        <v>108</v>
      </c>
      <c r="B109" s="9" t="s">
        <v>18</v>
      </c>
      <c r="C109" s="9" t="s">
        <v>439</v>
      </c>
      <c r="D109" s="9" t="s">
        <v>440</v>
      </c>
      <c r="E109" s="9" t="s">
        <v>21</v>
      </c>
      <c r="F109" s="9" t="s">
        <v>22</v>
      </c>
      <c r="G109" s="9">
        <v>3500</v>
      </c>
      <c r="H109" s="9" t="s">
        <v>23</v>
      </c>
      <c r="I109" s="9" t="s">
        <v>35</v>
      </c>
      <c r="J109" s="9" t="s">
        <v>36</v>
      </c>
      <c r="K109" s="9" t="s">
        <v>26</v>
      </c>
      <c r="L109" s="9" t="s">
        <v>37</v>
      </c>
      <c r="M109" s="9">
        <v>6012</v>
      </c>
      <c r="N109" s="9" t="s">
        <v>28</v>
      </c>
      <c r="O109" s="9" t="s">
        <v>29</v>
      </c>
      <c r="P109" s="9" t="s">
        <v>30</v>
      </c>
      <c r="Q109" s="9" t="s">
        <v>31</v>
      </c>
    </row>
    <row r="110" spans="1:17" ht="15" customHeight="1">
      <c r="A110" s="8">
        <v>109</v>
      </c>
      <c r="B110" s="8" t="s">
        <v>18</v>
      </c>
      <c r="C110" s="8" t="s">
        <v>441</v>
      </c>
      <c r="D110" s="8" t="s">
        <v>442</v>
      </c>
      <c r="E110" s="8" t="s">
        <v>21</v>
      </c>
      <c r="F110" s="8" t="s">
        <v>22</v>
      </c>
      <c r="G110" s="8">
        <v>1782</v>
      </c>
      <c r="H110" s="8" t="s">
        <v>23</v>
      </c>
      <c r="I110" s="8" t="s">
        <v>318</v>
      </c>
      <c r="J110" s="8" t="s">
        <v>25</v>
      </c>
      <c r="K110" s="8" t="s">
        <v>26</v>
      </c>
      <c r="L110" s="8" t="s">
        <v>319</v>
      </c>
      <c r="M110" s="8">
        <v>5999</v>
      </c>
      <c r="N110" s="8" t="s">
        <v>28</v>
      </c>
      <c r="O110" s="8" t="s">
        <v>29</v>
      </c>
      <c r="P110" s="8" t="s">
        <v>30</v>
      </c>
      <c r="Q110" s="8" t="s">
        <v>31</v>
      </c>
    </row>
    <row r="111" spans="1:17" ht="15" customHeight="1">
      <c r="A111" s="9">
        <v>110</v>
      </c>
      <c r="B111" s="9" t="s">
        <v>18</v>
      </c>
      <c r="C111" s="9" t="s">
        <v>443</v>
      </c>
      <c r="D111" s="9" t="s">
        <v>444</v>
      </c>
      <c r="E111" s="9" t="s">
        <v>21</v>
      </c>
      <c r="F111" s="9" t="s">
        <v>22</v>
      </c>
      <c r="G111" s="9">
        <v>434</v>
      </c>
      <c r="H111" s="9" t="s">
        <v>23</v>
      </c>
      <c r="I111" s="9" t="s">
        <v>143</v>
      </c>
      <c r="J111" s="9" t="s">
        <v>41</v>
      </c>
      <c r="K111" s="9" t="s">
        <v>26</v>
      </c>
      <c r="L111" s="9" t="s">
        <v>144</v>
      </c>
      <c r="M111" s="9">
        <v>7996</v>
      </c>
      <c r="N111" s="9" t="s">
        <v>28</v>
      </c>
      <c r="O111" s="9" t="s">
        <v>29</v>
      </c>
      <c r="P111" s="9" t="s">
        <v>30</v>
      </c>
      <c r="Q111" s="9" t="s">
        <v>31</v>
      </c>
    </row>
    <row r="112" spans="1:17" ht="15" customHeight="1">
      <c r="A112" s="8">
        <v>111</v>
      </c>
      <c r="B112" s="8" t="s">
        <v>18</v>
      </c>
      <c r="C112" s="8" t="s">
        <v>445</v>
      </c>
      <c r="D112" s="8" t="s">
        <v>446</v>
      </c>
      <c r="E112" s="8" t="s">
        <v>21</v>
      </c>
      <c r="F112" s="8" t="s">
        <v>22</v>
      </c>
      <c r="G112" s="8">
        <v>435</v>
      </c>
      <c r="H112" s="8" t="s">
        <v>23</v>
      </c>
      <c r="I112" s="8" t="s">
        <v>78</v>
      </c>
      <c r="J112" s="8" t="s">
        <v>41</v>
      </c>
      <c r="K112" s="8" t="s">
        <v>26</v>
      </c>
      <c r="L112" s="8" t="s">
        <v>79</v>
      </c>
      <c r="M112" s="8">
        <v>7996</v>
      </c>
      <c r="N112" s="8" t="s">
        <v>28</v>
      </c>
      <c r="O112" s="8" t="s">
        <v>29</v>
      </c>
      <c r="P112" s="8" t="s">
        <v>30</v>
      </c>
      <c r="Q112" s="8" t="s">
        <v>31</v>
      </c>
    </row>
    <row r="113" spans="1:17" ht="15" customHeight="1">
      <c r="A113" s="9">
        <v>112</v>
      </c>
      <c r="B113" s="9" t="s">
        <v>18</v>
      </c>
      <c r="C113" s="9" t="s">
        <v>447</v>
      </c>
      <c r="D113" s="9" t="s">
        <v>448</v>
      </c>
      <c r="E113" s="9" t="s">
        <v>21</v>
      </c>
      <c r="F113" s="9" t="s">
        <v>22</v>
      </c>
      <c r="G113" s="9">
        <v>1221</v>
      </c>
      <c r="H113" s="9" t="s">
        <v>23</v>
      </c>
      <c r="I113" s="9" t="s">
        <v>90</v>
      </c>
      <c r="J113" s="9" t="s">
        <v>36</v>
      </c>
      <c r="K113" s="9" t="s">
        <v>26</v>
      </c>
      <c r="L113" s="9" t="s">
        <v>91</v>
      </c>
      <c r="M113" s="9">
        <v>4900</v>
      </c>
      <c r="N113" s="9" t="s">
        <v>28</v>
      </c>
      <c r="O113" s="9" t="s">
        <v>29</v>
      </c>
      <c r="P113" s="9" t="s">
        <v>30</v>
      </c>
      <c r="Q113" s="9" t="s">
        <v>31</v>
      </c>
    </row>
    <row r="114" spans="1:17" ht="15" customHeight="1">
      <c r="A114" s="8">
        <v>113</v>
      </c>
      <c r="B114" s="8" t="s">
        <v>18</v>
      </c>
      <c r="C114" s="8" t="s">
        <v>449</v>
      </c>
      <c r="D114" s="8" t="s">
        <v>450</v>
      </c>
      <c r="E114" s="8" t="s">
        <v>21</v>
      </c>
      <c r="F114" s="8" t="s">
        <v>22</v>
      </c>
      <c r="G114" s="8">
        <v>1486</v>
      </c>
      <c r="H114" s="8" t="s">
        <v>23</v>
      </c>
      <c r="I114" s="8" t="s">
        <v>24</v>
      </c>
      <c r="J114" s="8" t="s">
        <v>25</v>
      </c>
      <c r="K114" s="8" t="s">
        <v>26</v>
      </c>
      <c r="L114" s="8" t="s">
        <v>27</v>
      </c>
      <c r="M114" s="8">
        <v>8299</v>
      </c>
      <c r="N114" s="8" t="s">
        <v>28</v>
      </c>
      <c r="O114" s="8" t="s">
        <v>29</v>
      </c>
      <c r="P114" s="8" t="s">
        <v>30</v>
      </c>
      <c r="Q114" s="8" t="s">
        <v>31</v>
      </c>
    </row>
    <row r="115" spans="1:17" ht="15" customHeight="1">
      <c r="A115" s="9">
        <v>114</v>
      </c>
      <c r="B115" s="9" t="s">
        <v>18</v>
      </c>
      <c r="C115" s="9" t="s">
        <v>451</v>
      </c>
      <c r="D115" s="9" t="s">
        <v>452</v>
      </c>
      <c r="E115" s="9" t="s">
        <v>21</v>
      </c>
      <c r="F115" s="9" t="s">
        <v>22</v>
      </c>
      <c r="G115" s="9">
        <v>1347</v>
      </c>
      <c r="H115" s="9" t="s">
        <v>23</v>
      </c>
      <c r="I115" s="9" t="s">
        <v>180</v>
      </c>
      <c r="J115" s="9" t="s">
        <v>41</v>
      </c>
      <c r="K115" s="9" t="s">
        <v>26</v>
      </c>
      <c r="L115" s="9" t="s">
        <v>181</v>
      </c>
      <c r="M115" s="9">
        <v>5411</v>
      </c>
      <c r="N115" s="9" t="s">
        <v>28</v>
      </c>
      <c r="O115" s="9" t="s">
        <v>29</v>
      </c>
      <c r="P115" s="9" t="s">
        <v>30</v>
      </c>
      <c r="Q115" s="9" t="s">
        <v>31</v>
      </c>
    </row>
    <row r="116" spans="1:17" ht="15" customHeight="1">
      <c r="A116" s="8">
        <v>115</v>
      </c>
      <c r="B116" s="8" t="s">
        <v>18</v>
      </c>
      <c r="C116" s="8" t="s">
        <v>453</v>
      </c>
      <c r="D116" s="8" t="s">
        <v>454</v>
      </c>
      <c r="E116" s="8" t="s">
        <v>21</v>
      </c>
      <c r="F116" s="8" t="s">
        <v>22</v>
      </c>
      <c r="G116" s="8">
        <v>653</v>
      </c>
      <c r="H116" s="8" t="s">
        <v>23</v>
      </c>
      <c r="I116" s="8" t="s">
        <v>217</v>
      </c>
      <c r="J116" s="8" t="s">
        <v>41</v>
      </c>
      <c r="K116" s="8" t="s">
        <v>26</v>
      </c>
      <c r="L116" s="8" t="s">
        <v>218</v>
      </c>
      <c r="M116" s="8">
        <v>5812</v>
      </c>
      <c r="N116" s="8" t="s">
        <v>28</v>
      </c>
      <c r="O116" s="8" t="s">
        <v>29</v>
      </c>
      <c r="P116" s="8" t="s">
        <v>30</v>
      </c>
      <c r="Q116" s="8" t="s">
        <v>31</v>
      </c>
    </row>
    <row r="117" spans="1:17" ht="15" customHeight="1">
      <c r="A117" s="9">
        <v>116</v>
      </c>
      <c r="B117" s="9" t="s">
        <v>18</v>
      </c>
      <c r="C117" s="9" t="s">
        <v>455</v>
      </c>
      <c r="D117" s="9" t="s">
        <v>456</v>
      </c>
      <c r="E117" s="9" t="s">
        <v>21</v>
      </c>
      <c r="F117" s="9" t="s">
        <v>22</v>
      </c>
      <c r="G117" s="9">
        <v>737</v>
      </c>
      <c r="H117" s="9" t="s">
        <v>23</v>
      </c>
      <c r="I117" s="9" t="s">
        <v>174</v>
      </c>
      <c r="J117" s="9" t="s">
        <v>36</v>
      </c>
      <c r="K117" s="9" t="s">
        <v>26</v>
      </c>
      <c r="L117" s="9" t="s">
        <v>175</v>
      </c>
      <c r="M117" s="9">
        <v>4813</v>
      </c>
      <c r="N117" s="9" t="s">
        <v>28</v>
      </c>
      <c r="O117" s="9" t="s">
        <v>29</v>
      </c>
      <c r="P117" s="9" t="s">
        <v>30</v>
      </c>
      <c r="Q117" s="9" t="s">
        <v>31</v>
      </c>
    </row>
    <row r="118" spans="1:17" ht="15" customHeight="1">
      <c r="A118" s="8">
        <v>117</v>
      </c>
      <c r="B118" s="8" t="s">
        <v>18</v>
      </c>
      <c r="C118" s="8" t="s">
        <v>457</v>
      </c>
      <c r="D118" s="8" t="s">
        <v>458</v>
      </c>
      <c r="E118" s="8" t="s">
        <v>21</v>
      </c>
      <c r="F118" s="8" t="s">
        <v>22</v>
      </c>
      <c r="G118" s="8">
        <v>644</v>
      </c>
      <c r="H118" s="8" t="s">
        <v>23</v>
      </c>
      <c r="I118" s="8" t="s">
        <v>186</v>
      </c>
      <c r="J118" s="8" t="s">
        <v>41</v>
      </c>
      <c r="K118" s="8" t="s">
        <v>26</v>
      </c>
      <c r="L118" s="8" t="s">
        <v>187</v>
      </c>
      <c r="M118" s="8">
        <v>5999</v>
      </c>
      <c r="N118" s="8" t="s">
        <v>28</v>
      </c>
      <c r="O118" s="8" t="s">
        <v>29</v>
      </c>
      <c r="P118" s="8" t="s">
        <v>30</v>
      </c>
      <c r="Q118" s="8" t="s">
        <v>31</v>
      </c>
    </row>
    <row r="119" spans="1:17" ht="15" customHeight="1">
      <c r="A119" s="9">
        <v>118</v>
      </c>
      <c r="B119" s="9" t="s">
        <v>18</v>
      </c>
      <c r="C119" s="9" t="s">
        <v>459</v>
      </c>
      <c r="D119" s="9" t="s">
        <v>460</v>
      </c>
      <c r="E119" s="9" t="s">
        <v>21</v>
      </c>
      <c r="F119" s="9" t="s">
        <v>22</v>
      </c>
      <c r="G119" s="9">
        <v>654</v>
      </c>
      <c r="H119" s="9" t="s">
        <v>23</v>
      </c>
      <c r="I119" s="9" t="s">
        <v>254</v>
      </c>
      <c r="J119" s="9" t="s">
        <v>41</v>
      </c>
      <c r="K119" s="9" t="s">
        <v>26</v>
      </c>
      <c r="L119" s="9" t="s">
        <v>255</v>
      </c>
      <c r="M119" s="9">
        <v>5812</v>
      </c>
      <c r="N119" s="9" t="s">
        <v>28</v>
      </c>
      <c r="O119" s="9" t="s">
        <v>29</v>
      </c>
      <c r="P119" s="9" t="s">
        <v>30</v>
      </c>
      <c r="Q119" s="9" t="s">
        <v>31</v>
      </c>
    </row>
    <row r="120" spans="1:17" ht="15" customHeight="1">
      <c r="A120" s="8">
        <v>119</v>
      </c>
      <c r="B120" s="8" t="s">
        <v>18</v>
      </c>
      <c r="C120" s="8" t="s">
        <v>461</v>
      </c>
      <c r="D120" s="8" t="s">
        <v>462</v>
      </c>
      <c r="E120" s="8" t="s">
        <v>21</v>
      </c>
      <c r="F120" s="8" t="s">
        <v>22</v>
      </c>
      <c r="G120" s="8">
        <v>495</v>
      </c>
      <c r="H120" s="8" t="s">
        <v>23</v>
      </c>
      <c r="I120" s="8" t="s">
        <v>70</v>
      </c>
      <c r="J120" s="8" t="s">
        <v>41</v>
      </c>
      <c r="K120" s="8" t="s">
        <v>26</v>
      </c>
      <c r="L120" s="8" t="s">
        <v>71</v>
      </c>
      <c r="M120" s="8">
        <v>5541</v>
      </c>
      <c r="N120" s="8" t="s">
        <v>28</v>
      </c>
      <c r="O120" s="8" t="s">
        <v>29</v>
      </c>
      <c r="P120" s="8" t="s">
        <v>30</v>
      </c>
      <c r="Q120" s="8" t="s">
        <v>31</v>
      </c>
    </row>
    <row r="121" spans="1:17" ht="15" customHeight="1">
      <c r="A121" s="9">
        <v>120</v>
      </c>
      <c r="B121" s="9" t="s">
        <v>18</v>
      </c>
      <c r="C121" s="9" t="s">
        <v>463</v>
      </c>
      <c r="D121" s="9" t="s">
        <v>464</v>
      </c>
      <c r="E121" s="9" t="s">
        <v>21</v>
      </c>
      <c r="F121" s="9" t="s">
        <v>22</v>
      </c>
      <c r="G121" s="9">
        <v>643</v>
      </c>
      <c r="H121" s="9" t="s">
        <v>23</v>
      </c>
      <c r="I121" s="9" t="s">
        <v>186</v>
      </c>
      <c r="J121" s="9" t="s">
        <v>41</v>
      </c>
      <c r="K121" s="9" t="s">
        <v>26</v>
      </c>
      <c r="L121" s="9" t="s">
        <v>187</v>
      </c>
      <c r="M121" s="9">
        <v>5999</v>
      </c>
      <c r="N121" s="9" t="s">
        <v>28</v>
      </c>
      <c r="O121" s="9" t="s">
        <v>29</v>
      </c>
      <c r="P121" s="9" t="s">
        <v>30</v>
      </c>
      <c r="Q121" s="9" t="s">
        <v>31</v>
      </c>
    </row>
    <row r="122" spans="1:17" ht="15" customHeight="1">
      <c r="A122" s="8">
        <v>121</v>
      </c>
      <c r="B122" s="8" t="s">
        <v>18</v>
      </c>
      <c r="C122" s="8" t="s">
        <v>465</v>
      </c>
      <c r="D122" s="8" t="s">
        <v>466</v>
      </c>
      <c r="E122" s="8" t="s">
        <v>21</v>
      </c>
      <c r="F122" s="8" t="s">
        <v>22</v>
      </c>
      <c r="G122" s="8">
        <v>1348</v>
      </c>
      <c r="H122" s="8" t="s">
        <v>23</v>
      </c>
      <c r="I122" s="8" t="s">
        <v>102</v>
      </c>
      <c r="J122" s="8" t="s">
        <v>41</v>
      </c>
      <c r="K122" s="8" t="s">
        <v>26</v>
      </c>
      <c r="L122" s="8" t="s">
        <v>103</v>
      </c>
      <c r="M122" s="8">
        <v>5411</v>
      </c>
      <c r="N122" s="8" t="s">
        <v>28</v>
      </c>
      <c r="O122" s="8" t="s">
        <v>29</v>
      </c>
      <c r="P122" s="8" t="s">
        <v>30</v>
      </c>
      <c r="Q122" s="8" t="s">
        <v>31</v>
      </c>
    </row>
    <row r="123" spans="1:17" ht="15" customHeight="1">
      <c r="A123" s="9">
        <v>122</v>
      </c>
      <c r="B123" s="9" t="s">
        <v>18</v>
      </c>
      <c r="C123" s="9" t="s">
        <v>467</v>
      </c>
      <c r="D123" s="9" t="s">
        <v>468</v>
      </c>
      <c r="E123" s="9" t="s">
        <v>21</v>
      </c>
      <c r="F123" s="9" t="s">
        <v>22</v>
      </c>
      <c r="G123" s="9">
        <v>626</v>
      </c>
      <c r="H123" s="9" t="s">
        <v>23</v>
      </c>
      <c r="I123" s="9" t="s">
        <v>56</v>
      </c>
      <c r="J123" s="9" t="s">
        <v>41</v>
      </c>
      <c r="K123" s="9" t="s">
        <v>26</v>
      </c>
      <c r="L123" s="9" t="s">
        <v>57</v>
      </c>
      <c r="M123" s="9">
        <v>5999</v>
      </c>
      <c r="N123" s="9" t="s">
        <v>28</v>
      </c>
      <c r="O123" s="9" t="s">
        <v>29</v>
      </c>
      <c r="P123" s="9" t="s">
        <v>30</v>
      </c>
      <c r="Q123" s="9" t="s">
        <v>31</v>
      </c>
    </row>
    <row r="124" spans="1:17" ht="15" customHeight="1">
      <c r="A124" s="8">
        <v>123</v>
      </c>
      <c r="B124" s="8" t="s">
        <v>18</v>
      </c>
      <c r="C124" s="8" t="s">
        <v>469</v>
      </c>
      <c r="D124" s="8" t="s">
        <v>470</v>
      </c>
      <c r="E124" s="8" t="s">
        <v>21</v>
      </c>
      <c r="F124" s="8" t="s">
        <v>22</v>
      </c>
      <c r="G124" s="8">
        <v>495</v>
      </c>
      <c r="H124" s="8" t="s">
        <v>23</v>
      </c>
      <c r="I124" s="8" t="s">
        <v>123</v>
      </c>
      <c r="J124" s="8" t="s">
        <v>41</v>
      </c>
      <c r="K124" s="8" t="s">
        <v>26</v>
      </c>
      <c r="L124" s="8" t="s">
        <v>124</v>
      </c>
      <c r="M124" s="8">
        <v>5541</v>
      </c>
      <c r="N124" s="8" t="s">
        <v>28</v>
      </c>
      <c r="O124" s="8" t="s">
        <v>29</v>
      </c>
      <c r="P124" s="8" t="s">
        <v>30</v>
      </c>
      <c r="Q124" s="8" t="s">
        <v>31</v>
      </c>
    </row>
    <row r="125" spans="1:17" ht="15" customHeight="1">
      <c r="A125" s="9">
        <v>124</v>
      </c>
      <c r="B125" s="9" t="s">
        <v>18</v>
      </c>
      <c r="C125" s="9" t="s">
        <v>471</v>
      </c>
      <c r="D125" s="9" t="s">
        <v>472</v>
      </c>
      <c r="E125" s="9" t="s">
        <v>94</v>
      </c>
      <c r="F125" s="9" t="s">
        <v>22</v>
      </c>
      <c r="G125" s="9">
        <v>21800</v>
      </c>
      <c r="H125" s="9" t="s">
        <v>23</v>
      </c>
      <c r="I125" s="9" t="s">
        <v>95</v>
      </c>
      <c r="J125" s="9" t="s">
        <v>96</v>
      </c>
      <c r="K125" s="9" t="s">
        <v>97</v>
      </c>
      <c r="L125" s="9" t="s">
        <v>98</v>
      </c>
      <c r="M125" s="9"/>
      <c r="N125" s="9" t="s">
        <v>98</v>
      </c>
      <c r="O125" s="9" t="s">
        <v>473</v>
      </c>
      <c r="P125" s="9" t="s">
        <v>30</v>
      </c>
      <c r="Q125" s="9" t="s">
        <v>31</v>
      </c>
    </row>
    <row r="126" spans="1:17" ht="15" customHeight="1">
      <c r="A126" s="8">
        <v>125</v>
      </c>
      <c r="B126" s="8" t="s">
        <v>18</v>
      </c>
      <c r="C126" s="8" t="s">
        <v>474</v>
      </c>
      <c r="D126" s="8" t="s">
        <v>475</v>
      </c>
      <c r="E126" s="8" t="s">
        <v>21</v>
      </c>
      <c r="F126" s="8" t="s">
        <v>22</v>
      </c>
      <c r="G126" s="8">
        <v>477</v>
      </c>
      <c r="H126" s="8" t="s">
        <v>23</v>
      </c>
      <c r="I126" s="8" t="s">
        <v>138</v>
      </c>
      <c r="J126" s="8" t="s">
        <v>41</v>
      </c>
      <c r="K126" s="8" t="s">
        <v>26</v>
      </c>
      <c r="L126" s="8" t="s">
        <v>139</v>
      </c>
      <c r="M126" s="8">
        <v>5812</v>
      </c>
      <c r="N126" s="8" t="s">
        <v>28</v>
      </c>
      <c r="O126" s="8" t="s">
        <v>29</v>
      </c>
      <c r="P126" s="8" t="s">
        <v>30</v>
      </c>
      <c r="Q126" s="8" t="s">
        <v>31</v>
      </c>
    </row>
    <row r="127" spans="1:17" ht="15" customHeight="1">
      <c r="A127" s="9">
        <v>126</v>
      </c>
      <c r="B127" s="9" t="s">
        <v>18</v>
      </c>
      <c r="C127" s="9" t="s">
        <v>476</v>
      </c>
      <c r="D127" s="9" t="s">
        <v>477</v>
      </c>
      <c r="E127" s="9" t="s">
        <v>21</v>
      </c>
      <c r="F127" s="9" t="s">
        <v>22</v>
      </c>
      <c r="G127" s="9">
        <v>1080</v>
      </c>
      <c r="H127" s="9" t="s">
        <v>23</v>
      </c>
      <c r="I127" s="9" t="s">
        <v>108</v>
      </c>
      <c r="J127" s="9" t="s">
        <v>41</v>
      </c>
      <c r="K127" s="9" t="s">
        <v>26</v>
      </c>
      <c r="L127" s="9" t="s">
        <v>57</v>
      </c>
      <c r="M127" s="9">
        <v>5999</v>
      </c>
      <c r="N127" s="9" t="s">
        <v>28</v>
      </c>
      <c r="O127" s="9" t="s">
        <v>29</v>
      </c>
      <c r="P127" s="9" t="s">
        <v>30</v>
      </c>
      <c r="Q127" s="9" t="s">
        <v>31</v>
      </c>
    </row>
    <row r="128" spans="1:17" ht="15" customHeight="1">
      <c r="A128" s="8">
        <v>127</v>
      </c>
      <c r="B128" s="8" t="s">
        <v>18</v>
      </c>
      <c r="C128" s="8" t="s">
        <v>478</v>
      </c>
      <c r="D128" s="8" t="s">
        <v>479</v>
      </c>
      <c r="E128" s="8" t="s">
        <v>21</v>
      </c>
      <c r="F128" s="8" t="s">
        <v>22</v>
      </c>
      <c r="G128" s="8">
        <v>3500</v>
      </c>
      <c r="H128" s="8" t="s">
        <v>23</v>
      </c>
      <c r="I128" s="8" t="s">
        <v>35</v>
      </c>
      <c r="J128" s="8" t="s">
        <v>36</v>
      </c>
      <c r="K128" s="8" t="s">
        <v>26</v>
      </c>
      <c r="L128" s="8" t="s">
        <v>37</v>
      </c>
      <c r="M128" s="8">
        <v>6012</v>
      </c>
      <c r="N128" s="8" t="s">
        <v>28</v>
      </c>
      <c r="O128" s="8" t="s">
        <v>29</v>
      </c>
      <c r="P128" s="8" t="s">
        <v>30</v>
      </c>
      <c r="Q128" s="8" t="s">
        <v>31</v>
      </c>
    </row>
    <row r="129" spans="1:17" ht="15" customHeight="1">
      <c r="A129" s="9">
        <v>128</v>
      </c>
      <c r="B129" s="9" t="s">
        <v>18</v>
      </c>
      <c r="C129" s="9" t="s">
        <v>480</v>
      </c>
      <c r="D129" s="9" t="s">
        <v>481</v>
      </c>
      <c r="E129" s="9" t="s">
        <v>21</v>
      </c>
      <c r="F129" s="9" t="s">
        <v>22</v>
      </c>
      <c r="G129" s="9">
        <v>585</v>
      </c>
      <c r="H129" s="9" t="s">
        <v>23</v>
      </c>
      <c r="I129" s="9" t="s">
        <v>86</v>
      </c>
      <c r="J129" s="9" t="s">
        <v>36</v>
      </c>
      <c r="K129" s="9" t="s">
        <v>26</v>
      </c>
      <c r="L129" s="9" t="s">
        <v>87</v>
      </c>
      <c r="M129" s="9">
        <v>4813</v>
      </c>
      <c r="N129" s="9" t="s">
        <v>28</v>
      </c>
      <c r="O129" s="9" t="s">
        <v>29</v>
      </c>
      <c r="P129" s="9" t="s">
        <v>30</v>
      </c>
      <c r="Q129" s="9" t="s">
        <v>31</v>
      </c>
    </row>
    <row r="130" spans="1:17" ht="15" customHeight="1">
      <c r="A130" s="8">
        <v>129</v>
      </c>
      <c r="B130" s="8" t="s">
        <v>18</v>
      </c>
      <c r="C130" s="8" t="s">
        <v>482</v>
      </c>
      <c r="D130" s="8" t="s">
        <v>483</v>
      </c>
      <c r="E130" s="8" t="s">
        <v>21</v>
      </c>
      <c r="F130" s="8" t="s">
        <v>22</v>
      </c>
      <c r="G130" s="8">
        <v>680</v>
      </c>
      <c r="H130" s="8" t="s">
        <v>23</v>
      </c>
      <c r="I130" s="8" t="s">
        <v>127</v>
      </c>
      <c r="J130" s="8" t="s">
        <v>25</v>
      </c>
      <c r="K130" s="8" t="s">
        <v>26</v>
      </c>
      <c r="L130" s="8" t="s">
        <v>128</v>
      </c>
      <c r="M130" s="8">
        <v>5999</v>
      </c>
      <c r="N130" s="8" t="s">
        <v>28</v>
      </c>
      <c r="O130" s="8" t="s">
        <v>29</v>
      </c>
      <c r="P130" s="8" t="s">
        <v>30</v>
      </c>
      <c r="Q130" s="8" t="s">
        <v>31</v>
      </c>
    </row>
    <row r="131" spans="1:17" ht="15" customHeight="1">
      <c r="A131" s="9">
        <v>130</v>
      </c>
      <c r="B131" s="9" t="s">
        <v>18</v>
      </c>
      <c r="C131" s="9" t="s">
        <v>484</v>
      </c>
      <c r="D131" s="9" t="s">
        <v>485</v>
      </c>
      <c r="E131" s="9" t="s">
        <v>21</v>
      </c>
      <c r="F131" s="9" t="s">
        <v>22</v>
      </c>
      <c r="G131" s="9">
        <v>744</v>
      </c>
      <c r="H131" s="9" t="s">
        <v>23</v>
      </c>
      <c r="I131" s="9" t="s">
        <v>152</v>
      </c>
      <c r="J131" s="9" t="s">
        <v>41</v>
      </c>
      <c r="K131" s="9" t="s">
        <v>26</v>
      </c>
      <c r="L131" s="9" t="s">
        <v>153</v>
      </c>
      <c r="M131" s="9">
        <v>8011</v>
      </c>
      <c r="N131" s="9" t="s">
        <v>28</v>
      </c>
      <c r="O131" s="9" t="s">
        <v>29</v>
      </c>
      <c r="P131" s="9" t="s">
        <v>30</v>
      </c>
      <c r="Q131" s="9" t="s">
        <v>31</v>
      </c>
    </row>
    <row r="132" spans="1:17" ht="15" customHeight="1">
      <c r="A132" s="8">
        <v>131</v>
      </c>
      <c r="B132" s="8" t="s">
        <v>18</v>
      </c>
      <c r="C132" s="8" t="s">
        <v>486</v>
      </c>
      <c r="D132" s="8" t="s">
        <v>487</v>
      </c>
      <c r="E132" s="8" t="s">
        <v>21</v>
      </c>
      <c r="F132" s="8" t="s">
        <v>22</v>
      </c>
      <c r="G132" s="8">
        <v>1079</v>
      </c>
      <c r="H132" s="8" t="s">
        <v>23</v>
      </c>
      <c r="I132" s="8" t="s">
        <v>111</v>
      </c>
      <c r="J132" s="8" t="s">
        <v>41</v>
      </c>
      <c r="K132" s="8" t="s">
        <v>26</v>
      </c>
      <c r="L132" s="8" t="s">
        <v>112</v>
      </c>
      <c r="M132" s="8">
        <v>5541</v>
      </c>
      <c r="N132" s="8" t="s">
        <v>28</v>
      </c>
      <c r="O132" s="8" t="s">
        <v>29</v>
      </c>
      <c r="P132" s="8" t="s">
        <v>30</v>
      </c>
      <c r="Q132" s="8" t="s">
        <v>31</v>
      </c>
    </row>
    <row r="133" spans="1:17" ht="15" customHeight="1">
      <c r="A133" s="9">
        <v>132</v>
      </c>
      <c r="B133" s="9" t="s">
        <v>18</v>
      </c>
      <c r="C133" s="9" t="s">
        <v>488</v>
      </c>
      <c r="D133" s="9" t="s">
        <v>489</v>
      </c>
      <c r="E133" s="9" t="s">
        <v>21</v>
      </c>
      <c r="F133" s="9" t="s">
        <v>22</v>
      </c>
      <c r="G133" s="9">
        <v>1434</v>
      </c>
      <c r="H133" s="9" t="s">
        <v>23</v>
      </c>
      <c r="I133" s="9" t="s">
        <v>102</v>
      </c>
      <c r="J133" s="9" t="s">
        <v>41</v>
      </c>
      <c r="K133" s="9" t="s">
        <v>26</v>
      </c>
      <c r="L133" s="9" t="s">
        <v>103</v>
      </c>
      <c r="M133" s="9">
        <v>5411</v>
      </c>
      <c r="N133" s="9" t="s">
        <v>28</v>
      </c>
      <c r="O133" s="9" t="s">
        <v>29</v>
      </c>
      <c r="P133" s="9" t="s">
        <v>30</v>
      </c>
      <c r="Q133" s="9" t="s">
        <v>31</v>
      </c>
    </row>
    <row r="134" spans="1:17" ht="15" customHeight="1">
      <c r="A134" s="8">
        <v>133</v>
      </c>
      <c r="B134" s="8" t="s">
        <v>18</v>
      </c>
      <c r="C134" s="8" t="s">
        <v>490</v>
      </c>
      <c r="D134" s="8" t="s">
        <v>491</v>
      </c>
      <c r="E134" s="8" t="s">
        <v>21</v>
      </c>
      <c r="F134" s="8" t="s">
        <v>22</v>
      </c>
      <c r="G134" s="8">
        <v>709</v>
      </c>
      <c r="H134" s="8" t="s">
        <v>23</v>
      </c>
      <c r="I134" s="8" t="s">
        <v>56</v>
      </c>
      <c r="J134" s="8" t="s">
        <v>41</v>
      </c>
      <c r="K134" s="8" t="s">
        <v>26</v>
      </c>
      <c r="L134" s="8" t="s">
        <v>57</v>
      </c>
      <c r="M134" s="8">
        <v>5999</v>
      </c>
      <c r="N134" s="8" t="s">
        <v>28</v>
      </c>
      <c r="O134" s="8" t="s">
        <v>29</v>
      </c>
      <c r="P134" s="8" t="s">
        <v>30</v>
      </c>
      <c r="Q134" s="8" t="s">
        <v>31</v>
      </c>
    </row>
    <row r="135" spans="1:17" ht="15" customHeight="1">
      <c r="A135" s="9">
        <v>134</v>
      </c>
      <c r="B135" s="9" t="s">
        <v>18</v>
      </c>
      <c r="C135" s="9" t="s">
        <v>492</v>
      </c>
      <c r="D135" s="9" t="s">
        <v>493</v>
      </c>
      <c r="E135" s="9" t="s">
        <v>21</v>
      </c>
      <c r="F135" s="9" t="s">
        <v>22</v>
      </c>
      <c r="G135" s="9">
        <v>476</v>
      </c>
      <c r="H135" s="9" t="s">
        <v>23</v>
      </c>
      <c r="I135" s="9" t="s">
        <v>74</v>
      </c>
      <c r="J135" s="9" t="s">
        <v>41</v>
      </c>
      <c r="K135" s="9" t="s">
        <v>26</v>
      </c>
      <c r="L135" s="9" t="s">
        <v>75</v>
      </c>
      <c r="M135" s="9">
        <v>5812</v>
      </c>
      <c r="N135" s="9" t="s">
        <v>28</v>
      </c>
      <c r="O135" s="9" t="s">
        <v>29</v>
      </c>
      <c r="P135" s="9" t="s">
        <v>30</v>
      </c>
      <c r="Q135" s="9" t="s">
        <v>31</v>
      </c>
    </row>
    <row r="136" spans="1:17" ht="15" customHeight="1">
      <c r="A136" s="8">
        <v>135</v>
      </c>
      <c r="B136" s="8" t="s">
        <v>18</v>
      </c>
      <c r="C136" s="8" t="s">
        <v>494</v>
      </c>
      <c r="D136" s="8" t="s">
        <v>495</v>
      </c>
      <c r="E136" s="8" t="s">
        <v>21</v>
      </c>
      <c r="F136" s="8" t="s">
        <v>22</v>
      </c>
      <c r="G136" s="8">
        <v>1462</v>
      </c>
      <c r="H136" s="8" t="s">
        <v>23</v>
      </c>
      <c r="I136" s="8" t="s">
        <v>119</v>
      </c>
      <c r="J136" s="8" t="s">
        <v>25</v>
      </c>
      <c r="K136" s="8" t="s">
        <v>26</v>
      </c>
      <c r="L136" s="8" t="s">
        <v>120</v>
      </c>
      <c r="M136" s="8">
        <v>8299</v>
      </c>
      <c r="N136" s="8" t="s">
        <v>28</v>
      </c>
      <c r="O136" s="8" t="s">
        <v>29</v>
      </c>
      <c r="P136" s="8" t="s">
        <v>30</v>
      </c>
      <c r="Q136" s="8" t="s">
        <v>31</v>
      </c>
    </row>
    <row r="137" spans="1:17" ht="15" customHeight="1">
      <c r="A137" s="9">
        <v>136</v>
      </c>
      <c r="B137" s="9" t="s">
        <v>18</v>
      </c>
      <c r="C137" s="9" t="s">
        <v>496</v>
      </c>
      <c r="D137" s="9" t="s">
        <v>497</v>
      </c>
      <c r="E137" s="9" t="s">
        <v>21</v>
      </c>
      <c r="F137" s="9" t="s">
        <v>22</v>
      </c>
      <c r="G137" s="9">
        <v>1287</v>
      </c>
      <c r="H137" s="9" t="s">
        <v>23</v>
      </c>
      <c r="I137" s="9" t="s">
        <v>498</v>
      </c>
      <c r="J137" s="9" t="s">
        <v>36</v>
      </c>
      <c r="K137" s="9" t="s">
        <v>26</v>
      </c>
      <c r="L137" s="9" t="s">
        <v>499</v>
      </c>
      <c r="M137" s="9">
        <v>4900</v>
      </c>
      <c r="N137" s="9" t="s">
        <v>28</v>
      </c>
      <c r="O137" s="9" t="s">
        <v>29</v>
      </c>
      <c r="P137" s="9" t="s">
        <v>30</v>
      </c>
      <c r="Q137" s="9" t="s">
        <v>31</v>
      </c>
    </row>
    <row r="138" spans="1:17" ht="15" customHeight="1">
      <c r="A138" s="8">
        <v>137</v>
      </c>
      <c r="B138" s="8" t="s">
        <v>18</v>
      </c>
      <c r="C138" s="8" t="s">
        <v>500</v>
      </c>
      <c r="D138" s="8" t="s">
        <v>501</v>
      </c>
      <c r="E138" s="8" t="s">
        <v>21</v>
      </c>
      <c r="F138" s="8" t="s">
        <v>22</v>
      </c>
      <c r="G138" s="8">
        <v>477</v>
      </c>
      <c r="H138" s="8" t="s">
        <v>23</v>
      </c>
      <c r="I138" s="8" t="s">
        <v>254</v>
      </c>
      <c r="J138" s="8" t="s">
        <v>41</v>
      </c>
      <c r="K138" s="8" t="s">
        <v>26</v>
      </c>
      <c r="L138" s="8" t="s">
        <v>255</v>
      </c>
      <c r="M138" s="8">
        <v>5812</v>
      </c>
      <c r="N138" s="8" t="s">
        <v>28</v>
      </c>
      <c r="O138" s="8" t="s">
        <v>29</v>
      </c>
      <c r="P138" s="8" t="s">
        <v>30</v>
      </c>
      <c r="Q138" s="8" t="s">
        <v>31</v>
      </c>
    </row>
    <row r="139" spans="1:17" ht="15" customHeight="1">
      <c r="A139" s="9">
        <v>138</v>
      </c>
      <c r="B139" s="9" t="s">
        <v>18</v>
      </c>
      <c r="C139" s="9" t="s">
        <v>502</v>
      </c>
      <c r="D139" s="9" t="s">
        <v>503</v>
      </c>
      <c r="E139" s="9" t="s">
        <v>21</v>
      </c>
      <c r="F139" s="9" t="s">
        <v>22</v>
      </c>
      <c r="G139" s="9">
        <v>681</v>
      </c>
      <c r="H139" s="9" t="s">
        <v>23</v>
      </c>
      <c r="I139" s="9" t="s">
        <v>127</v>
      </c>
      <c r="J139" s="9" t="s">
        <v>25</v>
      </c>
      <c r="K139" s="9" t="s">
        <v>26</v>
      </c>
      <c r="L139" s="9" t="s">
        <v>128</v>
      </c>
      <c r="M139" s="9">
        <v>5999</v>
      </c>
      <c r="N139" s="9" t="s">
        <v>28</v>
      </c>
      <c r="O139" s="9" t="s">
        <v>29</v>
      </c>
      <c r="P139" s="9" t="s">
        <v>30</v>
      </c>
      <c r="Q139" s="9" t="s">
        <v>31</v>
      </c>
    </row>
    <row r="140" spans="1:17" ht="15" customHeight="1">
      <c r="A140" s="8">
        <v>139</v>
      </c>
      <c r="B140" s="8" t="s">
        <v>18</v>
      </c>
      <c r="C140" s="8" t="s">
        <v>504</v>
      </c>
      <c r="D140" s="8" t="s">
        <v>505</v>
      </c>
      <c r="E140" s="8" t="s">
        <v>21</v>
      </c>
      <c r="F140" s="8" t="s">
        <v>22</v>
      </c>
      <c r="G140" s="8">
        <v>694</v>
      </c>
      <c r="H140" s="8" t="s">
        <v>23</v>
      </c>
      <c r="I140" s="8" t="s">
        <v>506</v>
      </c>
      <c r="J140" s="8" t="s">
        <v>41</v>
      </c>
      <c r="K140" s="8" t="s">
        <v>26</v>
      </c>
      <c r="L140" s="8" t="s">
        <v>507</v>
      </c>
      <c r="M140" s="8">
        <v>7996</v>
      </c>
      <c r="N140" s="8" t="s">
        <v>28</v>
      </c>
      <c r="O140" s="8" t="s">
        <v>29</v>
      </c>
      <c r="P140" s="8" t="s">
        <v>30</v>
      </c>
      <c r="Q140" s="8" t="s">
        <v>31</v>
      </c>
    </row>
    <row r="141" spans="1:17" ht="15" customHeight="1">
      <c r="A141" s="9">
        <v>140</v>
      </c>
      <c r="B141" s="9" t="s">
        <v>18</v>
      </c>
      <c r="C141" s="9" t="s">
        <v>508</v>
      </c>
      <c r="D141" s="9" t="s">
        <v>509</v>
      </c>
      <c r="E141" s="9" t="s">
        <v>94</v>
      </c>
      <c r="F141" s="9" t="s">
        <v>22</v>
      </c>
      <c r="G141" s="9">
        <v>22400</v>
      </c>
      <c r="H141" s="9" t="s">
        <v>23</v>
      </c>
      <c r="I141" s="9" t="s">
        <v>95</v>
      </c>
      <c r="J141" s="9" t="s">
        <v>96</v>
      </c>
      <c r="K141" s="9" t="s">
        <v>97</v>
      </c>
      <c r="L141" s="9" t="s">
        <v>98</v>
      </c>
      <c r="M141" s="9"/>
      <c r="N141" s="9" t="s">
        <v>98</v>
      </c>
      <c r="O141" s="9" t="s">
        <v>510</v>
      </c>
      <c r="P141" s="9" t="s">
        <v>30</v>
      </c>
      <c r="Q141" s="9" t="s">
        <v>31</v>
      </c>
    </row>
    <row r="142" spans="1:17" ht="15" customHeight="1">
      <c r="A142" s="8">
        <v>141</v>
      </c>
      <c r="B142" s="8" t="s">
        <v>18</v>
      </c>
      <c r="C142" s="8" t="s">
        <v>511</v>
      </c>
      <c r="D142" s="8" t="s">
        <v>512</v>
      </c>
      <c r="E142" s="8" t="s">
        <v>21</v>
      </c>
      <c r="F142" s="8" t="s">
        <v>22</v>
      </c>
      <c r="G142" s="8">
        <v>1435</v>
      </c>
      <c r="H142" s="8" t="s">
        <v>23</v>
      </c>
      <c r="I142" s="8" t="s">
        <v>82</v>
      </c>
      <c r="J142" s="8" t="s">
        <v>41</v>
      </c>
      <c r="K142" s="8" t="s">
        <v>26</v>
      </c>
      <c r="L142" s="8" t="s">
        <v>83</v>
      </c>
      <c r="M142" s="8">
        <v>5411</v>
      </c>
      <c r="N142" s="8" t="s">
        <v>28</v>
      </c>
      <c r="O142" s="8" t="s">
        <v>29</v>
      </c>
      <c r="P142" s="8" t="s">
        <v>30</v>
      </c>
      <c r="Q142" s="8" t="s">
        <v>31</v>
      </c>
    </row>
    <row r="143" spans="1:17" ht="15" customHeight="1">
      <c r="A143" s="9">
        <v>142</v>
      </c>
      <c r="B143" s="9" t="s">
        <v>18</v>
      </c>
      <c r="C143" s="9" t="s">
        <v>513</v>
      </c>
      <c r="D143" s="9" t="s">
        <v>514</v>
      </c>
      <c r="E143" s="9" t="s">
        <v>21</v>
      </c>
      <c r="F143" s="9" t="s">
        <v>22</v>
      </c>
      <c r="G143" s="9">
        <v>3500</v>
      </c>
      <c r="H143" s="9" t="s">
        <v>23</v>
      </c>
      <c r="I143" s="9" t="s">
        <v>35</v>
      </c>
      <c r="J143" s="9" t="s">
        <v>36</v>
      </c>
      <c r="K143" s="9" t="s">
        <v>26</v>
      </c>
      <c r="L143" s="9" t="s">
        <v>37</v>
      </c>
      <c r="M143" s="9">
        <v>6012</v>
      </c>
      <c r="N143" s="9" t="s">
        <v>28</v>
      </c>
      <c r="O143" s="9" t="s">
        <v>29</v>
      </c>
      <c r="P143" s="9" t="s">
        <v>30</v>
      </c>
      <c r="Q143" s="9" t="s">
        <v>31</v>
      </c>
    </row>
    <row r="144" spans="1:17" ht="15" customHeight="1">
      <c r="A144" s="8">
        <v>143</v>
      </c>
      <c r="B144" s="8" t="s">
        <v>18</v>
      </c>
      <c r="C144" s="8" t="s">
        <v>515</v>
      </c>
      <c r="D144" s="8" t="s">
        <v>516</v>
      </c>
      <c r="E144" s="8" t="s">
        <v>21</v>
      </c>
      <c r="F144" s="8" t="s">
        <v>22</v>
      </c>
      <c r="G144" s="8">
        <v>640</v>
      </c>
      <c r="H144" s="8" t="s">
        <v>23</v>
      </c>
      <c r="I144" s="8" t="s">
        <v>102</v>
      </c>
      <c r="J144" s="8" t="s">
        <v>41</v>
      </c>
      <c r="K144" s="8" t="s">
        <v>26</v>
      </c>
      <c r="L144" s="8" t="s">
        <v>103</v>
      </c>
      <c r="M144" s="8">
        <v>5411</v>
      </c>
      <c r="N144" s="8" t="s">
        <v>28</v>
      </c>
      <c r="O144" s="8" t="s">
        <v>29</v>
      </c>
      <c r="P144" s="8" t="s">
        <v>30</v>
      </c>
      <c r="Q144" s="8" t="s">
        <v>31</v>
      </c>
    </row>
    <row r="145" spans="1:17" ht="15" customHeight="1">
      <c r="A145" s="9">
        <v>144</v>
      </c>
      <c r="B145" s="9" t="s">
        <v>18</v>
      </c>
      <c r="C145" s="9" t="s">
        <v>517</v>
      </c>
      <c r="D145" s="9" t="s">
        <v>518</v>
      </c>
      <c r="E145" s="9" t="s">
        <v>21</v>
      </c>
      <c r="F145" s="9" t="s">
        <v>22</v>
      </c>
      <c r="G145" s="9">
        <v>640</v>
      </c>
      <c r="H145" s="9" t="s">
        <v>23</v>
      </c>
      <c r="I145" s="9" t="s">
        <v>131</v>
      </c>
      <c r="J145" s="9" t="s">
        <v>41</v>
      </c>
      <c r="K145" s="9" t="s">
        <v>26</v>
      </c>
      <c r="L145" s="9" t="s">
        <v>132</v>
      </c>
      <c r="M145" s="9">
        <v>5411</v>
      </c>
      <c r="N145" s="9" t="s">
        <v>28</v>
      </c>
      <c r="O145" s="9" t="s">
        <v>29</v>
      </c>
      <c r="P145" s="9" t="s">
        <v>30</v>
      </c>
      <c r="Q145" s="9" t="s">
        <v>31</v>
      </c>
    </row>
    <row r="146" spans="1:17" ht="15" customHeight="1">
      <c r="A146" s="8">
        <v>145</v>
      </c>
      <c r="B146" s="8" t="s">
        <v>18</v>
      </c>
      <c r="C146" s="8" t="s">
        <v>519</v>
      </c>
      <c r="D146" s="8" t="s">
        <v>520</v>
      </c>
      <c r="E146" s="8" t="s">
        <v>21</v>
      </c>
      <c r="F146" s="8" t="s">
        <v>22</v>
      </c>
      <c r="G146" s="8">
        <v>752</v>
      </c>
      <c r="H146" s="8" t="s">
        <v>23</v>
      </c>
      <c r="I146" s="8" t="s">
        <v>254</v>
      </c>
      <c r="J146" s="8" t="s">
        <v>41</v>
      </c>
      <c r="K146" s="8" t="s">
        <v>26</v>
      </c>
      <c r="L146" s="8" t="s">
        <v>255</v>
      </c>
      <c r="M146" s="8">
        <v>5812</v>
      </c>
      <c r="N146" s="8" t="s">
        <v>28</v>
      </c>
      <c r="O146" s="8" t="s">
        <v>29</v>
      </c>
      <c r="P146" s="8" t="s">
        <v>30</v>
      </c>
      <c r="Q146" s="8" t="s">
        <v>31</v>
      </c>
    </row>
    <row r="147" spans="1:17" ht="15" customHeight="1">
      <c r="A147" s="9">
        <v>146</v>
      </c>
      <c r="B147" s="9" t="s">
        <v>18</v>
      </c>
      <c r="C147" s="9" t="s">
        <v>521</v>
      </c>
      <c r="D147" s="9" t="s">
        <v>522</v>
      </c>
      <c r="E147" s="9" t="s">
        <v>21</v>
      </c>
      <c r="F147" s="9" t="s">
        <v>22</v>
      </c>
      <c r="G147" s="9">
        <v>752</v>
      </c>
      <c r="H147" s="9" t="s">
        <v>23</v>
      </c>
      <c r="I147" s="9" t="s">
        <v>254</v>
      </c>
      <c r="J147" s="9" t="s">
        <v>41</v>
      </c>
      <c r="K147" s="9" t="s">
        <v>26</v>
      </c>
      <c r="L147" s="9" t="s">
        <v>255</v>
      </c>
      <c r="M147" s="9">
        <v>5812</v>
      </c>
      <c r="N147" s="9" t="s">
        <v>28</v>
      </c>
      <c r="O147" s="9" t="s">
        <v>29</v>
      </c>
      <c r="P147" s="9" t="s">
        <v>30</v>
      </c>
      <c r="Q147" s="9" t="s">
        <v>31</v>
      </c>
    </row>
    <row r="148" spans="1:17" ht="15" customHeight="1">
      <c r="A148" s="8">
        <v>147</v>
      </c>
      <c r="B148" s="8" t="s">
        <v>18</v>
      </c>
      <c r="C148" s="8" t="s">
        <v>523</v>
      </c>
      <c r="D148" s="8" t="s">
        <v>524</v>
      </c>
      <c r="E148" s="8" t="s">
        <v>21</v>
      </c>
      <c r="F148" s="8" t="s">
        <v>22</v>
      </c>
      <c r="G148" s="8">
        <v>1539</v>
      </c>
      <c r="H148" s="8" t="s">
        <v>23</v>
      </c>
      <c r="I148" s="8" t="s">
        <v>119</v>
      </c>
      <c r="J148" s="8" t="s">
        <v>25</v>
      </c>
      <c r="K148" s="8" t="s">
        <v>26</v>
      </c>
      <c r="L148" s="8" t="s">
        <v>120</v>
      </c>
      <c r="M148" s="8">
        <v>8299</v>
      </c>
      <c r="N148" s="8" t="s">
        <v>28</v>
      </c>
      <c r="O148" s="8" t="s">
        <v>29</v>
      </c>
      <c r="P148" s="8" t="s">
        <v>30</v>
      </c>
      <c r="Q148" s="8" t="s">
        <v>31</v>
      </c>
    </row>
    <row r="149" spans="1:17" ht="15" customHeight="1">
      <c r="A149" s="9">
        <v>148</v>
      </c>
      <c r="B149" s="9" t="s">
        <v>18</v>
      </c>
      <c r="C149" s="9" t="s">
        <v>525</v>
      </c>
      <c r="D149" s="9" t="s">
        <v>526</v>
      </c>
      <c r="E149" s="9" t="s">
        <v>21</v>
      </c>
      <c r="F149" s="9" t="s">
        <v>22</v>
      </c>
      <c r="G149" s="9">
        <v>640</v>
      </c>
      <c r="H149" s="9" t="s">
        <v>23</v>
      </c>
      <c r="I149" s="9" t="s">
        <v>131</v>
      </c>
      <c r="J149" s="9" t="s">
        <v>41</v>
      </c>
      <c r="K149" s="9" t="s">
        <v>26</v>
      </c>
      <c r="L149" s="9" t="s">
        <v>132</v>
      </c>
      <c r="M149" s="9">
        <v>5411</v>
      </c>
      <c r="N149" s="9" t="s">
        <v>28</v>
      </c>
      <c r="O149" s="9" t="s">
        <v>29</v>
      </c>
      <c r="P149" s="9" t="s">
        <v>30</v>
      </c>
      <c r="Q149" s="9" t="s">
        <v>31</v>
      </c>
    </row>
    <row r="150" spans="1:17" ht="15" customHeight="1">
      <c r="A150" s="8">
        <v>149</v>
      </c>
      <c r="B150" s="8" t="s">
        <v>18</v>
      </c>
      <c r="C150" s="8" t="s">
        <v>527</v>
      </c>
      <c r="D150" s="8" t="s">
        <v>528</v>
      </c>
      <c r="E150" s="8" t="s">
        <v>21</v>
      </c>
      <c r="F150" s="8" t="s">
        <v>22</v>
      </c>
      <c r="G150" s="8">
        <v>725</v>
      </c>
      <c r="H150" s="8" t="s">
        <v>23</v>
      </c>
      <c r="I150" s="8" t="s">
        <v>46</v>
      </c>
      <c r="J150" s="8" t="s">
        <v>41</v>
      </c>
      <c r="K150" s="8" t="s">
        <v>26</v>
      </c>
      <c r="L150" s="8" t="s">
        <v>47</v>
      </c>
      <c r="M150" s="8">
        <v>8011</v>
      </c>
      <c r="N150" s="8" t="s">
        <v>28</v>
      </c>
      <c r="O150" s="8" t="s">
        <v>29</v>
      </c>
      <c r="P150" s="8" t="s">
        <v>30</v>
      </c>
      <c r="Q150" s="8" t="s">
        <v>31</v>
      </c>
    </row>
    <row r="151" spans="1:17" ht="15" customHeight="1">
      <c r="A151" s="9">
        <v>150</v>
      </c>
      <c r="B151" s="9" t="s">
        <v>18</v>
      </c>
      <c r="C151" s="9" t="s">
        <v>529</v>
      </c>
      <c r="D151" s="9" t="s">
        <v>530</v>
      </c>
      <c r="E151" s="9" t="s">
        <v>21</v>
      </c>
      <c r="F151" s="9" t="s">
        <v>22</v>
      </c>
      <c r="G151" s="9">
        <v>640</v>
      </c>
      <c r="H151" s="9" t="s">
        <v>23</v>
      </c>
      <c r="I151" s="9" t="s">
        <v>180</v>
      </c>
      <c r="J151" s="9" t="s">
        <v>41</v>
      </c>
      <c r="K151" s="9" t="s">
        <v>26</v>
      </c>
      <c r="L151" s="9" t="s">
        <v>181</v>
      </c>
      <c r="M151" s="9">
        <v>5411</v>
      </c>
      <c r="N151" s="9" t="s">
        <v>28</v>
      </c>
      <c r="O151" s="9" t="s">
        <v>29</v>
      </c>
      <c r="P151" s="9" t="s">
        <v>30</v>
      </c>
      <c r="Q151" s="9" t="s">
        <v>31</v>
      </c>
    </row>
    <row r="152" spans="1:17" ht="15" customHeight="1">
      <c r="A152" s="8">
        <v>151</v>
      </c>
      <c r="B152" s="8" t="s">
        <v>18</v>
      </c>
      <c r="C152" s="8" t="s">
        <v>531</v>
      </c>
      <c r="D152" s="8" t="s">
        <v>532</v>
      </c>
      <c r="E152" s="8" t="s">
        <v>21</v>
      </c>
      <c r="F152" s="8" t="s">
        <v>22</v>
      </c>
      <c r="G152" s="8">
        <v>1043</v>
      </c>
      <c r="H152" s="8" t="s">
        <v>23</v>
      </c>
      <c r="I152" s="8" t="s">
        <v>198</v>
      </c>
      <c r="J152" s="8" t="s">
        <v>36</v>
      </c>
      <c r="K152" s="8" t="s">
        <v>26</v>
      </c>
      <c r="L152" s="8" t="s">
        <v>199</v>
      </c>
      <c r="M152" s="8">
        <v>4900</v>
      </c>
      <c r="N152" s="8" t="s">
        <v>28</v>
      </c>
      <c r="O152" s="8" t="s">
        <v>29</v>
      </c>
      <c r="P152" s="8" t="s">
        <v>30</v>
      </c>
      <c r="Q152" s="8" t="s">
        <v>31</v>
      </c>
    </row>
    <row r="153" spans="1:17" ht="15" customHeight="1">
      <c r="A153" s="9">
        <v>152</v>
      </c>
      <c r="B153" s="9" t="s">
        <v>18</v>
      </c>
      <c r="C153" s="9" t="s">
        <v>533</v>
      </c>
      <c r="D153" s="9" t="s">
        <v>534</v>
      </c>
      <c r="E153" s="9" t="s">
        <v>21</v>
      </c>
      <c r="F153" s="9" t="s">
        <v>22</v>
      </c>
      <c r="G153" s="9">
        <v>1212</v>
      </c>
      <c r="H153" s="9" t="s">
        <v>23</v>
      </c>
      <c r="I153" s="9" t="s">
        <v>108</v>
      </c>
      <c r="J153" s="9" t="s">
        <v>41</v>
      </c>
      <c r="K153" s="9" t="s">
        <v>26</v>
      </c>
      <c r="L153" s="9" t="s">
        <v>57</v>
      </c>
      <c r="M153" s="9">
        <v>5999</v>
      </c>
      <c r="N153" s="9" t="s">
        <v>28</v>
      </c>
      <c r="O153" s="9" t="s">
        <v>29</v>
      </c>
      <c r="P153" s="9" t="s">
        <v>30</v>
      </c>
      <c r="Q153" s="9" t="s">
        <v>31</v>
      </c>
    </row>
    <row r="154" spans="1:17" ht="15" customHeight="1">
      <c r="A154" s="8">
        <v>153</v>
      </c>
      <c r="B154" s="8" t="s">
        <v>18</v>
      </c>
      <c r="C154" s="8" t="s">
        <v>535</v>
      </c>
      <c r="D154" s="8" t="s">
        <v>536</v>
      </c>
      <c r="E154" s="8" t="s">
        <v>21</v>
      </c>
      <c r="F154" s="8" t="s">
        <v>22</v>
      </c>
      <c r="G154" s="8">
        <v>715</v>
      </c>
      <c r="H154" s="8" t="s">
        <v>23</v>
      </c>
      <c r="I154" s="8" t="s">
        <v>174</v>
      </c>
      <c r="J154" s="8" t="s">
        <v>36</v>
      </c>
      <c r="K154" s="8" t="s">
        <v>26</v>
      </c>
      <c r="L154" s="8" t="s">
        <v>175</v>
      </c>
      <c r="M154" s="8">
        <v>4813</v>
      </c>
      <c r="N154" s="8" t="s">
        <v>28</v>
      </c>
      <c r="O154" s="8" t="s">
        <v>29</v>
      </c>
      <c r="P154" s="8" t="s">
        <v>30</v>
      </c>
      <c r="Q154" s="8" t="s">
        <v>31</v>
      </c>
    </row>
    <row r="155" spans="1:17" ht="15" customHeight="1">
      <c r="A155" s="9">
        <v>154</v>
      </c>
      <c r="B155" s="9" t="s">
        <v>18</v>
      </c>
      <c r="C155" s="9" t="s">
        <v>537</v>
      </c>
      <c r="D155" s="9" t="s">
        <v>538</v>
      </c>
      <c r="E155" s="9" t="s">
        <v>21</v>
      </c>
      <c r="F155" s="9" t="s">
        <v>22</v>
      </c>
      <c r="G155" s="9">
        <v>1354</v>
      </c>
      <c r="H155" s="9" t="s">
        <v>23</v>
      </c>
      <c r="I155" s="9" t="s">
        <v>56</v>
      </c>
      <c r="J155" s="9" t="s">
        <v>41</v>
      </c>
      <c r="K155" s="9" t="s">
        <v>26</v>
      </c>
      <c r="L155" s="9" t="s">
        <v>57</v>
      </c>
      <c r="M155" s="9">
        <v>5999</v>
      </c>
      <c r="N155" s="9" t="s">
        <v>28</v>
      </c>
      <c r="O155" s="9" t="s">
        <v>29</v>
      </c>
      <c r="P155" s="9" t="s">
        <v>30</v>
      </c>
      <c r="Q155" s="9" t="s">
        <v>31</v>
      </c>
    </row>
    <row r="156" spans="1:17" ht="15" customHeight="1">
      <c r="A156" s="8">
        <v>155</v>
      </c>
      <c r="B156" s="8" t="s">
        <v>18</v>
      </c>
      <c r="C156" s="8" t="s">
        <v>539</v>
      </c>
      <c r="D156" s="8" t="s">
        <v>540</v>
      </c>
      <c r="E156" s="8" t="s">
        <v>21</v>
      </c>
      <c r="F156" s="8" t="s">
        <v>22</v>
      </c>
      <c r="G156" s="8">
        <v>1014</v>
      </c>
      <c r="H156" s="8" t="s">
        <v>23</v>
      </c>
      <c r="I156" s="8" t="s">
        <v>111</v>
      </c>
      <c r="J156" s="8" t="s">
        <v>41</v>
      </c>
      <c r="K156" s="8" t="s">
        <v>26</v>
      </c>
      <c r="L156" s="8" t="s">
        <v>112</v>
      </c>
      <c r="M156" s="8">
        <v>5541</v>
      </c>
      <c r="N156" s="8" t="s">
        <v>28</v>
      </c>
      <c r="O156" s="8" t="s">
        <v>29</v>
      </c>
      <c r="P156" s="8" t="s">
        <v>30</v>
      </c>
      <c r="Q156" s="8" t="s">
        <v>31</v>
      </c>
    </row>
    <row r="157" spans="1:17" ht="15" customHeight="1">
      <c r="A157" s="9">
        <v>156</v>
      </c>
      <c r="B157" s="9" t="s">
        <v>18</v>
      </c>
      <c r="C157" s="9" t="s">
        <v>541</v>
      </c>
      <c r="D157" s="9" t="s">
        <v>542</v>
      </c>
      <c r="E157" s="9" t="s">
        <v>21</v>
      </c>
      <c r="F157" s="9" t="s">
        <v>22</v>
      </c>
      <c r="G157" s="9">
        <v>717</v>
      </c>
      <c r="H157" s="9" t="s">
        <v>23</v>
      </c>
      <c r="I157" s="9" t="s">
        <v>212</v>
      </c>
      <c r="J157" s="9" t="s">
        <v>25</v>
      </c>
      <c r="K157" s="9" t="s">
        <v>26</v>
      </c>
      <c r="L157" s="9" t="s">
        <v>213</v>
      </c>
      <c r="M157" s="9">
        <v>5999</v>
      </c>
      <c r="N157" s="9" t="s">
        <v>28</v>
      </c>
      <c r="O157" s="9" t="s">
        <v>29</v>
      </c>
      <c r="P157" s="9" t="s">
        <v>30</v>
      </c>
      <c r="Q157" s="9" t="s">
        <v>31</v>
      </c>
    </row>
    <row r="158" spans="1:17" ht="15" customHeight="1">
      <c r="A158" s="8">
        <v>157</v>
      </c>
      <c r="B158" s="8" t="s">
        <v>18</v>
      </c>
      <c r="C158" s="8" t="s">
        <v>543</v>
      </c>
      <c r="D158" s="8" t="s">
        <v>544</v>
      </c>
      <c r="E158" s="8" t="s">
        <v>21</v>
      </c>
      <c r="F158" s="8" t="s">
        <v>22</v>
      </c>
      <c r="G158" s="8">
        <v>717</v>
      </c>
      <c r="H158" s="8" t="s">
        <v>23</v>
      </c>
      <c r="I158" s="8" t="s">
        <v>61</v>
      </c>
      <c r="J158" s="8" t="s">
        <v>25</v>
      </c>
      <c r="K158" s="8" t="s">
        <v>26</v>
      </c>
      <c r="L158" s="8" t="s">
        <v>62</v>
      </c>
      <c r="M158" s="8">
        <v>5999</v>
      </c>
      <c r="N158" s="8" t="s">
        <v>28</v>
      </c>
      <c r="O158" s="8" t="s">
        <v>29</v>
      </c>
      <c r="P158" s="8" t="s">
        <v>30</v>
      </c>
      <c r="Q158" s="8" t="s">
        <v>31</v>
      </c>
    </row>
    <row r="159" spans="1:17" ht="15" customHeight="1">
      <c r="A159" s="9">
        <v>158</v>
      </c>
      <c r="B159" s="9" t="s">
        <v>18</v>
      </c>
      <c r="C159" s="9" t="s">
        <v>545</v>
      </c>
      <c r="D159" s="9" t="s">
        <v>546</v>
      </c>
      <c r="E159" s="9" t="s">
        <v>94</v>
      </c>
      <c r="F159" s="9" t="s">
        <v>22</v>
      </c>
      <c r="G159" s="9">
        <v>22200</v>
      </c>
      <c r="H159" s="9" t="s">
        <v>23</v>
      </c>
      <c r="I159" s="9" t="s">
        <v>95</v>
      </c>
      <c r="J159" s="9" t="s">
        <v>96</v>
      </c>
      <c r="K159" s="9" t="s">
        <v>97</v>
      </c>
      <c r="L159" s="9" t="s">
        <v>98</v>
      </c>
      <c r="M159" s="9"/>
      <c r="N159" s="9" t="s">
        <v>98</v>
      </c>
      <c r="O159" s="9" t="s">
        <v>547</v>
      </c>
      <c r="P159" s="9" t="s">
        <v>30</v>
      </c>
      <c r="Q159" s="9" t="s">
        <v>31</v>
      </c>
    </row>
    <row r="160" spans="1:17" ht="15" customHeight="1">
      <c r="A160" s="8">
        <v>159</v>
      </c>
      <c r="B160" s="8" t="s">
        <v>18</v>
      </c>
      <c r="C160" s="8" t="s">
        <v>548</v>
      </c>
      <c r="D160" s="8" t="s">
        <v>549</v>
      </c>
      <c r="E160" s="8" t="s">
        <v>21</v>
      </c>
      <c r="F160" s="8" t="s">
        <v>22</v>
      </c>
      <c r="G160" s="8">
        <v>3500</v>
      </c>
      <c r="H160" s="8" t="s">
        <v>23</v>
      </c>
      <c r="I160" s="8" t="s">
        <v>35</v>
      </c>
      <c r="J160" s="8" t="s">
        <v>36</v>
      </c>
      <c r="K160" s="8" t="s">
        <v>26</v>
      </c>
      <c r="L160" s="8" t="s">
        <v>37</v>
      </c>
      <c r="M160" s="8">
        <v>6012</v>
      </c>
      <c r="N160" s="8" t="s">
        <v>28</v>
      </c>
      <c r="O160" s="8" t="s">
        <v>29</v>
      </c>
      <c r="P160" s="8" t="s">
        <v>30</v>
      </c>
      <c r="Q160" s="8" t="s">
        <v>31</v>
      </c>
    </row>
    <row r="161" spans="1:17" ht="15" customHeight="1">
      <c r="A161" s="9">
        <v>160</v>
      </c>
      <c r="B161" s="9" t="s">
        <v>18</v>
      </c>
      <c r="C161" s="9" t="s">
        <v>550</v>
      </c>
      <c r="D161" s="9" t="s">
        <v>551</v>
      </c>
      <c r="E161" s="9" t="s">
        <v>21</v>
      </c>
      <c r="F161" s="9" t="s">
        <v>22</v>
      </c>
      <c r="G161" s="9">
        <v>573</v>
      </c>
      <c r="H161" s="9" t="s">
        <v>23</v>
      </c>
      <c r="I161" s="9" t="s">
        <v>131</v>
      </c>
      <c r="J161" s="9" t="s">
        <v>41</v>
      </c>
      <c r="K161" s="9" t="s">
        <v>26</v>
      </c>
      <c r="L161" s="9" t="s">
        <v>132</v>
      </c>
      <c r="M161" s="9">
        <v>5411</v>
      </c>
      <c r="N161" s="9" t="s">
        <v>28</v>
      </c>
      <c r="O161" s="9" t="s">
        <v>29</v>
      </c>
      <c r="P161" s="9" t="s">
        <v>30</v>
      </c>
      <c r="Q161" s="9" t="s">
        <v>31</v>
      </c>
    </row>
    <row r="162" spans="1:17" ht="15" customHeight="1">
      <c r="A162" s="8">
        <v>161</v>
      </c>
      <c r="B162" s="8" t="s">
        <v>18</v>
      </c>
      <c r="C162" s="8" t="s">
        <v>552</v>
      </c>
      <c r="D162" s="8" t="s">
        <v>553</v>
      </c>
      <c r="E162" s="8" t="s">
        <v>21</v>
      </c>
      <c r="F162" s="8" t="s">
        <v>22</v>
      </c>
      <c r="G162" s="8">
        <v>1522</v>
      </c>
      <c r="H162" s="8" t="s">
        <v>23</v>
      </c>
      <c r="I162" s="8" t="s">
        <v>127</v>
      </c>
      <c r="J162" s="8" t="s">
        <v>25</v>
      </c>
      <c r="K162" s="8" t="s">
        <v>26</v>
      </c>
      <c r="L162" s="8" t="s">
        <v>128</v>
      </c>
      <c r="M162" s="8">
        <v>5999</v>
      </c>
      <c r="N162" s="8" t="s">
        <v>28</v>
      </c>
      <c r="O162" s="8" t="s">
        <v>29</v>
      </c>
      <c r="P162" s="8" t="s">
        <v>30</v>
      </c>
      <c r="Q162" s="8" t="s">
        <v>31</v>
      </c>
    </row>
    <row r="163" spans="1:17" ht="15" customHeight="1">
      <c r="A163" s="9">
        <v>162</v>
      </c>
      <c r="B163" s="9" t="s">
        <v>18</v>
      </c>
      <c r="C163" s="9" t="s">
        <v>554</v>
      </c>
      <c r="D163" s="9" t="s">
        <v>555</v>
      </c>
      <c r="E163" s="9" t="s">
        <v>21</v>
      </c>
      <c r="F163" s="9" t="s">
        <v>22</v>
      </c>
      <c r="G163" s="9">
        <v>1091</v>
      </c>
      <c r="H163" s="9" t="s">
        <v>23</v>
      </c>
      <c r="I163" s="9" t="s">
        <v>111</v>
      </c>
      <c r="J163" s="9" t="s">
        <v>41</v>
      </c>
      <c r="K163" s="9" t="s">
        <v>26</v>
      </c>
      <c r="L163" s="9" t="s">
        <v>112</v>
      </c>
      <c r="M163" s="9">
        <v>5541</v>
      </c>
      <c r="N163" s="9" t="s">
        <v>28</v>
      </c>
      <c r="O163" s="9" t="s">
        <v>29</v>
      </c>
      <c r="P163" s="9" t="s">
        <v>30</v>
      </c>
      <c r="Q163" s="9" t="s">
        <v>31</v>
      </c>
    </row>
    <row r="164" spans="1:17" ht="15" customHeight="1">
      <c r="A164" s="8">
        <v>163</v>
      </c>
      <c r="B164" s="8" t="s">
        <v>18</v>
      </c>
      <c r="C164" s="8" t="s">
        <v>556</v>
      </c>
      <c r="D164" s="8" t="s">
        <v>557</v>
      </c>
      <c r="E164" s="8" t="s">
        <v>21</v>
      </c>
      <c r="F164" s="8" t="s">
        <v>22</v>
      </c>
      <c r="G164" s="8">
        <v>722</v>
      </c>
      <c r="H164" s="8" t="s">
        <v>23</v>
      </c>
      <c r="I164" s="8" t="s">
        <v>506</v>
      </c>
      <c r="J164" s="8" t="s">
        <v>41</v>
      </c>
      <c r="K164" s="8" t="s">
        <v>26</v>
      </c>
      <c r="L164" s="8" t="s">
        <v>507</v>
      </c>
      <c r="M164" s="8">
        <v>7996</v>
      </c>
      <c r="N164" s="8" t="s">
        <v>28</v>
      </c>
      <c r="O164" s="8" t="s">
        <v>29</v>
      </c>
      <c r="P164" s="8" t="s">
        <v>30</v>
      </c>
      <c r="Q164" s="8" t="s">
        <v>31</v>
      </c>
    </row>
    <row r="165" spans="1:17" ht="15" customHeight="1">
      <c r="A165" s="9">
        <v>164</v>
      </c>
      <c r="B165" s="9" t="s">
        <v>18</v>
      </c>
      <c r="C165" s="9" t="s">
        <v>558</v>
      </c>
      <c r="D165" s="9" t="s">
        <v>559</v>
      </c>
      <c r="E165" s="9" t="s">
        <v>21</v>
      </c>
      <c r="F165" s="9" t="s">
        <v>22</v>
      </c>
      <c r="G165" s="9">
        <v>539</v>
      </c>
      <c r="H165" s="9" t="s">
        <v>23</v>
      </c>
      <c r="I165" s="9" t="s">
        <v>560</v>
      </c>
      <c r="J165" s="9" t="s">
        <v>331</v>
      </c>
      <c r="K165" s="9" t="s">
        <v>26</v>
      </c>
      <c r="L165" s="9" t="s">
        <v>561</v>
      </c>
      <c r="M165" s="9">
        <v>6011</v>
      </c>
      <c r="N165" s="9" t="s">
        <v>28</v>
      </c>
      <c r="O165" s="9" t="s">
        <v>29</v>
      </c>
      <c r="P165" s="9" t="s">
        <v>30</v>
      </c>
      <c r="Q165" s="9" t="s">
        <v>31</v>
      </c>
    </row>
    <row r="166" spans="1:17" ht="15" customHeight="1">
      <c r="A166" s="8">
        <v>165</v>
      </c>
      <c r="B166" s="8" t="s">
        <v>18</v>
      </c>
      <c r="C166" s="8" t="s">
        <v>562</v>
      </c>
      <c r="D166" s="8" t="s">
        <v>563</v>
      </c>
      <c r="E166" s="8" t="s">
        <v>21</v>
      </c>
      <c r="F166" s="8" t="s">
        <v>22</v>
      </c>
      <c r="G166" s="8">
        <v>1588</v>
      </c>
      <c r="H166" s="8" t="s">
        <v>23</v>
      </c>
      <c r="I166" s="8" t="s">
        <v>119</v>
      </c>
      <c r="J166" s="8" t="s">
        <v>25</v>
      </c>
      <c r="K166" s="8" t="s">
        <v>26</v>
      </c>
      <c r="L166" s="8" t="s">
        <v>120</v>
      </c>
      <c r="M166" s="8">
        <v>8299</v>
      </c>
      <c r="N166" s="8" t="s">
        <v>28</v>
      </c>
      <c r="O166" s="8" t="s">
        <v>29</v>
      </c>
      <c r="P166" s="8" t="s">
        <v>30</v>
      </c>
      <c r="Q166" s="8" t="s">
        <v>31</v>
      </c>
    </row>
    <row r="167" spans="1:17" ht="15" customHeight="1">
      <c r="A167" s="9">
        <v>166</v>
      </c>
      <c r="B167" s="9" t="s">
        <v>18</v>
      </c>
      <c r="C167" s="9" t="s">
        <v>564</v>
      </c>
      <c r="D167" s="9" t="s">
        <v>565</v>
      </c>
      <c r="E167" s="9" t="s">
        <v>21</v>
      </c>
      <c r="F167" s="9" t="s">
        <v>22</v>
      </c>
      <c r="G167" s="9">
        <v>573</v>
      </c>
      <c r="H167" s="9" t="s">
        <v>23</v>
      </c>
      <c r="I167" s="9" t="s">
        <v>180</v>
      </c>
      <c r="J167" s="9" t="s">
        <v>41</v>
      </c>
      <c r="K167" s="9" t="s">
        <v>26</v>
      </c>
      <c r="L167" s="9" t="s">
        <v>181</v>
      </c>
      <c r="M167" s="9">
        <v>5411</v>
      </c>
      <c r="N167" s="9" t="s">
        <v>28</v>
      </c>
      <c r="O167" s="9" t="s">
        <v>29</v>
      </c>
      <c r="P167" s="9" t="s">
        <v>30</v>
      </c>
      <c r="Q167" s="9" t="s">
        <v>31</v>
      </c>
    </row>
    <row r="168" spans="1:17" ht="15" customHeight="1">
      <c r="A168" s="8">
        <v>167</v>
      </c>
      <c r="B168" s="8" t="s">
        <v>18</v>
      </c>
      <c r="C168" s="8" t="s">
        <v>566</v>
      </c>
      <c r="D168" s="8" t="s">
        <v>567</v>
      </c>
      <c r="E168" s="8" t="s">
        <v>21</v>
      </c>
      <c r="F168" s="8" t="s">
        <v>22</v>
      </c>
      <c r="G168" s="8">
        <v>1681</v>
      </c>
      <c r="H168" s="8" t="s">
        <v>23</v>
      </c>
      <c r="I168" s="8" t="s">
        <v>56</v>
      </c>
      <c r="J168" s="8" t="s">
        <v>41</v>
      </c>
      <c r="K168" s="8" t="s">
        <v>26</v>
      </c>
      <c r="L168" s="8" t="s">
        <v>57</v>
      </c>
      <c r="M168" s="8">
        <v>5999</v>
      </c>
      <c r="N168" s="8" t="s">
        <v>28</v>
      </c>
      <c r="O168" s="8" t="s">
        <v>29</v>
      </c>
      <c r="P168" s="8" t="s">
        <v>30</v>
      </c>
      <c r="Q168" s="8" t="s">
        <v>31</v>
      </c>
    </row>
    <row r="169" spans="1:17" ht="15" customHeight="1">
      <c r="A169" s="9">
        <v>168</v>
      </c>
      <c r="B169" s="9" t="s">
        <v>18</v>
      </c>
      <c r="C169" s="9" t="s">
        <v>568</v>
      </c>
      <c r="D169" s="9" t="s">
        <v>569</v>
      </c>
      <c r="E169" s="9" t="s">
        <v>21</v>
      </c>
      <c r="F169" s="9" t="s">
        <v>22</v>
      </c>
      <c r="G169" s="9">
        <v>573</v>
      </c>
      <c r="H169" s="9" t="s">
        <v>23</v>
      </c>
      <c r="I169" s="9" t="s">
        <v>102</v>
      </c>
      <c r="J169" s="9" t="s">
        <v>41</v>
      </c>
      <c r="K169" s="9" t="s">
        <v>26</v>
      </c>
      <c r="L169" s="9" t="s">
        <v>103</v>
      </c>
      <c r="M169" s="9">
        <v>5411</v>
      </c>
      <c r="N169" s="9" t="s">
        <v>28</v>
      </c>
      <c r="O169" s="9" t="s">
        <v>29</v>
      </c>
      <c r="P169" s="9" t="s">
        <v>30</v>
      </c>
      <c r="Q169" s="9" t="s">
        <v>31</v>
      </c>
    </row>
    <row r="170" spans="1:17" ht="15" customHeight="1">
      <c r="A170" s="8">
        <v>169</v>
      </c>
      <c r="B170" s="8" t="s">
        <v>18</v>
      </c>
      <c r="C170" s="8" t="s">
        <v>570</v>
      </c>
      <c r="D170" s="8" t="s">
        <v>571</v>
      </c>
      <c r="E170" s="8" t="s">
        <v>21</v>
      </c>
      <c r="F170" s="8" t="s">
        <v>22</v>
      </c>
      <c r="G170" s="8">
        <v>461</v>
      </c>
      <c r="H170" s="8" t="s">
        <v>23</v>
      </c>
      <c r="I170" s="8" t="s">
        <v>74</v>
      </c>
      <c r="J170" s="8" t="s">
        <v>41</v>
      </c>
      <c r="K170" s="8" t="s">
        <v>26</v>
      </c>
      <c r="L170" s="8" t="s">
        <v>75</v>
      </c>
      <c r="M170" s="8">
        <v>5812</v>
      </c>
      <c r="N170" s="8" t="s">
        <v>28</v>
      </c>
      <c r="O170" s="8" t="s">
        <v>29</v>
      </c>
      <c r="P170" s="8" t="s">
        <v>30</v>
      </c>
      <c r="Q170" s="8" t="s">
        <v>31</v>
      </c>
    </row>
    <row r="171" spans="1:17" ht="15" customHeight="1">
      <c r="A171" s="9">
        <v>170</v>
      </c>
      <c r="B171" s="9" t="s">
        <v>18</v>
      </c>
      <c r="C171" s="9" t="s">
        <v>572</v>
      </c>
      <c r="D171" s="9" t="s">
        <v>573</v>
      </c>
      <c r="E171" s="9" t="s">
        <v>21</v>
      </c>
      <c r="F171" s="9" t="s">
        <v>22</v>
      </c>
      <c r="G171" s="9">
        <v>460</v>
      </c>
      <c r="H171" s="9" t="s">
        <v>23</v>
      </c>
      <c r="I171" s="9" t="s">
        <v>574</v>
      </c>
      <c r="J171" s="9" t="s">
        <v>41</v>
      </c>
      <c r="K171" s="9" t="s">
        <v>26</v>
      </c>
      <c r="L171" s="9" t="s">
        <v>575</v>
      </c>
      <c r="M171" s="9">
        <v>5812</v>
      </c>
      <c r="N171" s="9" t="s">
        <v>28</v>
      </c>
      <c r="O171" s="9" t="s">
        <v>29</v>
      </c>
      <c r="P171" s="9" t="s">
        <v>30</v>
      </c>
      <c r="Q171" s="9" t="s">
        <v>31</v>
      </c>
    </row>
    <row r="172" spans="1:17" ht="15" customHeight="1">
      <c r="A172" s="8">
        <v>171</v>
      </c>
      <c r="B172" s="8" t="s">
        <v>18</v>
      </c>
      <c r="C172" s="8" t="s">
        <v>576</v>
      </c>
      <c r="D172" s="8" t="s">
        <v>577</v>
      </c>
      <c r="E172" s="8" t="s">
        <v>21</v>
      </c>
      <c r="F172" s="8" t="s">
        <v>22</v>
      </c>
      <c r="G172" s="8">
        <v>1176</v>
      </c>
      <c r="H172" s="8" t="s">
        <v>23</v>
      </c>
      <c r="I172" s="8" t="s">
        <v>198</v>
      </c>
      <c r="J172" s="8" t="s">
        <v>36</v>
      </c>
      <c r="K172" s="8" t="s">
        <v>26</v>
      </c>
      <c r="L172" s="8" t="s">
        <v>199</v>
      </c>
      <c r="M172" s="8">
        <v>4900</v>
      </c>
      <c r="N172" s="8" t="s">
        <v>28</v>
      </c>
      <c r="O172" s="8" t="s">
        <v>29</v>
      </c>
      <c r="P172" s="8" t="s">
        <v>30</v>
      </c>
      <c r="Q172" s="8" t="s">
        <v>31</v>
      </c>
    </row>
    <row r="173" spans="1:17" ht="15" customHeight="1">
      <c r="A173" s="9">
        <v>172</v>
      </c>
      <c r="B173" s="9" t="s">
        <v>18</v>
      </c>
      <c r="C173" s="9" t="s">
        <v>578</v>
      </c>
      <c r="D173" s="9" t="s">
        <v>579</v>
      </c>
      <c r="E173" s="9" t="s">
        <v>21</v>
      </c>
      <c r="F173" s="9" t="s">
        <v>22</v>
      </c>
      <c r="G173" s="9">
        <v>739</v>
      </c>
      <c r="H173" s="9" t="s">
        <v>23</v>
      </c>
      <c r="I173" s="9" t="s">
        <v>174</v>
      </c>
      <c r="J173" s="9" t="s">
        <v>36</v>
      </c>
      <c r="K173" s="9" t="s">
        <v>26</v>
      </c>
      <c r="L173" s="9" t="s">
        <v>175</v>
      </c>
      <c r="M173" s="9">
        <v>4813</v>
      </c>
      <c r="N173" s="9" t="s">
        <v>28</v>
      </c>
      <c r="O173" s="9" t="s">
        <v>29</v>
      </c>
      <c r="P173" s="9" t="s">
        <v>30</v>
      </c>
      <c r="Q173" s="9" t="s">
        <v>31</v>
      </c>
    </row>
    <row r="174" spans="1:17" ht="15" customHeight="1">
      <c r="A174" s="8">
        <v>173</v>
      </c>
      <c r="B174" s="8" t="s">
        <v>18</v>
      </c>
      <c r="C174" s="8" t="s">
        <v>580</v>
      </c>
      <c r="D174" s="8" t="s">
        <v>581</v>
      </c>
      <c r="E174" s="8" t="s">
        <v>94</v>
      </c>
      <c r="F174" s="8" t="s">
        <v>22</v>
      </c>
      <c r="G174" s="8">
        <v>21700</v>
      </c>
      <c r="H174" s="8" t="s">
        <v>23</v>
      </c>
      <c r="I174" s="8" t="s">
        <v>95</v>
      </c>
      <c r="J174" s="8" t="s">
        <v>96</v>
      </c>
      <c r="K174" s="8" t="s">
        <v>97</v>
      </c>
      <c r="L174" s="8" t="s">
        <v>98</v>
      </c>
      <c r="M174" s="8"/>
      <c r="N174" s="8" t="s">
        <v>98</v>
      </c>
      <c r="O174" s="8" t="s">
        <v>582</v>
      </c>
      <c r="P174" s="8" t="s">
        <v>30</v>
      </c>
      <c r="Q174" s="8" t="s">
        <v>31</v>
      </c>
    </row>
    <row r="175" spans="1:17" ht="15" customHeight="1">
      <c r="A175" s="9">
        <v>174</v>
      </c>
      <c r="B175" s="9" t="s">
        <v>18</v>
      </c>
      <c r="C175" s="9" t="s">
        <v>583</v>
      </c>
      <c r="D175" s="9" t="s">
        <v>584</v>
      </c>
      <c r="E175" s="9" t="s">
        <v>21</v>
      </c>
      <c r="F175" s="9" t="s">
        <v>22</v>
      </c>
      <c r="G175" s="9">
        <v>573</v>
      </c>
      <c r="H175" s="9" t="s">
        <v>23</v>
      </c>
      <c r="I175" s="9" t="s">
        <v>180</v>
      </c>
      <c r="J175" s="9" t="s">
        <v>41</v>
      </c>
      <c r="K175" s="9" t="s">
        <v>26</v>
      </c>
      <c r="L175" s="9" t="s">
        <v>181</v>
      </c>
      <c r="M175" s="9">
        <v>5411</v>
      </c>
      <c r="N175" s="9" t="s">
        <v>28</v>
      </c>
      <c r="O175" s="9" t="s">
        <v>29</v>
      </c>
      <c r="P175" s="9" t="s">
        <v>30</v>
      </c>
      <c r="Q175" s="9" t="s">
        <v>31</v>
      </c>
    </row>
    <row r="176" spans="1:17" ht="15" customHeight="1">
      <c r="A176" s="8">
        <v>175</v>
      </c>
      <c r="B176" s="8" t="s">
        <v>18</v>
      </c>
      <c r="C176" s="8" t="s">
        <v>585</v>
      </c>
      <c r="D176" s="8" t="s">
        <v>586</v>
      </c>
      <c r="E176" s="8" t="s">
        <v>21</v>
      </c>
      <c r="F176" s="8" t="s">
        <v>22</v>
      </c>
      <c r="G176" s="8">
        <v>668</v>
      </c>
      <c r="H176" s="8" t="s">
        <v>23</v>
      </c>
      <c r="I176" s="8" t="s">
        <v>234</v>
      </c>
      <c r="J176" s="8" t="s">
        <v>41</v>
      </c>
      <c r="K176" s="8" t="s">
        <v>26</v>
      </c>
      <c r="L176" s="8" t="s">
        <v>235</v>
      </c>
      <c r="M176" s="8">
        <v>8011</v>
      </c>
      <c r="N176" s="8" t="s">
        <v>28</v>
      </c>
      <c r="O176" s="8" t="s">
        <v>29</v>
      </c>
      <c r="P176" s="8" t="s">
        <v>30</v>
      </c>
      <c r="Q176" s="8" t="s">
        <v>31</v>
      </c>
    </row>
    <row r="177" spans="1:17" ht="15" customHeight="1">
      <c r="A177" s="9">
        <v>176</v>
      </c>
      <c r="B177" s="9" t="s">
        <v>18</v>
      </c>
      <c r="C177" s="9" t="s">
        <v>587</v>
      </c>
      <c r="D177" s="9" t="s">
        <v>588</v>
      </c>
      <c r="E177" s="9" t="s">
        <v>21</v>
      </c>
      <c r="F177" s="9" t="s">
        <v>22</v>
      </c>
      <c r="G177" s="9">
        <v>461</v>
      </c>
      <c r="H177" s="9" t="s">
        <v>23</v>
      </c>
      <c r="I177" s="9" t="s">
        <v>217</v>
      </c>
      <c r="J177" s="9" t="s">
        <v>41</v>
      </c>
      <c r="K177" s="9" t="s">
        <v>26</v>
      </c>
      <c r="L177" s="9" t="s">
        <v>218</v>
      </c>
      <c r="M177" s="9">
        <v>5812</v>
      </c>
      <c r="N177" s="9" t="s">
        <v>28</v>
      </c>
      <c r="O177" s="9" t="s">
        <v>29</v>
      </c>
      <c r="P177" s="9" t="s">
        <v>30</v>
      </c>
      <c r="Q177" s="9" t="s">
        <v>31</v>
      </c>
    </row>
    <row r="178" spans="1:17" ht="15" customHeight="1">
      <c r="A178" s="8">
        <v>177</v>
      </c>
      <c r="B178" s="8" t="s">
        <v>18</v>
      </c>
      <c r="C178" s="8" t="s">
        <v>589</v>
      </c>
      <c r="D178" s="8" t="s">
        <v>590</v>
      </c>
      <c r="E178" s="8" t="s">
        <v>21</v>
      </c>
      <c r="F178" s="8" t="s">
        <v>22</v>
      </c>
      <c r="G178" s="8">
        <v>3500</v>
      </c>
      <c r="H178" s="8" t="s">
        <v>23</v>
      </c>
      <c r="I178" s="8" t="s">
        <v>35</v>
      </c>
      <c r="J178" s="8" t="s">
        <v>36</v>
      </c>
      <c r="K178" s="8" t="s">
        <v>26</v>
      </c>
      <c r="L178" s="8" t="s">
        <v>37</v>
      </c>
      <c r="M178" s="8">
        <v>6012</v>
      </c>
      <c r="N178" s="8" t="s">
        <v>28</v>
      </c>
      <c r="O178" s="8" t="s">
        <v>29</v>
      </c>
      <c r="P178" s="8" t="s">
        <v>30</v>
      </c>
      <c r="Q178" s="8" t="s">
        <v>31</v>
      </c>
    </row>
    <row r="179" spans="1:17" ht="15" customHeight="1">
      <c r="A179" s="9">
        <v>178</v>
      </c>
      <c r="B179" s="9" t="s">
        <v>18</v>
      </c>
      <c r="C179" s="9" t="s">
        <v>591</v>
      </c>
      <c r="D179" s="9" t="s">
        <v>592</v>
      </c>
      <c r="E179" s="9" t="s">
        <v>21</v>
      </c>
      <c r="F179" s="9" t="s">
        <v>22</v>
      </c>
      <c r="G179" s="9">
        <v>556</v>
      </c>
      <c r="H179" s="9" t="s">
        <v>23</v>
      </c>
      <c r="I179" s="9" t="s">
        <v>593</v>
      </c>
      <c r="J179" s="9" t="s">
        <v>331</v>
      </c>
      <c r="K179" s="9" t="s">
        <v>26</v>
      </c>
      <c r="L179" s="9" t="s">
        <v>594</v>
      </c>
      <c r="M179" s="9">
        <v>6011</v>
      </c>
      <c r="N179" s="9" t="s">
        <v>28</v>
      </c>
      <c r="O179" s="9" t="s">
        <v>29</v>
      </c>
      <c r="P179" s="9" t="s">
        <v>30</v>
      </c>
      <c r="Q179" s="9" t="s">
        <v>31</v>
      </c>
    </row>
    <row r="180" spans="1:17" ht="15" customHeight="1">
      <c r="A180" s="8">
        <v>179</v>
      </c>
      <c r="B180" s="8" t="s">
        <v>18</v>
      </c>
      <c r="C180" s="8" t="s">
        <v>595</v>
      </c>
      <c r="D180" s="8" t="s">
        <v>596</v>
      </c>
      <c r="E180" s="8" t="s">
        <v>21</v>
      </c>
      <c r="F180" s="8" t="s">
        <v>22</v>
      </c>
      <c r="G180" s="8">
        <v>1054</v>
      </c>
      <c r="H180" s="8" t="s">
        <v>23</v>
      </c>
      <c r="I180" s="8" t="s">
        <v>498</v>
      </c>
      <c r="J180" s="8" t="s">
        <v>36</v>
      </c>
      <c r="K180" s="8" t="s">
        <v>26</v>
      </c>
      <c r="L180" s="8" t="s">
        <v>499</v>
      </c>
      <c r="M180" s="8">
        <v>4900</v>
      </c>
      <c r="N180" s="8" t="s">
        <v>28</v>
      </c>
      <c r="O180" s="8" t="s">
        <v>29</v>
      </c>
      <c r="P180" s="8" t="s">
        <v>30</v>
      </c>
      <c r="Q180" s="8" t="s">
        <v>31</v>
      </c>
    </row>
    <row r="181" spans="1:17" ht="15" customHeight="1">
      <c r="A181" s="9">
        <v>180</v>
      </c>
      <c r="B181" s="9" t="s">
        <v>18</v>
      </c>
      <c r="C181" s="9" t="s">
        <v>597</v>
      </c>
      <c r="D181" s="9" t="s">
        <v>598</v>
      </c>
      <c r="E181" s="9" t="s">
        <v>21</v>
      </c>
      <c r="F181" s="9" t="s">
        <v>22</v>
      </c>
      <c r="G181" s="9">
        <v>839</v>
      </c>
      <c r="H181" s="9" t="s">
        <v>23</v>
      </c>
      <c r="I181" s="9" t="s">
        <v>78</v>
      </c>
      <c r="J181" s="9" t="s">
        <v>41</v>
      </c>
      <c r="K181" s="9" t="s">
        <v>26</v>
      </c>
      <c r="L181" s="9" t="s">
        <v>79</v>
      </c>
      <c r="M181" s="9">
        <v>7996</v>
      </c>
      <c r="N181" s="9" t="s">
        <v>28</v>
      </c>
      <c r="O181" s="9" t="s">
        <v>29</v>
      </c>
      <c r="P181" s="9" t="s">
        <v>30</v>
      </c>
      <c r="Q181" s="9" t="s">
        <v>31</v>
      </c>
    </row>
    <row r="182" spans="1:17" ht="15" customHeight="1">
      <c r="A182" s="8">
        <v>181</v>
      </c>
      <c r="B182" s="8" t="s">
        <v>18</v>
      </c>
      <c r="C182" s="8" t="s">
        <v>599</v>
      </c>
      <c r="D182" s="8" t="s">
        <v>600</v>
      </c>
      <c r="E182" s="8" t="s">
        <v>21</v>
      </c>
      <c r="F182" s="8" t="s">
        <v>22</v>
      </c>
      <c r="G182" s="8">
        <v>723</v>
      </c>
      <c r="H182" s="8" t="s">
        <v>23</v>
      </c>
      <c r="I182" s="8" t="s">
        <v>212</v>
      </c>
      <c r="J182" s="8" t="s">
        <v>25</v>
      </c>
      <c r="K182" s="8" t="s">
        <v>26</v>
      </c>
      <c r="L182" s="8" t="s">
        <v>213</v>
      </c>
      <c r="M182" s="8">
        <v>5999</v>
      </c>
      <c r="N182" s="8" t="s">
        <v>28</v>
      </c>
      <c r="O182" s="8" t="s">
        <v>29</v>
      </c>
      <c r="P182" s="8" t="s">
        <v>30</v>
      </c>
      <c r="Q182" s="8" t="s">
        <v>31</v>
      </c>
    </row>
    <row r="183" spans="1:17" ht="15" customHeight="1">
      <c r="A183" s="9">
        <v>182</v>
      </c>
      <c r="B183" s="9" t="s">
        <v>18</v>
      </c>
      <c r="C183" s="9" t="s">
        <v>601</v>
      </c>
      <c r="D183" s="9" t="s">
        <v>602</v>
      </c>
      <c r="E183" s="9" t="s">
        <v>21</v>
      </c>
      <c r="F183" s="9" t="s">
        <v>22</v>
      </c>
      <c r="G183" s="9">
        <v>951</v>
      </c>
      <c r="H183" s="9" t="s">
        <v>23</v>
      </c>
      <c r="I183" s="9" t="s">
        <v>180</v>
      </c>
      <c r="J183" s="9" t="s">
        <v>41</v>
      </c>
      <c r="K183" s="9" t="s">
        <v>26</v>
      </c>
      <c r="L183" s="9" t="s">
        <v>181</v>
      </c>
      <c r="M183" s="9">
        <v>5411</v>
      </c>
      <c r="N183" s="9" t="s">
        <v>28</v>
      </c>
      <c r="O183" s="9" t="s">
        <v>29</v>
      </c>
      <c r="P183" s="9" t="s">
        <v>30</v>
      </c>
      <c r="Q183" s="9" t="s">
        <v>31</v>
      </c>
    </row>
    <row r="184" spans="1:17" ht="15" customHeight="1">
      <c r="A184" s="8">
        <v>183</v>
      </c>
      <c r="B184" s="8" t="s">
        <v>18</v>
      </c>
      <c r="C184" s="8" t="s">
        <v>603</v>
      </c>
      <c r="D184" s="8" t="s">
        <v>604</v>
      </c>
      <c r="E184" s="8" t="s">
        <v>21</v>
      </c>
      <c r="F184" s="8" t="s">
        <v>22</v>
      </c>
      <c r="G184" s="8">
        <v>816</v>
      </c>
      <c r="H184" s="8" t="s">
        <v>23</v>
      </c>
      <c r="I184" s="8" t="s">
        <v>56</v>
      </c>
      <c r="J184" s="8" t="s">
        <v>41</v>
      </c>
      <c r="K184" s="8" t="s">
        <v>26</v>
      </c>
      <c r="L184" s="8" t="s">
        <v>57</v>
      </c>
      <c r="M184" s="8">
        <v>5999</v>
      </c>
      <c r="N184" s="8" t="s">
        <v>28</v>
      </c>
      <c r="O184" s="8" t="s">
        <v>29</v>
      </c>
      <c r="P184" s="8" t="s">
        <v>30</v>
      </c>
      <c r="Q184" s="8" t="s">
        <v>31</v>
      </c>
    </row>
    <row r="185" spans="1:17" ht="15" customHeight="1">
      <c r="A185" s="9">
        <v>184</v>
      </c>
      <c r="B185" s="9" t="s">
        <v>18</v>
      </c>
      <c r="C185" s="9" t="s">
        <v>605</v>
      </c>
      <c r="D185" s="9" t="s">
        <v>606</v>
      </c>
      <c r="E185" s="9" t="s">
        <v>21</v>
      </c>
      <c r="F185" s="9" t="s">
        <v>22</v>
      </c>
      <c r="G185" s="9">
        <v>712</v>
      </c>
      <c r="H185" s="9" t="s">
        <v>23</v>
      </c>
      <c r="I185" s="9" t="s">
        <v>52</v>
      </c>
      <c r="J185" s="9" t="s">
        <v>41</v>
      </c>
      <c r="K185" s="9" t="s">
        <v>26</v>
      </c>
      <c r="L185" s="9" t="s">
        <v>53</v>
      </c>
      <c r="M185" s="9">
        <v>5812</v>
      </c>
      <c r="N185" s="9" t="s">
        <v>28</v>
      </c>
      <c r="O185" s="9" t="s">
        <v>29</v>
      </c>
      <c r="P185" s="9" t="s">
        <v>30</v>
      </c>
      <c r="Q185" s="9" t="s">
        <v>31</v>
      </c>
    </row>
    <row r="186" spans="1:17" ht="15" customHeight="1">
      <c r="A186" s="8">
        <v>185</v>
      </c>
      <c r="B186" s="8" t="s">
        <v>18</v>
      </c>
      <c r="C186" s="8" t="s">
        <v>607</v>
      </c>
      <c r="D186" s="8" t="s">
        <v>608</v>
      </c>
      <c r="E186" s="8" t="s">
        <v>21</v>
      </c>
      <c r="F186" s="8" t="s">
        <v>22</v>
      </c>
      <c r="G186" s="8">
        <v>723</v>
      </c>
      <c r="H186" s="8" t="s">
        <v>23</v>
      </c>
      <c r="I186" s="8" t="s">
        <v>318</v>
      </c>
      <c r="J186" s="8" t="s">
        <v>25</v>
      </c>
      <c r="K186" s="8" t="s">
        <v>26</v>
      </c>
      <c r="L186" s="8" t="s">
        <v>319</v>
      </c>
      <c r="M186" s="8">
        <v>5999</v>
      </c>
      <c r="N186" s="8" t="s">
        <v>28</v>
      </c>
      <c r="O186" s="8" t="s">
        <v>29</v>
      </c>
      <c r="P186" s="8" t="s">
        <v>30</v>
      </c>
      <c r="Q186" s="8" t="s">
        <v>31</v>
      </c>
    </row>
    <row r="187" spans="1:17" ht="15" customHeight="1">
      <c r="A187" s="9">
        <v>186</v>
      </c>
      <c r="B187" s="9" t="s">
        <v>18</v>
      </c>
      <c r="C187" s="9" t="s">
        <v>609</v>
      </c>
      <c r="D187" s="9" t="s">
        <v>610</v>
      </c>
      <c r="E187" s="9" t="s">
        <v>21</v>
      </c>
      <c r="F187" s="9" t="s">
        <v>22</v>
      </c>
      <c r="G187" s="9">
        <v>561</v>
      </c>
      <c r="H187" s="9" t="s">
        <v>23</v>
      </c>
      <c r="I187" s="9" t="s">
        <v>123</v>
      </c>
      <c r="J187" s="9" t="s">
        <v>41</v>
      </c>
      <c r="K187" s="9" t="s">
        <v>26</v>
      </c>
      <c r="L187" s="9" t="s">
        <v>124</v>
      </c>
      <c r="M187" s="9">
        <v>5541</v>
      </c>
      <c r="N187" s="9" t="s">
        <v>28</v>
      </c>
      <c r="O187" s="9" t="s">
        <v>29</v>
      </c>
      <c r="P187" s="9" t="s">
        <v>30</v>
      </c>
      <c r="Q187" s="9" t="s">
        <v>31</v>
      </c>
    </row>
    <row r="188" spans="1:17" ht="15" customHeight="1">
      <c r="A188" s="8">
        <v>187</v>
      </c>
      <c r="B188" s="8" t="s">
        <v>18</v>
      </c>
      <c r="C188" s="8" t="s">
        <v>611</v>
      </c>
      <c r="D188" s="8" t="s">
        <v>612</v>
      </c>
      <c r="E188" s="8" t="s">
        <v>21</v>
      </c>
      <c r="F188" s="8" t="s">
        <v>22</v>
      </c>
      <c r="G188" s="8">
        <v>662</v>
      </c>
      <c r="H188" s="8" t="s">
        <v>23</v>
      </c>
      <c r="I188" s="8" t="s">
        <v>46</v>
      </c>
      <c r="J188" s="8" t="s">
        <v>41</v>
      </c>
      <c r="K188" s="8" t="s">
        <v>26</v>
      </c>
      <c r="L188" s="8" t="s">
        <v>47</v>
      </c>
      <c r="M188" s="8">
        <v>8011</v>
      </c>
      <c r="N188" s="8" t="s">
        <v>28</v>
      </c>
      <c r="O188" s="8" t="s">
        <v>29</v>
      </c>
      <c r="P188" s="8" t="s">
        <v>30</v>
      </c>
      <c r="Q188" s="8" t="s">
        <v>31</v>
      </c>
    </row>
    <row r="189" spans="1:17" ht="15" customHeight="1">
      <c r="A189" s="9">
        <v>188</v>
      </c>
      <c r="B189" s="9" t="s">
        <v>18</v>
      </c>
      <c r="C189" s="9" t="s">
        <v>613</v>
      </c>
      <c r="D189" s="9" t="s">
        <v>614</v>
      </c>
      <c r="E189" s="9" t="s">
        <v>21</v>
      </c>
      <c r="F189" s="9" t="s">
        <v>22</v>
      </c>
      <c r="G189" s="9">
        <v>952</v>
      </c>
      <c r="H189" s="9" t="s">
        <v>23</v>
      </c>
      <c r="I189" s="9" t="s">
        <v>180</v>
      </c>
      <c r="J189" s="9" t="s">
        <v>41</v>
      </c>
      <c r="K189" s="9" t="s">
        <v>26</v>
      </c>
      <c r="L189" s="9" t="s">
        <v>181</v>
      </c>
      <c r="M189" s="9">
        <v>5411</v>
      </c>
      <c r="N189" s="9" t="s">
        <v>28</v>
      </c>
      <c r="O189" s="9" t="s">
        <v>29</v>
      </c>
      <c r="P189" s="9" t="s">
        <v>30</v>
      </c>
      <c r="Q189" s="9" t="s">
        <v>31</v>
      </c>
    </row>
    <row r="190" spans="1:17" ht="15" customHeight="1">
      <c r="A190" s="8">
        <v>189</v>
      </c>
      <c r="B190" s="8" t="s">
        <v>18</v>
      </c>
      <c r="C190" s="8" t="s">
        <v>615</v>
      </c>
      <c r="D190" s="8" t="s">
        <v>616</v>
      </c>
      <c r="E190" s="8" t="s">
        <v>21</v>
      </c>
      <c r="F190" s="8" t="s">
        <v>22</v>
      </c>
      <c r="G190" s="8">
        <v>699</v>
      </c>
      <c r="H190" s="8" t="s">
        <v>23</v>
      </c>
      <c r="I190" s="8" t="s">
        <v>86</v>
      </c>
      <c r="J190" s="8" t="s">
        <v>36</v>
      </c>
      <c r="K190" s="8" t="s">
        <v>26</v>
      </c>
      <c r="L190" s="8" t="s">
        <v>87</v>
      </c>
      <c r="M190" s="8">
        <v>4813</v>
      </c>
      <c r="N190" s="8" t="s">
        <v>28</v>
      </c>
      <c r="O190" s="8" t="s">
        <v>29</v>
      </c>
      <c r="P190" s="8" t="s">
        <v>30</v>
      </c>
      <c r="Q190" s="8" t="s">
        <v>31</v>
      </c>
    </row>
    <row r="191" spans="1:17" ht="15" customHeight="1">
      <c r="A191" s="9">
        <v>190</v>
      </c>
      <c r="B191" s="9" t="s">
        <v>18</v>
      </c>
      <c r="C191" s="9" t="s">
        <v>617</v>
      </c>
      <c r="D191" s="9" t="s">
        <v>618</v>
      </c>
      <c r="E191" s="9" t="s">
        <v>21</v>
      </c>
      <c r="F191" s="9" t="s">
        <v>22</v>
      </c>
      <c r="G191" s="9">
        <v>951</v>
      </c>
      <c r="H191" s="9" t="s">
        <v>23</v>
      </c>
      <c r="I191" s="9" t="s">
        <v>180</v>
      </c>
      <c r="J191" s="9" t="s">
        <v>41</v>
      </c>
      <c r="K191" s="9" t="s">
        <v>26</v>
      </c>
      <c r="L191" s="9" t="s">
        <v>181</v>
      </c>
      <c r="M191" s="9">
        <v>5411</v>
      </c>
      <c r="N191" s="9" t="s">
        <v>28</v>
      </c>
      <c r="O191" s="9" t="s">
        <v>29</v>
      </c>
      <c r="P191" s="9" t="s">
        <v>30</v>
      </c>
      <c r="Q191" s="9" t="s">
        <v>31</v>
      </c>
    </row>
    <row r="192" spans="1:17" ht="15" customHeight="1">
      <c r="A192" s="8">
        <v>191</v>
      </c>
      <c r="B192" s="8" t="s">
        <v>18</v>
      </c>
      <c r="C192" s="8" t="s">
        <v>619</v>
      </c>
      <c r="D192" s="8" t="s">
        <v>620</v>
      </c>
      <c r="E192" s="8" t="s">
        <v>21</v>
      </c>
      <c r="F192" s="8" t="s">
        <v>22</v>
      </c>
      <c r="G192" s="8">
        <v>713</v>
      </c>
      <c r="H192" s="8" t="s">
        <v>23</v>
      </c>
      <c r="I192" s="8" t="s">
        <v>340</v>
      </c>
      <c r="J192" s="8" t="s">
        <v>41</v>
      </c>
      <c r="K192" s="8" t="s">
        <v>26</v>
      </c>
      <c r="L192" s="8" t="s">
        <v>341</v>
      </c>
      <c r="M192" s="8">
        <v>5812</v>
      </c>
      <c r="N192" s="8" t="s">
        <v>28</v>
      </c>
      <c r="O192" s="8" t="s">
        <v>29</v>
      </c>
      <c r="P192" s="8" t="s">
        <v>30</v>
      </c>
      <c r="Q192" s="8" t="s">
        <v>31</v>
      </c>
    </row>
    <row r="193" spans="1:17" ht="15" customHeight="1">
      <c r="A193" s="9">
        <v>192</v>
      </c>
      <c r="B193" s="9" t="s">
        <v>18</v>
      </c>
      <c r="C193" s="9" t="s">
        <v>621</v>
      </c>
      <c r="D193" s="9" t="s">
        <v>622</v>
      </c>
      <c r="E193" s="9" t="s">
        <v>21</v>
      </c>
      <c r="F193" s="9" t="s">
        <v>22</v>
      </c>
      <c r="G193" s="9">
        <v>560</v>
      </c>
      <c r="H193" s="9" t="s">
        <v>23</v>
      </c>
      <c r="I193" s="9" t="s">
        <v>111</v>
      </c>
      <c r="J193" s="9" t="s">
        <v>41</v>
      </c>
      <c r="K193" s="9" t="s">
        <v>26</v>
      </c>
      <c r="L193" s="9" t="s">
        <v>112</v>
      </c>
      <c r="M193" s="9">
        <v>5541</v>
      </c>
      <c r="N193" s="9" t="s">
        <v>28</v>
      </c>
      <c r="O193" s="9" t="s">
        <v>29</v>
      </c>
      <c r="P193" s="9" t="s">
        <v>30</v>
      </c>
      <c r="Q193" s="9" t="s">
        <v>31</v>
      </c>
    </row>
    <row r="194" spans="1:17" ht="15" customHeight="1">
      <c r="A194" s="8">
        <v>193</v>
      </c>
      <c r="B194" s="8" t="s">
        <v>18</v>
      </c>
      <c r="C194" s="8" t="s">
        <v>623</v>
      </c>
      <c r="D194" s="8" t="s">
        <v>624</v>
      </c>
      <c r="E194" s="8" t="s">
        <v>94</v>
      </c>
      <c r="F194" s="8" t="s">
        <v>22</v>
      </c>
      <c r="G194" s="8">
        <v>22100</v>
      </c>
      <c r="H194" s="8" t="s">
        <v>23</v>
      </c>
      <c r="I194" s="8" t="s">
        <v>95</v>
      </c>
      <c r="J194" s="8" t="s">
        <v>96</v>
      </c>
      <c r="K194" s="8" t="s">
        <v>97</v>
      </c>
      <c r="L194" s="8" t="s">
        <v>98</v>
      </c>
      <c r="M194" s="8"/>
      <c r="N194" s="8" t="s">
        <v>98</v>
      </c>
      <c r="O194" s="8" t="s">
        <v>625</v>
      </c>
      <c r="P194" s="8" t="s">
        <v>30</v>
      </c>
      <c r="Q194" s="8" t="s">
        <v>31</v>
      </c>
    </row>
    <row r="195" spans="1:17" ht="15" customHeight="1">
      <c r="A195" s="9">
        <v>194</v>
      </c>
      <c r="B195" s="9" t="s">
        <v>18</v>
      </c>
      <c r="C195" s="9" t="s">
        <v>626</v>
      </c>
      <c r="D195" s="9" t="s">
        <v>627</v>
      </c>
      <c r="E195" s="9" t="s">
        <v>21</v>
      </c>
      <c r="F195" s="9" t="s">
        <v>22</v>
      </c>
      <c r="G195" s="9">
        <v>1428</v>
      </c>
      <c r="H195" s="9" t="s">
        <v>23</v>
      </c>
      <c r="I195" s="9" t="s">
        <v>262</v>
      </c>
      <c r="J195" s="9" t="s">
        <v>25</v>
      </c>
      <c r="K195" s="9" t="s">
        <v>26</v>
      </c>
      <c r="L195" s="9" t="s">
        <v>263</v>
      </c>
      <c r="M195" s="9">
        <v>8299</v>
      </c>
      <c r="N195" s="9" t="s">
        <v>28</v>
      </c>
      <c r="O195" s="9" t="s">
        <v>29</v>
      </c>
      <c r="P195" s="9" t="s">
        <v>30</v>
      </c>
      <c r="Q195" s="9" t="s">
        <v>31</v>
      </c>
    </row>
    <row r="196" spans="1:17" ht="15" customHeight="1">
      <c r="A196" s="8">
        <v>195</v>
      </c>
      <c r="B196" s="8" t="s">
        <v>18</v>
      </c>
      <c r="C196" s="8" t="s">
        <v>628</v>
      </c>
      <c r="D196" s="8" t="s">
        <v>629</v>
      </c>
      <c r="E196" s="8" t="s">
        <v>21</v>
      </c>
      <c r="F196" s="8" t="s">
        <v>22</v>
      </c>
      <c r="G196" s="8">
        <v>559</v>
      </c>
      <c r="H196" s="8" t="s">
        <v>23</v>
      </c>
      <c r="I196" s="8" t="s">
        <v>391</v>
      </c>
      <c r="J196" s="8" t="s">
        <v>331</v>
      </c>
      <c r="K196" s="8" t="s">
        <v>26</v>
      </c>
      <c r="L196" s="8" t="s">
        <v>392</v>
      </c>
      <c r="M196" s="8">
        <v>6011</v>
      </c>
      <c r="N196" s="8" t="s">
        <v>28</v>
      </c>
      <c r="O196" s="8" t="s">
        <v>29</v>
      </c>
      <c r="P196" s="8" t="s">
        <v>30</v>
      </c>
      <c r="Q196" s="8" t="s">
        <v>31</v>
      </c>
    </row>
    <row r="197" spans="1:17" ht="15" customHeight="1">
      <c r="A197" s="9">
        <v>196</v>
      </c>
      <c r="B197" s="9" t="s">
        <v>18</v>
      </c>
      <c r="C197" s="9" t="s">
        <v>630</v>
      </c>
      <c r="D197" s="9" t="s">
        <v>631</v>
      </c>
      <c r="E197" s="9" t="s">
        <v>21</v>
      </c>
      <c r="F197" s="9" t="s">
        <v>22</v>
      </c>
      <c r="G197" s="9">
        <v>3500</v>
      </c>
      <c r="H197" s="9" t="s">
        <v>23</v>
      </c>
      <c r="I197" s="9" t="s">
        <v>35</v>
      </c>
      <c r="J197" s="9" t="s">
        <v>36</v>
      </c>
      <c r="K197" s="9" t="s">
        <v>26</v>
      </c>
      <c r="L197" s="9" t="s">
        <v>37</v>
      </c>
      <c r="M197" s="9">
        <v>6012</v>
      </c>
      <c r="N197" s="9" t="s">
        <v>28</v>
      </c>
      <c r="O197" s="9" t="s">
        <v>29</v>
      </c>
      <c r="P197" s="9" t="s">
        <v>30</v>
      </c>
      <c r="Q197" s="9" t="s">
        <v>31</v>
      </c>
    </row>
    <row r="198" spans="1:17" ht="15" customHeight="1">
      <c r="A198" s="8">
        <v>197</v>
      </c>
      <c r="B198" s="8" t="s">
        <v>18</v>
      </c>
      <c r="C198" s="8" t="s">
        <v>632</v>
      </c>
      <c r="D198" s="8" t="s">
        <v>633</v>
      </c>
      <c r="E198" s="8" t="s">
        <v>21</v>
      </c>
      <c r="F198" s="8" t="s">
        <v>22</v>
      </c>
      <c r="G198" s="8">
        <v>1145</v>
      </c>
      <c r="H198" s="8" t="s">
        <v>23</v>
      </c>
      <c r="I198" s="8" t="s">
        <v>90</v>
      </c>
      <c r="J198" s="8" t="s">
        <v>36</v>
      </c>
      <c r="K198" s="8" t="s">
        <v>26</v>
      </c>
      <c r="L198" s="8" t="s">
        <v>91</v>
      </c>
      <c r="M198" s="8">
        <v>4900</v>
      </c>
      <c r="N198" s="8" t="s">
        <v>28</v>
      </c>
      <c r="O198" s="8" t="s">
        <v>29</v>
      </c>
      <c r="P198" s="8" t="s">
        <v>30</v>
      </c>
      <c r="Q198" s="8" t="s">
        <v>31</v>
      </c>
    </row>
    <row r="199" spans="1:17" ht="15" customHeight="1">
      <c r="A199" s="9">
        <v>198</v>
      </c>
      <c r="B199" s="9" t="s">
        <v>18</v>
      </c>
      <c r="C199" s="9" t="s">
        <v>634</v>
      </c>
      <c r="D199" s="9" t="s">
        <v>635</v>
      </c>
      <c r="E199" s="9" t="s">
        <v>21</v>
      </c>
      <c r="F199" s="9" t="s">
        <v>22</v>
      </c>
      <c r="G199" s="9">
        <v>701</v>
      </c>
      <c r="H199" s="9" t="s">
        <v>23</v>
      </c>
      <c r="I199" s="9" t="s">
        <v>82</v>
      </c>
      <c r="J199" s="9" t="s">
        <v>41</v>
      </c>
      <c r="K199" s="9" t="s">
        <v>26</v>
      </c>
      <c r="L199" s="9" t="s">
        <v>83</v>
      </c>
      <c r="M199" s="9">
        <v>5411</v>
      </c>
      <c r="N199" s="9" t="s">
        <v>28</v>
      </c>
      <c r="O199" s="9" t="s">
        <v>29</v>
      </c>
      <c r="P199" s="9" t="s">
        <v>30</v>
      </c>
      <c r="Q199" s="9" t="s">
        <v>31</v>
      </c>
    </row>
    <row r="200" spans="1:17" ht="15" customHeight="1">
      <c r="A200" s="8">
        <v>199</v>
      </c>
      <c r="B200" s="8" t="s">
        <v>18</v>
      </c>
      <c r="C200" s="8" t="s">
        <v>636</v>
      </c>
      <c r="D200" s="8" t="s">
        <v>637</v>
      </c>
      <c r="E200" s="8" t="s">
        <v>21</v>
      </c>
      <c r="F200" s="8" t="s">
        <v>22</v>
      </c>
      <c r="G200" s="8">
        <v>1517</v>
      </c>
      <c r="H200" s="8" t="s">
        <v>23</v>
      </c>
      <c r="I200" s="8" t="s">
        <v>24</v>
      </c>
      <c r="J200" s="8" t="s">
        <v>25</v>
      </c>
      <c r="K200" s="8" t="s">
        <v>26</v>
      </c>
      <c r="L200" s="8" t="s">
        <v>27</v>
      </c>
      <c r="M200" s="8">
        <v>8299</v>
      </c>
      <c r="N200" s="8" t="s">
        <v>28</v>
      </c>
      <c r="O200" s="8" t="s">
        <v>29</v>
      </c>
      <c r="P200" s="8" t="s">
        <v>30</v>
      </c>
      <c r="Q200" s="8" t="s">
        <v>31</v>
      </c>
    </row>
    <row r="201" spans="1:17" ht="15" customHeight="1">
      <c r="A201" s="9">
        <v>200</v>
      </c>
      <c r="B201" s="9" t="s">
        <v>18</v>
      </c>
      <c r="C201" s="9" t="s">
        <v>638</v>
      </c>
      <c r="D201" s="9" t="s">
        <v>639</v>
      </c>
      <c r="E201" s="9" t="s">
        <v>21</v>
      </c>
      <c r="F201" s="9" t="s">
        <v>22</v>
      </c>
      <c r="G201" s="9">
        <v>522</v>
      </c>
      <c r="H201" s="9" t="s">
        <v>23</v>
      </c>
      <c r="I201" s="9" t="s">
        <v>123</v>
      </c>
      <c r="J201" s="9" t="s">
        <v>41</v>
      </c>
      <c r="K201" s="9" t="s">
        <v>26</v>
      </c>
      <c r="L201" s="9" t="s">
        <v>124</v>
      </c>
      <c r="M201" s="9">
        <v>5541</v>
      </c>
      <c r="N201" s="9" t="s">
        <v>28</v>
      </c>
      <c r="O201" s="9" t="s">
        <v>29</v>
      </c>
      <c r="P201" s="9" t="s">
        <v>30</v>
      </c>
      <c r="Q201" s="9" t="s">
        <v>31</v>
      </c>
    </row>
    <row r="202" spans="1:17" ht="15" customHeight="1">
      <c r="A202" s="8">
        <v>201</v>
      </c>
      <c r="B202" s="8" t="s">
        <v>18</v>
      </c>
      <c r="C202" s="8" t="s">
        <v>640</v>
      </c>
      <c r="D202" s="8" t="s">
        <v>641</v>
      </c>
      <c r="E202" s="8" t="s">
        <v>21</v>
      </c>
      <c r="F202" s="8" t="s">
        <v>22</v>
      </c>
      <c r="G202" s="8">
        <v>1559</v>
      </c>
      <c r="H202" s="8" t="s">
        <v>23</v>
      </c>
      <c r="I202" s="8" t="s">
        <v>212</v>
      </c>
      <c r="J202" s="8" t="s">
        <v>25</v>
      </c>
      <c r="K202" s="8" t="s">
        <v>26</v>
      </c>
      <c r="L202" s="8" t="s">
        <v>213</v>
      </c>
      <c r="M202" s="8">
        <v>5999</v>
      </c>
      <c r="N202" s="8" t="s">
        <v>28</v>
      </c>
      <c r="O202" s="8" t="s">
        <v>29</v>
      </c>
      <c r="P202" s="8" t="s">
        <v>30</v>
      </c>
      <c r="Q202" s="8" t="s">
        <v>31</v>
      </c>
    </row>
    <row r="203" spans="1:17" ht="15" customHeight="1">
      <c r="A203" s="9">
        <v>202</v>
      </c>
      <c r="B203" s="9" t="s">
        <v>18</v>
      </c>
      <c r="C203" s="9" t="s">
        <v>642</v>
      </c>
      <c r="D203" s="9" t="s">
        <v>643</v>
      </c>
      <c r="E203" s="9" t="s">
        <v>21</v>
      </c>
      <c r="F203" s="9" t="s">
        <v>22</v>
      </c>
      <c r="G203" s="9">
        <v>600</v>
      </c>
      <c r="H203" s="9" t="s">
        <v>23</v>
      </c>
      <c r="I203" s="9" t="s">
        <v>254</v>
      </c>
      <c r="J203" s="9" t="s">
        <v>41</v>
      </c>
      <c r="K203" s="9" t="s">
        <v>26</v>
      </c>
      <c r="L203" s="9" t="s">
        <v>255</v>
      </c>
      <c r="M203" s="9">
        <v>5812</v>
      </c>
      <c r="N203" s="9" t="s">
        <v>28</v>
      </c>
      <c r="O203" s="9" t="s">
        <v>29</v>
      </c>
      <c r="P203" s="9" t="s">
        <v>30</v>
      </c>
      <c r="Q203" s="9" t="s">
        <v>31</v>
      </c>
    </row>
    <row r="204" spans="1:17" ht="15" customHeight="1">
      <c r="A204" s="8">
        <v>203</v>
      </c>
      <c r="B204" s="8" t="s">
        <v>18</v>
      </c>
      <c r="C204" s="8" t="s">
        <v>644</v>
      </c>
      <c r="D204" s="8" t="s">
        <v>645</v>
      </c>
      <c r="E204" s="8" t="s">
        <v>21</v>
      </c>
      <c r="F204" s="8" t="s">
        <v>22</v>
      </c>
      <c r="G204" s="8">
        <v>658</v>
      </c>
      <c r="H204" s="8" t="s">
        <v>23</v>
      </c>
      <c r="I204" s="8" t="s">
        <v>186</v>
      </c>
      <c r="J204" s="8" t="s">
        <v>41</v>
      </c>
      <c r="K204" s="8" t="s">
        <v>26</v>
      </c>
      <c r="L204" s="8" t="s">
        <v>187</v>
      </c>
      <c r="M204" s="8">
        <v>5999</v>
      </c>
      <c r="N204" s="8" t="s">
        <v>28</v>
      </c>
      <c r="O204" s="8" t="s">
        <v>29</v>
      </c>
      <c r="P204" s="8" t="s">
        <v>30</v>
      </c>
      <c r="Q204" s="8" t="s">
        <v>31</v>
      </c>
    </row>
    <row r="205" spans="1:17" ht="15" customHeight="1">
      <c r="A205" s="9">
        <v>204</v>
      </c>
      <c r="B205" s="9" t="s">
        <v>18</v>
      </c>
      <c r="C205" s="9" t="s">
        <v>646</v>
      </c>
      <c r="D205" s="9" t="s">
        <v>647</v>
      </c>
      <c r="E205" s="9" t="s">
        <v>21</v>
      </c>
      <c r="F205" s="9" t="s">
        <v>22</v>
      </c>
      <c r="G205" s="9">
        <v>614</v>
      </c>
      <c r="H205" s="9" t="s">
        <v>23</v>
      </c>
      <c r="I205" s="9" t="s">
        <v>56</v>
      </c>
      <c r="J205" s="9" t="s">
        <v>41</v>
      </c>
      <c r="K205" s="9" t="s">
        <v>26</v>
      </c>
      <c r="L205" s="9" t="s">
        <v>57</v>
      </c>
      <c r="M205" s="9">
        <v>5999</v>
      </c>
      <c r="N205" s="9" t="s">
        <v>28</v>
      </c>
      <c r="O205" s="9" t="s">
        <v>29</v>
      </c>
      <c r="P205" s="9" t="s">
        <v>30</v>
      </c>
      <c r="Q205" s="9" t="s">
        <v>31</v>
      </c>
    </row>
    <row r="206" spans="1:17" ht="15" customHeight="1">
      <c r="A206" s="8">
        <v>205</v>
      </c>
      <c r="B206" s="8" t="s">
        <v>18</v>
      </c>
      <c r="C206" s="8" t="s">
        <v>648</v>
      </c>
      <c r="D206" s="8" t="s">
        <v>649</v>
      </c>
      <c r="E206" s="8" t="s">
        <v>21</v>
      </c>
      <c r="F206" s="8" t="s">
        <v>22</v>
      </c>
      <c r="G206" s="8">
        <v>522</v>
      </c>
      <c r="H206" s="8" t="s">
        <v>23</v>
      </c>
      <c r="I206" s="8" t="s">
        <v>70</v>
      </c>
      <c r="J206" s="8" t="s">
        <v>41</v>
      </c>
      <c r="K206" s="8" t="s">
        <v>26</v>
      </c>
      <c r="L206" s="8" t="s">
        <v>71</v>
      </c>
      <c r="M206" s="8">
        <v>5541</v>
      </c>
      <c r="N206" s="8" t="s">
        <v>28</v>
      </c>
      <c r="O206" s="8" t="s">
        <v>29</v>
      </c>
      <c r="P206" s="8" t="s">
        <v>30</v>
      </c>
      <c r="Q206" s="8" t="s">
        <v>31</v>
      </c>
    </row>
    <row r="207" spans="1:17" ht="15" customHeight="1">
      <c r="A207" s="9">
        <v>206</v>
      </c>
      <c r="B207" s="9" t="s">
        <v>18</v>
      </c>
      <c r="C207" s="9" t="s">
        <v>650</v>
      </c>
      <c r="D207" s="9" t="s">
        <v>651</v>
      </c>
      <c r="E207" s="9" t="s">
        <v>21</v>
      </c>
      <c r="F207" s="9" t="s">
        <v>22</v>
      </c>
      <c r="G207" s="9">
        <v>701</v>
      </c>
      <c r="H207" s="9" t="s">
        <v>23</v>
      </c>
      <c r="I207" s="9" t="s">
        <v>379</v>
      </c>
      <c r="J207" s="9" t="s">
        <v>41</v>
      </c>
      <c r="K207" s="9" t="s">
        <v>26</v>
      </c>
      <c r="L207" s="9" t="s">
        <v>380</v>
      </c>
      <c r="M207" s="9">
        <v>5411</v>
      </c>
      <c r="N207" s="9" t="s">
        <v>28</v>
      </c>
      <c r="O207" s="9" t="s">
        <v>29</v>
      </c>
      <c r="P207" s="9" t="s">
        <v>30</v>
      </c>
      <c r="Q207" s="9" t="s">
        <v>31</v>
      </c>
    </row>
    <row r="208" spans="1:17" ht="15" customHeight="1">
      <c r="A208" s="8">
        <v>207</v>
      </c>
      <c r="B208" s="8" t="s">
        <v>18</v>
      </c>
      <c r="C208" s="8" t="s">
        <v>652</v>
      </c>
      <c r="D208" s="8" t="s">
        <v>653</v>
      </c>
      <c r="E208" s="8" t="s">
        <v>21</v>
      </c>
      <c r="F208" s="8" t="s">
        <v>22</v>
      </c>
      <c r="G208" s="8">
        <v>600</v>
      </c>
      <c r="H208" s="8" t="s">
        <v>23</v>
      </c>
      <c r="I208" s="8" t="s">
        <v>40</v>
      </c>
      <c r="J208" s="8" t="s">
        <v>41</v>
      </c>
      <c r="K208" s="8" t="s">
        <v>26</v>
      </c>
      <c r="L208" s="8" t="s">
        <v>42</v>
      </c>
      <c r="M208" s="8">
        <v>5812</v>
      </c>
      <c r="N208" s="8" t="s">
        <v>28</v>
      </c>
      <c r="O208" s="8" t="s">
        <v>29</v>
      </c>
      <c r="P208" s="8" t="s">
        <v>30</v>
      </c>
      <c r="Q208" s="8" t="s">
        <v>31</v>
      </c>
    </row>
    <row r="209" spans="1:17" ht="15" customHeight="1">
      <c r="A209" s="9">
        <v>208</v>
      </c>
      <c r="B209" s="9" t="s">
        <v>18</v>
      </c>
      <c r="C209" s="9" t="s">
        <v>654</v>
      </c>
      <c r="D209" s="9" t="s">
        <v>655</v>
      </c>
      <c r="E209" s="9" t="s">
        <v>21</v>
      </c>
      <c r="F209" s="9" t="s">
        <v>22</v>
      </c>
      <c r="G209" s="9">
        <v>705</v>
      </c>
      <c r="H209" s="9" t="s">
        <v>23</v>
      </c>
      <c r="I209" s="9" t="s">
        <v>174</v>
      </c>
      <c r="J209" s="9" t="s">
        <v>36</v>
      </c>
      <c r="K209" s="9" t="s">
        <v>26</v>
      </c>
      <c r="L209" s="9" t="s">
        <v>175</v>
      </c>
      <c r="M209" s="9">
        <v>4813</v>
      </c>
      <c r="N209" s="9" t="s">
        <v>28</v>
      </c>
      <c r="O209" s="9" t="s">
        <v>29</v>
      </c>
      <c r="P209" s="9" t="s">
        <v>30</v>
      </c>
      <c r="Q209" s="9" t="s">
        <v>31</v>
      </c>
    </row>
    <row r="210" spans="1:17" ht="15" customHeight="1">
      <c r="A210" s="8">
        <v>209</v>
      </c>
      <c r="B210" s="8" t="s">
        <v>18</v>
      </c>
      <c r="C210" s="8" t="s">
        <v>656</v>
      </c>
      <c r="D210" s="8" t="s">
        <v>657</v>
      </c>
      <c r="E210" s="8" t="s">
        <v>21</v>
      </c>
      <c r="F210" s="8" t="s">
        <v>22</v>
      </c>
      <c r="G210" s="8">
        <v>658</v>
      </c>
      <c r="H210" s="8" t="s">
        <v>23</v>
      </c>
      <c r="I210" s="8" t="s">
        <v>363</v>
      </c>
      <c r="J210" s="8" t="s">
        <v>41</v>
      </c>
      <c r="K210" s="8" t="s">
        <v>26</v>
      </c>
      <c r="L210" s="8" t="s">
        <v>364</v>
      </c>
      <c r="M210" s="8">
        <v>5999</v>
      </c>
      <c r="N210" s="8" t="s">
        <v>28</v>
      </c>
      <c r="O210" s="8" t="s">
        <v>29</v>
      </c>
      <c r="P210" s="8" t="s">
        <v>30</v>
      </c>
      <c r="Q210" s="8" t="s">
        <v>31</v>
      </c>
    </row>
    <row r="211" spans="1:17" ht="15" customHeight="1">
      <c r="A211" s="9">
        <v>210</v>
      </c>
      <c r="B211" s="9" t="s">
        <v>18</v>
      </c>
      <c r="C211" s="9" t="s">
        <v>658</v>
      </c>
      <c r="D211" s="9" t="s">
        <v>659</v>
      </c>
      <c r="E211" s="9" t="s">
        <v>94</v>
      </c>
      <c r="F211" s="9" t="s">
        <v>22</v>
      </c>
      <c r="G211" s="9">
        <v>22000</v>
      </c>
      <c r="H211" s="9" t="s">
        <v>23</v>
      </c>
      <c r="I211" s="9" t="s">
        <v>95</v>
      </c>
      <c r="J211" s="9" t="s">
        <v>96</v>
      </c>
      <c r="K211" s="9" t="s">
        <v>97</v>
      </c>
      <c r="L211" s="9" t="s">
        <v>98</v>
      </c>
      <c r="M211" s="9"/>
      <c r="N211" s="9" t="s">
        <v>98</v>
      </c>
      <c r="O211" s="9" t="s">
        <v>660</v>
      </c>
      <c r="P211" s="9" t="s">
        <v>30</v>
      </c>
      <c r="Q211" s="9" t="s">
        <v>31</v>
      </c>
    </row>
    <row r="212" spans="1:17" ht="15" customHeight="1">
      <c r="A212" s="8">
        <v>211</v>
      </c>
      <c r="B212" s="8" t="s">
        <v>18</v>
      </c>
      <c r="C212" s="8" t="s">
        <v>661</v>
      </c>
      <c r="D212" s="8" t="s">
        <v>662</v>
      </c>
      <c r="E212" s="8" t="s">
        <v>21</v>
      </c>
      <c r="F212" s="8" t="s">
        <v>22</v>
      </c>
      <c r="G212" s="8">
        <v>701</v>
      </c>
      <c r="H212" s="8" t="s">
        <v>23</v>
      </c>
      <c r="I212" s="8" t="s">
        <v>244</v>
      </c>
      <c r="J212" s="8" t="s">
        <v>41</v>
      </c>
      <c r="K212" s="8" t="s">
        <v>26</v>
      </c>
      <c r="L212" s="8" t="s">
        <v>245</v>
      </c>
      <c r="M212" s="8">
        <v>5411</v>
      </c>
      <c r="N212" s="8" t="s">
        <v>28</v>
      </c>
      <c r="O212" s="8" t="s">
        <v>29</v>
      </c>
      <c r="P212" s="8" t="s">
        <v>30</v>
      </c>
      <c r="Q212" s="8" t="s">
        <v>31</v>
      </c>
    </row>
    <row r="213" spans="1:17" ht="15" customHeight="1">
      <c r="A213" s="9">
        <v>212</v>
      </c>
      <c r="B213" s="9" t="s">
        <v>18</v>
      </c>
      <c r="C213" s="9" t="s">
        <v>663</v>
      </c>
      <c r="D213" s="9" t="s">
        <v>664</v>
      </c>
      <c r="E213" s="9" t="s">
        <v>21</v>
      </c>
      <c r="F213" s="9" t="s">
        <v>22</v>
      </c>
      <c r="G213" s="9">
        <v>701</v>
      </c>
      <c r="H213" s="9" t="s">
        <v>23</v>
      </c>
      <c r="I213" s="9" t="s">
        <v>82</v>
      </c>
      <c r="J213" s="9" t="s">
        <v>41</v>
      </c>
      <c r="K213" s="9" t="s">
        <v>26</v>
      </c>
      <c r="L213" s="9" t="s">
        <v>83</v>
      </c>
      <c r="M213" s="9">
        <v>5411</v>
      </c>
      <c r="N213" s="9" t="s">
        <v>28</v>
      </c>
      <c r="O213" s="9" t="s">
        <v>29</v>
      </c>
      <c r="P213" s="9" t="s">
        <v>30</v>
      </c>
      <c r="Q213" s="9" t="s">
        <v>31</v>
      </c>
    </row>
    <row r="214" spans="1:17" ht="15" customHeight="1">
      <c r="A214" s="8">
        <v>213</v>
      </c>
      <c r="B214" s="8" t="s">
        <v>18</v>
      </c>
      <c r="C214" s="8" t="s">
        <v>665</v>
      </c>
      <c r="D214" s="8" t="s">
        <v>666</v>
      </c>
      <c r="E214" s="8" t="s">
        <v>21</v>
      </c>
      <c r="F214" s="8" t="s">
        <v>22</v>
      </c>
      <c r="G214" s="8">
        <v>737</v>
      </c>
      <c r="H214" s="8" t="s">
        <v>23</v>
      </c>
      <c r="I214" s="8" t="s">
        <v>506</v>
      </c>
      <c r="J214" s="8" t="s">
        <v>41</v>
      </c>
      <c r="K214" s="8" t="s">
        <v>26</v>
      </c>
      <c r="L214" s="8" t="s">
        <v>507</v>
      </c>
      <c r="M214" s="8">
        <v>7996</v>
      </c>
      <c r="N214" s="8" t="s">
        <v>28</v>
      </c>
      <c r="O214" s="8" t="s">
        <v>29</v>
      </c>
      <c r="P214" s="8" t="s">
        <v>30</v>
      </c>
      <c r="Q214" s="8" t="s">
        <v>31</v>
      </c>
    </row>
    <row r="215" spans="1:17" ht="15" customHeight="1">
      <c r="A215" s="9">
        <v>214</v>
      </c>
      <c r="B215" s="9" t="s">
        <v>18</v>
      </c>
      <c r="C215" s="9" t="s">
        <v>667</v>
      </c>
      <c r="D215" s="9" t="s">
        <v>668</v>
      </c>
      <c r="E215" s="9" t="s">
        <v>21</v>
      </c>
      <c r="F215" s="9" t="s">
        <v>22</v>
      </c>
      <c r="G215" s="9">
        <v>684</v>
      </c>
      <c r="H215" s="9" t="s">
        <v>23</v>
      </c>
      <c r="I215" s="9" t="s">
        <v>127</v>
      </c>
      <c r="J215" s="9" t="s">
        <v>25</v>
      </c>
      <c r="K215" s="9" t="s">
        <v>26</v>
      </c>
      <c r="L215" s="9" t="s">
        <v>128</v>
      </c>
      <c r="M215" s="9">
        <v>5999</v>
      </c>
      <c r="N215" s="9" t="s">
        <v>28</v>
      </c>
      <c r="O215" s="9" t="s">
        <v>29</v>
      </c>
      <c r="P215" s="9" t="s">
        <v>30</v>
      </c>
      <c r="Q215" s="9" t="s">
        <v>31</v>
      </c>
    </row>
    <row r="216" spans="1:17" ht="15" customHeight="1">
      <c r="A216" s="8">
        <v>215</v>
      </c>
      <c r="B216" s="8" t="s">
        <v>18</v>
      </c>
      <c r="C216" s="8" t="s">
        <v>669</v>
      </c>
      <c r="D216" s="8" t="s">
        <v>670</v>
      </c>
      <c r="E216" s="8" t="s">
        <v>21</v>
      </c>
      <c r="F216" s="8" t="s">
        <v>22</v>
      </c>
      <c r="G216" s="8">
        <v>3500</v>
      </c>
      <c r="H216" s="8" t="s">
        <v>23</v>
      </c>
      <c r="I216" s="8" t="s">
        <v>35</v>
      </c>
      <c r="J216" s="8" t="s">
        <v>36</v>
      </c>
      <c r="K216" s="8" t="s">
        <v>26</v>
      </c>
      <c r="L216" s="8" t="s">
        <v>37</v>
      </c>
      <c r="M216" s="8">
        <v>6012</v>
      </c>
      <c r="N216" s="8" t="s">
        <v>28</v>
      </c>
      <c r="O216" s="8" t="s">
        <v>29</v>
      </c>
      <c r="P216" s="8" t="s">
        <v>30</v>
      </c>
      <c r="Q216" s="8" t="s">
        <v>31</v>
      </c>
    </row>
    <row r="217" spans="1:17" ht="15" customHeight="1">
      <c r="A217" s="9">
        <v>216</v>
      </c>
      <c r="B217" s="9" t="s">
        <v>18</v>
      </c>
      <c r="C217" s="9" t="s">
        <v>671</v>
      </c>
      <c r="D217" s="9" t="s">
        <v>672</v>
      </c>
      <c r="E217" s="9" t="s">
        <v>21</v>
      </c>
      <c r="F217" s="9" t="s">
        <v>22</v>
      </c>
      <c r="G217" s="9">
        <v>569</v>
      </c>
      <c r="H217" s="9" t="s">
        <v>23</v>
      </c>
      <c r="I217" s="9" t="s">
        <v>74</v>
      </c>
      <c r="J217" s="9" t="s">
        <v>41</v>
      </c>
      <c r="K217" s="9" t="s">
        <v>26</v>
      </c>
      <c r="L217" s="9" t="s">
        <v>75</v>
      </c>
      <c r="M217" s="9">
        <v>5812</v>
      </c>
      <c r="N217" s="9" t="s">
        <v>28</v>
      </c>
      <c r="O217" s="9" t="s">
        <v>29</v>
      </c>
      <c r="P217" s="9" t="s">
        <v>30</v>
      </c>
      <c r="Q217" s="9" t="s">
        <v>31</v>
      </c>
    </row>
    <row r="218" spans="1:17" ht="15" customHeight="1">
      <c r="A218" s="8">
        <v>217</v>
      </c>
      <c r="B218" s="8" t="s">
        <v>18</v>
      </c>
      <c r="C218" s="8" t="s">
        <v>673</v>
      </c>
      <c r="D218" s="8" t="s">
        <v>674</v>
      </c>
      <c r="E218" s="8" t="s">
        <v>21</v>
      </c>
      <c r="F218" s="8" t="s">
        <v>22</v>
      </c>
      <c r="G218" s="8">
        <v>1355</v>
      </c>
      <c r="H218" s="8" t="s">
        <v>23</v>
      </c>
      <c r="I218" s="8" t="s">
        <v>198</v>
      </c>
      <c r="J218" s="8" t="s">
        <v>36</v>
      </c>
      <c r="K218" s="8" t="s">
        <v>26</v>
      </c>
      <c r="L218" s="8" t="s">
        <v>199</v>
      </c>
      <c r="M218" s="8">
        <v>4900</v>
      </c>
      <c r="N218" s="8" t="s">
        <v>28</v>
      </c>
      <c r="O218" s="8" t="s">
        <v>29</v>
      </c>
      <c r="P218" s="8" t="s">
        <v>30</v>
      </c>
      <c r="Q218" s="8" t="s">
        <v>31</v>
      </c>
    </row>
    <row r="219" spans="1:17" ht="15" customHeight="1">
      <c r="A219" s="9">
        <v>218</v>
      </c>
      <c r="B219" s="9" t="s">
        <v>18</v>
      </c>
      <c r="C219" s="9" t="s">
        <v>675</v>
      </c>
      <c r="D219" s="9" t="s">
        <v>676</v>
      </c>
      <c r="E219" s="9" t="s">
        <v>21</v>
      </c>
      <c r="F219" s="9" t="s">
        <v>22</v>
      </c>
      <c r="G219" s="9">
        <v>929</v>
      </c>
      <c r="H219" s="9" t="s">
        <v>23</v>
      </c>
      <c r="I219" s="9" t="s">
        <v>244</v>
      </c>
      <c r="J219" s="9" t="s">
        <v>41</v>
      </c>
      <c r="K219" s="9" t="s">
        <v>26</v>
      </c>
      <c r="L219" s="9" t="s">
        <v>245</v>
      </c>
      <c r="M219" s="9">
        <v>5411</v>
      </c>
      <c r="N219" s="9" t="s">
        <v>28</v>
      </c>
      <c r="O219" s="9" t="s">
        <v>29</v>
      </c>
      <c r="P219" s="9" t="s">
        <v>30</v>
      </c>
      <c r="Q219" s="9" t="s">
        <v>31</v>
      </c>
    </row>
    <row r="220" spans="1:17" ht="15" customHeight="1">
      <c r="A220" s="8">
        <v>219</v>
      </c>
      <c r="B220" s="8" t="s">
        <v>18</v>
      </c>
      <c r="C220" s="8" t="s">
        <v>677</v>
      </c>
      <c r="D220" s="8" t="s">
        <v>678</v>
      </c>
      <c r="E220" s="8" t="s">
        <v>21</v>
      </c>
      <c r="F220" s="8" t="s">
        <v>22</v>
      </c>
      <c r="G220" s="8">
        <v>1799</v>
      </c>
      <c r="H220" s="8" t="s">
        <v>23</v>
      </c>
      <c r="I220" s="8" t="s">
        <v>262</v>
      </c>
      <c r="J220" s="8" t="s">
        <v>25</v>
      </c>
      <c r="K220" s="8" t="s">
        <v>26</v>
      </c>
      <c r="L220" s="8" t="s">
        <v>263</v>
      </c>
      <c r="M220" s="8">
        <v>8299</v>
      </c>
      <c r="N220" s="8" t="s">
        <v>28</v>
      </c>
      <c r="O220" s="8" t="s">
        <v>29</v>
      </c>
      <c r="P220" s="8" t="s">
        <v>30</v>
      </c>
      <c r="Q220" s="8" t="s">
        <v>31</v>
      </c>
    </row>
    <row r="221" spans="1:17" ht="15" customHeight="1">
      <c r="A221" s="9">
        <v>220</v>
      </c>
      <c r="B221" s="9" t="s">
        <v>18</v>
      </c>
      <c r="C221" s="9" t="s">
        <v>679</v>
      </c>
      <c r="D221" s="9" t="s">
        <v>680</v>
      </c>
      <c r="E221" s="9" t="s">
        <v>21</v>
      </c>
      <c r="F221" s="9" t="s">
        <v>22</v>
      </c>
      <c r="G221" s="9">
        <v>570</v>
      </c>
      <c r="H221" s="9" t="s">
        <v>23</v>
      </c>
      <c r="I221" s="9" t="s">
        <v>52</v>
      </c>
      <c r="J221" s="9" t="s">
        <v>41</v>
      </c>
      <c r="K221" s="9" t="s">
        <v>26</v>
      </c>
      <c r="L221" s="9" t="s">
        <v>53</v>
      </c>
      <c r="M221" s="9">
        <v>5812</v>
      </c>
      <c r="N221" s="9" t="s">
        <v>28</v>
      </c>
      <c r="O221" s="9" t="s">
        <v>29</v>
      </c>
      <c r="P221" s="9" t="s">
        <v>30</v>
      </c>
      <c r="Q221" s="9" t="s">
        <v>31</v>
      </c>
    </row>
    <row r="222" spans="1:17" ht="15" customHeight="1">
      <c r="A222" s="8">
        <v>221</v>
      </c>
      <c r="B222" s="8" t="s">
        <v>18</v>
      </c>
      <c r="C222" s="8" t="s">
        <v>681</v>
      </c>
      <c r="D222" s="8" t="s">
        <v>682</v>
      </c>
      <c r="E222" s="8" t="s">
        <v>21</v>
      </c>
      <c r="F222" s="8" t="s">
        <v>22</v>
      </c>
      <c r="G222" s="8">
        <v>929</v>
      </c>
      <c r="H222" s="8" t="s">
        <v>23</v>
      </c>
      <c r="I222" s="8" t="s">
        <v>102</v>
      </c>
      <c r="J222" s="8" t="s">
        <v>41</v>
      </c>
      <c r="K222" s="8" t="s">
        <v>26</v>
      </c>
      <c r="L222" s="8" t="s">
        <v>103</v>
      </c>
      <c r="M222" s="8">
        <v>5411</v>
      </c>
      <c r="N222" s="8" t="s">
        <v>28</v>
      </c>
      <c r="O222" s="8" t="s">
        <v>29</v>
      </c>
      <c r="P222" s="8" t="s">
        <v>30</v>
      </c>
      <c r="Q222" s="8" t="s">
        <v>31</v>
      </c>
    </row>
    <row r="223" spans="1:17" ht="15" customHeight="1">
      <c r="A223" s="9">
        <v>222</v>
      </c>
      <c r="B223" s="9" t="s">
        <v>18</v>
      </c>
      <c r="C223" s="9" t="s">
        <v>683</v>
      </c>
      <c r="D223" s="9" t="s">
        <v>684</v>
      </c>
      <c r="E223" s="9" t="s">
        <v>21</v>
      </c>
      <c r="F223" s="9" t="s">
        <v>22</v>
      </c>
      <c r="G223" s="9">
        <v>665</v>
      </c>
      <c r="H223" s="9" t="s">
        <v>23</v>
      </c>
      <c r="I223" s="9" t="s">
        <v>174</v>
      </c>
      <c r="J223" s="9" t="s">
        <v>36</v>
      </c>
      <c r="K223" s="9" t="s">
        <v>26</v>
      </c>
      <c r="L223" s="9" t="s">
        <v>175</v>
      </c>
      <c r="M223" s="9">
        <v>4813</v>
      </c>
      <c r="N223" s="9" t="s">
        <v>28</v>
      </c>
      <c r="O223" s="9" t="s">
        <v>29</v>
      </c>
      <c r="P223" s="9" t="s">
        <v>30</v>
      </c>
      <c r="Q223" s="9" t="s">
        <v>31</v>
      </c>
    </row>
    <row r="224" spans="1:17" ht="15" customHeight="1">
      <c r="A224" s="8">
        <v>223</v>
      </c>
      <c r="B224" s="8" t="s">
        <v>18</v>
      </c>
      <c r="C224" s="8" t="s">
        <v>685</v>
      </c>
      <c r="D224" s="8" t="s">
        <v>686</v>
      </c>
      <c r="E224" s="8" t="s">
        <v>21</v>
      </c>
      <c r="F224" s="8" t="s">
        <v>22</v>
      </c>
      <c r="G224" s="8">
        <v>683</v>
      </c>
      <c r="H224" s="8" t="s">
        <v>23</v>
      </c>
      <c r="I224" s="8" t="s">
        <v>159</v>
      </c>
      <c r="J224" s="8" t="s">
        <v>25</v>
      </c>
      <c r="K224" s="8" t="s">
        <v>26</v>
      </c>
      <c r="L224" s="8" t="s">
        <v>160</v>
      </c>
      <c r="M224" s="8">
        <v>5999</v>
      </c>
      <c r="N224" s="8" t="s">
        <v>28</v>
      </c>
      <c r="O224" s="8" t="s">
        <v>29</v>
      </c>
      <c r="P224" s="8" t="s">
        <v>30</v>
      </c>
      <c r="Q224" s="8" t="s">
        <v>31</v>
      </c>
    </row>
    <row r="225" spans="1:17" ht="15" customHeight="1">
      <c r="A225" s="9">
        <v>224</v>
      </c>
      <c r="B225" s="9" t="s">
        <v>18</v>
      </c>
      <c r="C225" s="9" t="s">
        <v>687</v>
      </c>
      <c r="D225" s="9" t="s">
        <v>688</v>
      </c>
      <c r="E225" s="9" t="s">
        <v>21</v>
      </c>
      <c r="F225" s="9" t="s">
        <v>22</v>
      </c>
      <c r="G225" s="9">
        <v>929</v>
      </c>
      <c r="H225" s="9" t="s">
        <v>23</v>
      </c>
      <c r="I225" s="9" t="s">
        <v>180</v>
      </c>
      <c r="J225" s="9" t="s">
        <v>41</v>
      </c>
      <c r="K225" s="9" t="s">
        <v>26</v>
      </c>
      <c r="L225" s="9" t="s">
        <v>181</v>
      </c>
      <c r="M225" s="9">
        <v>5411</v>
      </c>
      <c r="N225" s="9" t="s">
        <v>28</v>
      </c>
      <c r="O225" s="9" t="s">
        <v>29</v>
      </c>
      <c r="P225" s="9" t="s">
        <v>30</v>
      </c>
      <c r="Q225" s="9" t="s">
        <v>31</v>
      </c>
    </row>
    <row r="226" spans="1:17" ht="15" customHeight="1">
      <c r="A226" s="8">
        <v>225</v>
      </c>
      <c r="B226" s="8" t="s">
        <v>18</v>
      </c>
      <c r="C226" s="8" t="s">
        <v>689</v>
      </c>
      <c r="D226" s="8" t="s">
        <v>690</v>
      </c>
      <c r="E226" s="8" t="s">
        <v>21</v>
      </c>
      <c r="F226" s="8" t="s">
        <v>22</v>
      </c>
      <c r="G226" s="8">
        <v>783</v>
      </c>
      <c r="H226" s="8" t="s">
        <v>23</v>
      </c>
      <c r="I226" s="8" t="s">
        <v>56</v>
      </c>
      <c r="J226" s="8" t="s">
        <v>41</v>
      </c>
      <c r="K226" s="8" t="s">
        <v>26</v>
      </c>
      <c r="L226" s="8" t="s">
        <v>57</v>
      </c>
      <c r="M226" s="8">
        <v>5999</v>
      </c>
      <c r="N226" s="8" t="s">
        <v>28</v>
      </c>
      <c r="O226" s="8" t="s">
        <v>29</v>
      </c>
      <c r="P226" s="8" t="s">
        <v>30</v>
      </c>
      <c r="Q226" s="8" t="s">
        <v>31</v>
      </c>
    </row>
    <row r="227" spans="1:17" ht="15" customHeight="1">
      <c r="A227" s="9">
        <v>226</v>
      </c>
      <c r="B227" s="9" t="s">
        <v>18</v>
      </c>
      <c r="C227" s="9" t="s">
        <v>691</v>
      </c>
      <c r="D227" s="9" t="s">
        <v>692</v>
      </c>
      <c r="E227" s="9" t="s">
        <v>21</v>
      </c>
      <c r="F227" s="9" t="s">
        <v>22</v>
      </c>
      <c r="G227" s="9">
        <v>666</v>
      </c>
      <c r="H227" s="9" t="s">
        <v>23</v>
      </c>
      <c r="I227" s="9" t="s">
        <v>363</v>
      </c>
      <c r="J227" s="9" t="s">
        <v>41</v>
      </c>
      <c r="K227" s="9" t="s">
        <v>26</v>
      </c>
      <c r="L227" s="9" t="s">
        <v>364</v>
      </c>
      <c r="M227" s="9">
        <v>5999</v>
      </c>
      <c r="N227" s="9" t="s">
        <v>28</v>
      </c>
      <c r="O227" s="9" t="s">
        <v>29</v>
      </c>
      <c r="P227" s="9" t="s">
        <v>30</v>
      </c>
      <c r="Q227" s="9" t="s">
        <v>31</v>
      </c>
    </row>
    <row r="228" spans="1:17" ht="15" customHeight="1">
      <c r="A228" s="8">
        <v>227</v>
      </c>
      <c r="B228" s="8" t="s">
        <v>18</v>
      </c>
      <c r="C228" s="8" t="s">
        <v>693</v>
      </c>
      <c r="D228" s="8" t="s">
        <v>694</v>
      </c>
      <c r="E228" s="8" t="s">
        <v>21</v>
      </c>
      <c r="F228" s="8" t="s">
        <v>22</v>
      </c>
      <c r="G228" s="8">
        <v>672</v>
      </c>
      <c r="H228" s="8" t="s">
        <v>23</v>
      </c>
      <c r="I228" s="8" t="s">
        <v>695</v>
      </c>
      <c r="J228" s="8" t="s">
        <v>41</v>
      </c>
      <c r="K228" s="8" t="s">
        <v>26</v>
      </c>
      <c r="L228" s="8" t="s">
        <v>696</v>
      </c>
      <c r="M228" s="8">
        <v>7996</v>
      </c>
      <c r="N228" s="8" t="s">
        <v>28</v>
      </c>
      <c r="O228" s="8" t="s">
        <v>29</v>
      </c>
      <c r="P228" s="8" t="s">
        <v>30</v>
      </c>
      <c r="Q228" s="8" t="s">
        <v>31</v>
      </c>
    </row>
    <row r="229" spans="1:17" ht="15" customHeight="1">
      <c r="A229" s="9">
        <v>228</v>
      </c>
      <c r="B229" s="9" t="s">
        <v>18</v>
      </c>
      <c r="C229" s="9" t="s">
        <v>697</v>
      </c>
      <c r="D229" s="9" t="s">
        <v>698</v>
      </c>
      <c r="E229" s="9" t="s">
        <v>94</v>
      </c>
      <c r="F229" s="9" t="s">
        <v>22</v>
      </c>
      <c r="G229" s="9">
        <v>22300</v>
      </c>
      <c r="H229" s="9" t="s">
        <v>23</v>
      </c>
      <c r="I229" s="9" t="s">
        <v>95</v>
      </c>
      <c r="J229" s="9" t="s">
        <v>96</v>
      </c>
      <c r="K229" s="9" t="s">
        <v>97</v>
      </c>
      <c r="L229" s="9" t="s">
        <v>98</v>
      </c>
      <c r="M229" s="9"/>
      <c r="N229" s="9" t="s">
        <v>98</v>
      </c>
      <c r="O229" s="9" t="s">
        <v>699</v>
      </c>
      <c r="P229" s="9" t="s">
        <v>30</v>
      </c>
      <c r="Q229" s="9" t="s">
        <v>31</v>
      </c>
    </row>
    <row r="230" spans="1:17" ht="15" customHeight="1">
      <c r="A230" s="8">
        <v>229</v>
      </c>
      <c r="B230" s="8" t="s">
        <v>18</v>
      </c>
      <c r="C230" s="8" t="s">
        <v>700</v>
      </c>
      <c r="D230" s="8" t="s">
        <v>701</v>
      </c>
      <c r="E230" s="8" t="s">
        <v>21</v>
      </c>
      <c r="F230" s="8" t="s">
        <v>22</v>
      </c>
      <c r="G230" s="8">
        <v>1201</v>
      </c>
      <c r="H230" s="8" t="s">
        <v>23</v>
      </c>
      <c r="I230" s="8" t="s">
        <v>70</v>
      </c>
      <c r="J230" s="8" t="s">
        <v>41</v>
      </c>
      <c r="K230" s="8" t="s">
        <v>26</v>
      </c>
      <c r="L230" s="8" t="s">
        <v>71</v>
      </c>
      <c r="M230" s="8">
        <v>5541</v>
      </c>
      <c r="N230" s="8" t="s">
        <v>28</v>
      </c>
      <c r="O230" s="8" t="s">
        <v>29</v>
      </c>
      <c r="P230" s="8" t="s">
        <v>30</v>
      </c>
      <c r="Q230" s="8" t="s">
        <v>31</v>
      </c>
    </row>
    <row r="231" spans="1:17" ht="15" customHeight="1">
      <c r="A231" s="9">
        <v>230</v>
      </c>
      <c r="B231" s="9" t="s">
        <v>18</v>
      </c>
      <c r="C231" s="9" t="s">
        <v>702</v>
      </c>
      <c r="D231" s="9" t="s">
        <v>703</v>
      </c>
      <c r="E231" s="9" t="s">
        <v>21</v>
      </c>
      <c r="F231" s="9" t="s">
        <v>22</v>
      </c>
      <c r="G231" s="9">
        <v>666</v>
      </c>
      <c r="H231" s="9" t="s">
        <v>23</v>
      </c>
      <c r="I231" s="9" t="s">
        <v>108</v>
      </c>
      <c r="J231" s="9" t="s">
        <v>41</v>
      </c>
      <c r="K231" s="9" t="s">
        <v>26</v>
      </c>
      <c r="L231" s="9" t="s">
        <v>57</v>
      </c>
      <c r="M231" s="9">
        <v>5999</v>
      </c>
      <c r="N231" s="9" t="s">
        <v>28</v>
      </c>
      <c r="O231" s="9" t="s">
        <v>29</v>
      </c>
      <c r="P231" s="9" t="s">
        <v>30</v>
      </c>
      <c r="Q231" s="9" t="s">
        <v>31</v>
      </c>
    </row>
    <row r="232" spans="1:17" ht="15" customHeight="1">
      <c r="A232" s="8">
        <v>231</v>
      </c>
      <c r="B232" s="8" t="s">
        <v>18</v>
      </c>
      <c r="C232" s="8" t="s">
        <v>704</v>
      </c>
      <c r="D232" s="8" t="s">
        <v>705</v>
      </c>
      <c r="E232" s="8" t="s">
        <v>21</v>
      </c>
      <c r="F232" s="8" t="s">
        <v>22</v>
      </c>
      <c r="G232" s="8">
        <v>827</v>
      </c>
      <c r="H232" s="8" t="s">
        <v>23</v>
      </c>
      <c r="I232" s="8" t="s">
        <v>127</v>
      </c>
      <c r="J232" s="8" t="s">
        <v>25</v>
      </c>
      <c r="K232" s="8" t="s">
        <v>26</v>
      </c>
      <c r="L232" s="8" t="s">
        <v>128</v>
      </c>
      <c r="M232" s="8">
        <v>5999</v>
      </c>
      <c r="N232" s="8" t="s">
        <v>28</v>
      </c>
      <c r="O232" s="8" t="s">
        <v>29</v>
      </c>
      <c r="P232" s="8" t="s">
        <v>30</v>
      </c>
      <c r="Q232" s="8" t="s">
        <v>31</v>
      </c>
    </row>
    <row r="233" spans="1:17" ht="15" customHeight="1">
      <c r="A233" s="9">
        <v>232</v>
      </c>
      <c r="B233" s="9" t="s">
        <v>18</v>
      </c>
      <c r="C233" s="9" t="s">
        <v>706</v>
      </c>
      <c r="D233" s="9" t="s">
        <v>707</v>
      </c>
      <c r="E233" s="9" t="s">
        <v>21</v>
      </c>
      <c r="F233" s="9" t="s">
        <v>22</v>
      </c>
      <c r="G233" s="9">
        <v>3500</v>
      </c>
      <c r="H233" s="9" t="s">
        <v>23</v>
      </c>
      <c r="I233" s="9" t="s">
        <v>35</v>
      </c>
      <c r="J233" s="9" t="s">
        <v>36</v>
      </c>
      <c r="K233" s="9" t="s">
        <v>26</v>
      </c>
      <c r="L233" s="9" t="s">
        <v>37</v>
      </c>
      <c r="M233" s="9">
        <v>6012</v>
      </c>
      <c r="N233" s="9" t="s">
        <v>28</v>
      </c>
      <c r="O233" s="9" t="s">
        <v>29</v>
      </c>
      <c r="P233" s="9" t="s">
        <v>30</v>
      </c>
      <c r="Q233" s="9" t="s">
        <v>31</v>
      </c>
    </row>
    <row r="234" spans="1:17" ht="15" customHeight="1">
      <c r="A234" s="8">
        <v>233</v>
      </c>
      <c r="B234" s="8" t="s">
        <v>18</v>
      </c>
      <c r="C234" s="8" t="s">
        <v>708</v>
      </c>
      <c r="D234" s="8" t="s">
        <v>709</v>
      </c>
      <c r="E234" s="8" t="s">
        <v>21</v>
      </c>
      <c r="F234" s="8" t="s">
        <v>22</v>
      </c>
      <c r="G234" s="8">
        <v>790</v>
      </c>
      <c r="H234" s="8" t="s">
        <v>23</v>
      </c>
      <c r="I234" s="8" t="s">
        <v>143</v>
      </c>
      <c r="J234" s="8" t="s">
        <v>41</v>
      </c>
      <c r="K234" s="8" t="s">
        <v>26</v>
      </c>
      <c r="L234" s="8" t="s">
        <v>144</v>
      </c>
      <c r="M234" s="8">
        <v>7996</v>
      </c>
      <c r="N234" s="8" t="s">
        <v>28</v>
      </c>
      <c r="O234" s="8" t="s">
        <v>29</v>
      </c>
      <c r="P234" s="8" t="s">
        <v>30</v>
      </c>
      <c r="Q234" s="8" t="s">
        <v>31</v>
      </c>
    </row>
    <row r="235" spans="1:17" ht="15" customHeight="1">
      <c r="A235" s="9">
        <v>234</v>
      </c>
      <c r="B235" s="9" t="s">
        <v>18</v>
      </c>
      <c r="C235" s="9" t="s">
        <v>710</v>
      </c>
      <c r="D235" s="9" t="s">
        <v>711</v>
      </c>
      <c r="E235" s="9" t="s">
        <v>21</v>
      </c>
      <c r="F235" s="9" t="s">
        <v>22</v>
      </c>
      <c r="G235" s="9">
        <v>1034</v>
      </c>
      <c r="H235" s="9" t="s">
        <v>23</v>
      </c>
      <c r="I235" s="9" t="s">
        <v>70</v>
      </c>
      <c r="J235" s="9" t="s">
        <v>41</v>
      </c>
      <c r="K235" s="9" t="s">
        <v>26</v>
      </c>
      <c r="L235" s="9" t="s">
        <v>71</v>
      </c>
      <c r="M235" s="9">
        <v>5541</v>
      </c>
      <c r="N235" s="9" t="s">
        <v>28</v>
      </c>
      <c r="O235" s="9" t="s">
        <v>29</v>
      </c>
      <c r="P235" s="9" t="s">
        <v>30</v>
      </c>
      <c r="Q235" s="9" t="s">
        <v>31</v>
      </c>
    </row>
    <row r="236" spans="1:17" ht="15" customHeight="1">
      <c r="A236" s="8">
        <v>235</v>
      </c>
      <c r="B236" s="8" t="s">
        <v>18</v>
      </c>
      <c r="C236" s="8" t="s">
        <v>712</v>
      </c>
      <c r="D236" s="8" t="s">
        <v>713</v>
      </c>
      <c r="E236" s="8" t="s">
        <v>21</v>
      </c>
      <c r="F236" s="8" t="s">
        <v>22</v>
      </c>
      <c r="G236" s="8">
        <v>1209</v>
      </c>
      <c r="H236" s="8" t="s">
        <v>23</v>
      </c>
      <c r="I236" s="8" t="s">
        <v>244</v>
      </c>
      <c r="J236" s="8" t="s">
        <v>41</v>
      </c>
      <c r="K236" s="8" t="s">
        <v>26</v>
      </c>
      <c r="L236" s="8" t="s">
        <v>245</v>
      </c>
      <c r="M236" s="8">
        <v>5411</v>
      </c>
      <c r="N236" s="8" t="s">
        <v>28</v>
      </c>
      <c r="O236" s="8" t="s">
        <v>29</v>
      </c>
      <c r="P236" s="8" t="s">
        <v>30</v>
      </c>
      <c r="Q236" s="8" t="s">
        <v>31</v>
      </c>
    </row>
    <row r="237" spans="1:17" ht="15" customHeight="1">
      <c r="A237" s="9">
        <v>236</v>
      </c>
      <c r="B237" s="9" t="s">
        <v>18</v>
      </c>
      <c r="C237" s="9" t="s">
        <v>714</v>
      </c>
      <c r="D237" s="9" t="s">
        <v>715</v>
      </c>
      <c r="E237" s="9" t="s">
        <v>21</v>
      </c>
      <c r="F237" s="9" t="s">
        <v>22</v>
      </c>
      <c r="G237" s="9">
        <v>1289</v>
      </c>
      <c r="H237" s="9" t="s">
        <v>23</v>
      </c>
      <c r="I237" s="9" t="s">
        <v>198</v>
      </c>
      <c r="J237" s="9" t="s">
        <v>36</v>
      </c>
      <c r="K237" s="9" t="s">
        <v>26</v>
      </c>
      <c r="L237" s="9" t="s">
        <v>199</v>
      </c>
      <c r="M237" s="9">
        <v>4900</v>
      </c>
      <c r="N237" s="9" t="s">
        <v>28</v>
      </c>
      <c r="O237" s="9" t="s">
        <v>29</v>
      </c>
      <c r="P237" s="9" t="s">
        <v>30</v>
      </c>
      <c r="Q237" s="9" t="s">
        <v>31</v>
      </c>
    </row>
    <row r="238" spans="1:17" ht="15" customHeight="1">
      <c r="A238" s="8">
        <v>237</v>
      </c>
      <c r="B238" s="8" t="s">
        <v>18</v>
      </c>
      <c r="C238" s="8" t="s">
        <v>716</v>
      </c>
      <c r="D238" s="8" t="s">
        <v>717</v>
      </c>
      <c r="E238" s="8" t="s">
        <v>21</v>
      </c>
      <c r="F238" s="8" t="s">
        <v>22</v>
      </c>
      <c r="G238" s="8">
        <v>1208</v>
      </c>
      <c r="H238" s="8" t="s">
        <v>23</v>
      </c>
      <c r="I238" s="8" t="s">
        <v>82</v>
      </c>
      <c r="J238" s="8" t="s">
        <v>41</v>
      </c>
      <c r="K238" s="8" t="s">
        <v>26</v>
      </c>
      <c r="L238" s="8" t="s">
        <v>83</v>
      </c>
      <c r="M238" s="8">
        <v>5411</v>
      </c>
      <c r="N238" s="8" t="s">
        <v>28</v>
      </c>
      <c r="O238" s="8" t="s">
        <v>29</v>
      </c>
      <c r="P238" s="8" t="s">
        <v>30</v>
      </c>
      <c r="Q238" s="8" t="s">
        <v>31</v>
      </c>
    </row>
    <row r="239" spans="1:17" ht="15" customHeight="1">
      <c r="A239" s="9">
        <v>238</v>
      </c>
      <c r="B239" s="9" t="s">
        <v>18</v>
      </c>
      <c r="C239" s="9" t="s">
        <v>718</v>
      </c>
      <c r="D239" s="9" t="s">
        <v>719</v>
      </c>
      <c r="E239" s="9" t="s">
        <v>21</v>
      </c>
      <c r="F239" s="9" t="s">
        <v>22</v>
      </c>
      <c r="G239" s="9">
        <v>1261</v>
      </c>
      <c r="H239" s="9" t="s">
        <v>23</v>
      </c>
      <c r="I239" s="9" t="s">
        <v>363</v>
      </c>
      <c r="J239" s="9" t="s">
        <v>41</v>
      </c>
      <c r="K239" s="9" t="s">
        <v>26</v>
      </c>
      <c r="L239" s="9" t="s">
        <v>364</v>
      </c>
      <c r="M239" s="9">
        <v>5999</v>
      </c>
      <c r="N239" s="9" t="s">
        <v>28</v>
      </c>
      <c r="O239" s="9" t="s">
        <v>29</v>
      </c>
      <c r="P239" s="9" t="s">
        <v>30</v>
      </c>
      <c r="Q239" s="9" t="s">
        <v>31</v>
      </c>
    </row>
    <row r="240" spans="1:17" ht="15" customHeight="1">
      <c r="A240" s="8">
        <v>239</v>
      </c>
      <c r="B240" s="8" t="s">
        <v>18</v>
      </c>
      <c r="C240" s="8" t="s">
        <v>720</v>
      </c>
      <c r="D240" s="8" t="s">
        <v>721</v>
      </c>
      <c r="E240" s="8" t="s">
        <v>21</v>
      </c>
      <c r="F240" s="8" t="s">
        <v>22</v>
      </c>
      <c r="G240" s="8">
        <v>591</v>
      </c>
      <c r="H240" s="8" t="s">
        <v>23</v>
      </c>
      <c r="I240" s="8" t="s">
        <v>351</v>
      </c>
      <c r="J240" s="8" t="s">
        <v>36</v>
      </c>
      <c r="K240" s="8" t="s">
        <v>26</v>
      </c>
      <c r="L240" s="8" t="s">
        <v>352</v>
      </c>
      <c r="M240" s="8">
        <v>4813</v>
      </c>
      <c r="N240" s="8" t="s">
        <v>28</v>
      </c>
      <c r="O240" s="8" t="s">
        <v>29</v>
      </c>
      <c r="P240" s="8" t="s">
        <v>30</v>
      </c>
      <c r="Q240" s="8" t="s">
        <v>31</v>
      </c>
    </row>
    <row r="241" spans="1:17" ht="15" customHeight="1">
      <c r="A241" s="9">
        <v>240</v>
      </c>
      <c r="B241" s="9" t="s">
        <v>18</v>
      </c>
      <c r="C241" s="9" t="s">
        <v>722</v>
      </c>
      <c r="D241" s="9" t="s">
        <v>723</v>
      </c>
      <c r="E241" s="9" t="s">
        <v>21</v>
      </c>
      <c r="F241" s="9" t="s">
        <v>22</v>
      </c>
      <c r="G241" s="9">
        <v>1703</v>
      </c>
      <c r="H241" s="9" t="s">
        <v>23</v>
      </c>
      <c r="I241" s="9" t="s">
        <v>119</v>
      </c>
      <c r="J241" s="9" t="s">
        <v>25</v>
      </c>
      <c r="K241" s="9" t="s">
        <v>26</v>
      </c>
      <c r="L241" s="9" t="s">
        <v>120</v>
      </c>
      <c r="M241" s="9">
        <v>8299</v>
      </c>
      <c r="N241" s="9" t="s">
        <v>28</v>
      </c>
      <c r="O241" s="9" t="s">
        <v>29</v>
      </c>
      <c r="P241" s="9" t="s">
        <v>30</v>
      </c>
      <c r="Q241" s="9" t="s">
        <v>31</v>
      </c>
    </row>
    <row r="242" spans="1:17" ht="15" customHeight="1">
      <c r="A242" s="8">
        <v>241</v>
      </c>
      <c r="B242" s="8" t="s">
        <v>18</v>
      </c>
      <c r="C242" s="8" t="s">
        <v>724</v>
      </c>
      <c r="D242" s="8" t="s">
        <v>725</v>
      </c>
      <c r="E242" s="8" t="s">
        <v>21</v>
      </c>
      <c r="F242" s="8" t="s">
        <v>22</v>
      </c>
      <c r="G242" s="8">
        <v>719</v>
      </c>
      <c r="H242" s="8" t="s">
        <v>23</v>
      </c>
      <c r="I242" s="8" t="s">
        <v>574</v>
      </c>
      <c r="J242" s="8" t="s">
        <v>41</v>
      </c>
      <c r="K242" s="8" t="s">
        <v>26</v>
      </c>
      <c r="L242" s="8" t="s">
        <v>575</v>
      </c>
      <c r="M242" s="8">
        <v>5812</v>
      </c>
      <c r="N242" s="8" t="s">
        <v>28</v>
      </c>
      <c r="O242" s="8" t="s">
        <v>29</v>
      </c>
      <c r="P242" s="8" t="s">
        <v>30</v>
      </c>
      <c r="Q242" s="8" t="s">
        <v>31</v>
      </c>
    </row>
    <row r="243" spans="1:17" ht="15" customHeight="1">
      <c r="A243" s="9">
        <v>242</v>
      </c>
      <c r="B243" s="9" t="s">
        <v>18</v>
      </c>
      <c r="C243" s="9" t="s">
        <v>726</v>
      </c>
      <c r="D243" s="9" t="s">
        <v>727</v>
      </c>
      <c r="E243" s="9" t="s">
        <v>21</v>
      </c>
      <c r="F243" s="9" t="s">
        <v>22</v>
      </c>
      <c r="G243" s="9">
        <v>827</v>
      </c>
      <c r="H243" s="9" t="s">
        <v>23</v>
      </c>
      <c r="I243" s="9" t="s">
        <v>127</v>
      </c>
      <c r="J243" s="9" t="s">
        <v>25</v>
      </c>
      <c r="K243" s="9" t="s">
        <v>26</v>
      </c>
      <c r="L243" s="9" t="s">
        <v>128</v>
      </c>
      <c r="M243" s="9">
        <v>5999</v>
      </c>
      <c r="N243" s="9" t="s">
        <v>28</v>
      </c>
      <c r="O243" s="9" t="s">
        <v>29</v>
      </c>
      <c r="P243" s="9" t="s">
        <v>30</v>
      </c>
      <c r="Q243" s="9" t="s">
        <v>31</v>
      </c>
    </row>
    <row r="244" spans="1:17" ht="15" customHeight="1">
      <c r="A244" s="8">
        <v>243</v>
      </c>
      <c r="B244" s="8" t="s">
        <v>18</v>
      </c>
      <c r="C244" s="8" t="s">
        <v>728</v>
      </c>
      <c r="D244" s="8" t="s">
        <v>729</v>
      </c>
      <c r="E244" s="8" t="s">
        <v>94</v>
      </c>
      <c r="F244" s="8" t="s">
        <v>22</v>
      </c>
      <c r="G244" s="8">
        <v>22000</v>
      </c>
      <c r="H244" s="8" t="s">
        <v>23</v>
      </c>
      <c r="I244" s="8" t="s">
        <v>95</v>
      </c>
      <c r="J244" s="8" t="s">
        <v>96</v>
      </c>
      <c r="K244" s="8" t="s">
        <v>97</v>
      </c>
      <c r="L244" s="8" t="s">
        <v>98</v>
      </c>
      <c r="M244" s="8"/>
      <c r="N244" s="8" t="s">
        <v>98</v>
      </c>
      <c r="O244" s="8" t="s">
        <v>730</v>
      </c>
      <c r="P244" s="8" t="s">
        <v>30</v>
      </c>
      <c r="Q244" s="8" t="s">
        <v>31</v>
      </c>
    </row>
    <row r="245" spans="1:17" ht="15" customHeight="1">
      <c r="A245" s="9">
        <v>244</v>
      </c>
      <c r="B245" s="9" t="s">
        <v>18</v>
      </c>
      <c r="C245" s="9" t="s">
        <v>731</v>
      </c>
      <c r="D245" s="9" t="s">
        <v>732</v>
      </c>
      <c r="E245" s="9" t="s">
        <v>21</v>
      </c>
      <c r="F245" s="9" t="s">
        <v>22</v>
      </c>
      <c r="G245" s="9">
        <v>1123</v>
      </c>
      <c r="H245" s="9" t="s">
        <v>23</v>
      </c>
      <c r="I245" s="9" t="s">
        <v>56</v>
      </c>
      <c r="J245" s="9" t="s">
        <v>41</v>
      </c>
      <c r="K245" s="9" t="s">
        <v>26</v>
      </c>
      <c r="L245" s="9" t="s">
        <v>57</v>
      </c>
      <c r="M245" s="9">
        <v>5999</v>
      </c>
      <c r="N245" s="9" t="s">
        <v>28</v>
      </c>
      <c r="O245" s="9" t="s">
        <v>29</v>
      </c>
      <c r="P245" s="9" t="s">
        <v>30</v>
      </c>
      <c r="Q245" s="9" t="s">
        <v>31</v>
      </c>
    </row>
    <row r="246" spans="1:17" ht="15" customHeight="1">
      <c r="A246" s="8">
        <v>245</v>
      </c>
      <c r="B246" s="8" t="s">
        <v>18</v>
      </c>
      <c r="C246" s="8" t="s">
        <v>733</v>
      </c>
      <c r="D246" s="8" t="s">
        <v>734</v>
      </c>
      <c r="E246" s="8" t="s">
        <v>21</v>
      </c>
      <c r="F246" s="8" t="s">
        <v>22</v>
      </c>
      <c r="G246" s="8">
        <v>719</v>
      </c>
      <c r="H246" s="8" t="s">
        <v>23</v>
      </c>
      <c r="I246" s="8" t="s">
        <v>52</v>
      </c>
      <c r="J246" s="8" t="s">
        <v>41</v>
      </c>
      <c r="K246" s="8" t="s">
        <v>26</v>
      </c>
      <c r="L246" s="8" t="s">
        <v>53</v>
      </c>
      <c r="M246" s="8">
        <v>5812</v>
      </c>
      <c r="N246" s="8" t="s">
        <v>28</v>
      </c>
      <c r="O246" s="8" t="s">
        <v>29</v>
      </c>
      <c r="P246" s="8" t="s">
        <v>30</v>
      </c>
      <c r="Q246" s="8" t="s">
        <v>31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6"/>
  <sheetViews>
    <sheetView topLeftCell="J1" zoomScaleNormal="100" workbookViewId="0">
      <pane ySplit="1" topLeftCell="A23" activePane="bottomLeft" state="frozen"/>
      <selection pane="bottomLeft" activeCell="T41" sqref="T41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4" style="5" customWidth="1"/>
    <col min="13" max="13" width="22" style="5" customWidth="1"/>
    <col min="14" max="14" width="18" style="5" customWidth="1"/>
    <col min="15" max="15" width="26" style="5" customWidth="1"/>
    <col min="16" max="16" width="32" style="5" customWidth="1"/>
    <col min="17" max="17" width="23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16</v>
      </c>
      <c r="Q1" s="6" t="s">
        <v>15</v>
      </c>
      <c r="R1" s="7"/>
      <c r="S1" s="4" t="s">
        <v>735</v>
      </c>
      <c r="T1" s="4"/>
      <c r="U1" s="4"/>
      <c r="V1" s="4"/>
      <c r="W1" s="4"/>
    </row>
    <row r="2" spans="1:23" ht="13.5" customHeight="1">
      <c r="A2" s="8">
        <v>1</v>
      </c>
      <c r="B2" s="8" t="s">
        <v>736</v>
      </c>
      <c r="C2" s="8" t="s">
        <v>737</v>
      </c>
      <c r="D2" s="8" t="s">
        <v>738</v>
      </c>
      <c r="E2" s="8" t="s">
        <v>21</v>
      </c>
      <c r="F2" s="8" t="s">
        <v>22</v>
      </c>
      <c r="G2" s="8">
        <v>1200</v>
      </c>
      <c r="H2" s="8" t="s">
        <v>23</v>
      </c>
      <c r="I2" s="8" t="s">
        <v>739</v>
      </c>
      <c r="J2" s="8" t="s">
        <v>36</v>
      </c>
      <c r="K2" s="8" t="s">
        <v>26</v>
      </c>
      <c r="L2" s="8" t="s">
        <v>740</v>
      </c>
      <c r="M2" s="8">
        <v>6012</v>
      </c>
      <c r="N2" s="8" t="s">
        <v>741</v>
      </c>
      <c r="O2" s="8" t="s">
        <v>742</v>
      </c>
      <c r="P2" s="8" t="s">
        <v>743</v>
      </c>
      <c r="Q2" s="8" t="s">
        <v>744</v>
      </c>
      <c r="R2" s="7"/>
      <c r="S2" s="3" t="s">
        <v>745</v>
      </c>
      <c r="T2" s="3"/>
      <c r="U2" s="3"/>
      <c r="V2" s="3"/>
      <c r="W2" s="3"/>
    </row>
    <row r="3" spans="1:23" ht="3.75" customHeight="1">
      <c r="A3" s="9">
        <v>2</v>
      </c>
      <c r="B3" s="9" t="s">
        <v>736</v>
      </c>
      <c r="C3" s="9" t="s">
        <v>746</v>
      </c>
      <c r="D3" s="9" t="s">
        <v>747</v>
      </c>
      <c r="E3" s="9" t="s">
        <v>21</v>
      </c>
      <c r="F3" s="9" t="s">
        <v>22</v>
      </c>
      <c r="G3" s="9">
        <v>461</v>
      </c>
      <c r="H3" s="9" t="s">
        <v>23</v>
      </c>
      <c r="I3" s="9" t="s">
        <v>174</v>
      </c>
      <c r="J3" s="9" t="s">
        <v>36</v>
      </c>
      <c r="K3" s="9" t="s">
        <v>26</v>
      </c>
      <c r="L3" s="9" t="s">
        <v>175</v>
      </c>
      <c r="M3" s="9">
        <v>4813</v>
      </c>
      <c r="N3" s="9" t="s">
        <v>741</v>
      </c>
      <c r="O3" s="9" t="s">
        <v>742</v>
      </c>
      <c r="P3" s="9" t="s">
        <v>743</v>
      </c>
      <c r="Q3" s="9" t="s">
        <v>744</v>
      </c>
      <c r="R3" s="7"/>
    </row>
    <row r="4" spans="1:23" ht="15" customHeight="1">
      <c r="A4" s="8">
        <v>3</v>
      </c>
      <c r="B4" s="8" t="s">
        <v>736</v>
      </c>
      <c r="C4" s="8" t="s">
        <v>748</v>
      </c>
      <c r="D4" s="8" t="s">
        <v>749</v>
      </c>
      <c r="E4" s="8" t="s">
        <v>21</v>
      </c>
      <c r="F4" s="8" t="s">
        <v>22</v>
      </c>
      <c r="G4" s="8">
        <v>608</v>
      </c>
      <c r="H4" s="8" t="s">
        <v>23</v>
      </c>
      <c r="I4" s="8" t="s">
        <v>90</v>
      </c>
      <c r="J4" s="8" t="s">
        <v>36</v>
      </c>
      <c r="K4" s="8" t="s">
        <v>26</v>
      </c>
      <c r="L4" s="8" t="s">
        <v>91</v>
      </c>
      <c r="M4" s="8">
        <v>4900</v>
      </c>
      <c r="N4" s="8" t="s">
        <v>741</v>
      </c>
      <c r="O4" s="8" t="s">
        <v>742</v>
      </c>
      <c r="P4" s="8" t="s">
        <v>743</v>
      </c>
      <c r="Q4" s="8" t="s">
        <v>744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736</v>
      </c>
      <c r="C5" s="9" t="s">
        <v>750</v>
      </c>
      <c r="D5" s="9" t="s">
        <v>751</v>
      </c>
      <c r="E5" s="9" t="s">
        <v>21</v>
      </c>
      <c r="F5" s="9" t="s">
        <v>22</v>
      </c>
      <c r="G5" s="9">
        <v>946</v>
      </c>
      <c r="H5" s="9" t="s">
        <v>23</v>
      </c>
      <c r="I5" s="9" t="s">
        <v>212</v>
      </c>
      <c r="J5" s="9" t="s">
        <v>25</v>
      </c>
      <c r="K5" s="9" t="s">
        <v>26</v>
      </c>
      <c r="L5" s="9" t="s">
        <v>213</v>
      </c>
      <c r="M5" s="9">
        <v>5999</v>
      </c>
      <c r="N5" s="9" t="s">
        <v>741</v>
      </c>
      <c r="O5" s="9" t="s">
        <v>742</v>
      </c>
      <c r="P5" s="9" t="s">
        <v>743</v>
      </c>
      <c r="Q5" s="9" t="s">
        <v>744</v>
      </c>
      <c r="R5" s="7"/>
      <c r="S5" s="10" t="s">
        <v>48</v>
      </c>
      <c r="T5" s="11">
        <v>29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736</v>
      </c>
      <c r="C6" s="8" t="s">
        <v>752</v>
      </c>
      <c r="D6" s="8" t="s">
        <v>753</v>
      </c>
      <c r="E6" s="8" t="s">
        <v>21</v>
      </c>
      <c r="F6" s="8" t="s">
        <v>22</v>
      </c>
      <c r="G6" s="8">
        <v>569</v>
      </c>
      <c r="H6" s="8" t="s">
        <v>23</v>
      </c>
      <c r="I6" s="8" t="s">
        <v>108</v>
      </c>
      <c r="J6" s="8" t="s">
        <v>41</v>
      </c>
      <c r="K6" s="8" t="s">
        <v>26</v>
      </c>
      <c r="L6" s="8" t="s">
        <v>57</v>
      </c>
      <c r="M6" s="8">
        <v>5999</v>
      </c>
      <c r="N6" s="8" t="s">
        <v>741</v>
      </c>
      <c r="O6" s="8" t="s">
        <v>742</v>
      </c>
      <c r="P6" s="8" t="s">
        <v>743</v>
      </c>
      <c r="Q6" s="8" t="s">
        <v>744</v>
      </c>
      <c r="R6" s="7"/>
    </row>
    <row r="7" spans="1:23" ht="15" customHeight="1">
      <c r="A7" s="9">
        <v>6</v>
      </c>
      <c r="B7" s="9" t="s">
        <v>736</v>
      </c>
      <c r="C7" s="9" t="s">
        <v>754</v>
      </c>
      <c r="D7" s="9" t="s">
        <v>755</v>
      </c>
      <c r="E7" s="9" t="s">
        <v>21</v>
      </c>
      <c r="F7" s="9" t="s">
        <v>22</v>
      </c>
      <c r="G7" s="9">
        <v>886</v>
      </c>
      <c r="H7" s="9" t="s">
        <v>23</v>
      </c>
      <c r="I7" s="9" t="s">
        <v>180</v>
      </c>
      <c r="J7" s="9" t="s">
        <v>41</v>
      </c>
      <c r="K7" s="9" t="s">
        <v>26</v>
      </c>
      <c r="L7" s="9" t="s">
        <v>181</v>
      </c>
      <c r="M7" s="9">
        <v>5411</v>
      </c>
      <c r="N7" s="9" t="s">
        <v>741</v>
      </c>
      <c r="O7" s="9" t="s">
        <v>742</v>
      </c>
      <c r="P7" s="9" t="s">
        <v>743</v>
      </c>
      <c r="Q7" s="9" t="s">
        <v>744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736</v>
      </c>
      <c r="C8" s="8" t="s">
        <v>756</v>
      </c>
      <c r="D8" s="8" t="s">
        <v>757</v>
      </c>
      <c r="E8" s="8" t="s">
        <v>21</v>
      </c>
      <c r="F8" s="8" t="s">
        <v>22</v>
      </c>
      <c r="G8" s="8">
        <v>885</v>
      </c>
      <c r="H8" s="8" t="s">
        <v>23</v>
      </c>
      <c r="I8" s="8" t="s">
        <v>180</v>
      </c>
      <c r="J8" s="8" t="s">
        <v>41</v>
      </c>
      <c r="K8" s="8" t="s">
        <v>26</v>
      </c>
      <c r="L8" s="8" t="s">
        <v>181</v>
      </c>
      <c r="M8" s="8">
        <v>5411</v>
      </c>
      <c r="N8" s="8" t="s">
        <v>741</v>
      </c>
      <c r="O8" s="8" t="s">
        <v>742</v>
      </c>
      <c r="P8" s="8" t="s">
        <v>743</v>
      </c>
      <c r="Q8" s="8" t="s">
        <v>744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736</v>
      </c>
      <c r="C9" s="9" t="s">
        <v>758</v>
      </c>
      <c r="D9" s="9" t="s">
        <v>759</v>
      </c>
      <c r="E9" s="9" t="s">
        <v>21</v>
      </c>
      <c r="F9" s="9" t="s">
        <v>22</v>
      </c>
      <c r="G9" s="9">
        <v>404</v>
      </c>
      <c r="H9" s="9" t="s">
        <v>23</v>
      </c>
      <c r="I9" s="9" t="s">
        <v>217</v>
      </c>
      <c r="J9" s="9" t="s">
        <v>41</v>
      </c>
      <c r="K9" s="9" t="s">
        <v>26</v>
      </c>
      <c r="L9" s="9" t="s">
        <v>218</v>
      </c>
      <c r="M9" s="9">
        <v>5812</v>
      </c>
      <c r="N9" s="9" t="s">
        <v>741</v>
      </c>
      <c r="O9" s="9" t="s">
        <v>742</v>
      </c>
      <c r="P9" s="9" t="s">
        <v>743</v>
      </c>
      <c r="Q9" s="9" t="s">
        <v>744</v>
      </c>
      <c r="R9" s="7"/>
      <c r="S9" s="15">
        <v>45717</v>
      </c>
      <c r="T9" s="16">
        <f t="shared" ref="T9:T20" si="0">IFERROR(SUMPRODUCT((LEFT($C$2:$C$166,7)=TEXT(S9,"YYYY-MM"))*($E$2:$E$166="KSAOB.Credit")*($K$2:$K$166="KSAOB.Deposit")*($G$2:$G$166)),0)</f>
        <v>9200</v>
      </c>
      <c r="U9" s="16">
        <f t="shared" ref="U9:U20" si="1">IFERROR(SUMPRODUCT((LEFT($C$2:$C$166,7)=TEXT(S9,"YYYY-MM"))*($E$2:$E$166="KSAOB.Debit")*($M$2:$M$166=6012)*($G$2:$G$166)),0)</f>
        <v>1200</v>
      </c>
      <c r="V9" s="16">
        <f t="shared" ref="V9:V20" si="2">IFERROR(SUMPRODUCT((LEFT($C$2:$C$166,7)=TEXT(S9,"YYYY-MM"))*($E$2:$E$166="KSAOB.Debit")*($M$2:$M$166&lt;&gt;6012)*($G$2:$G$166)),0)</f>
        <v>7100</v>
      </c>
      <c r="W9" s="17">
        <f t="shared" ref="W9:W20" si="3">T9-U9-V9</f>
        <v>900</v>
      </c>
    </row>
    <row r="10" spans="1:23" ht="15" customHeight="1">
      <c r="A10" s="8">
        <v>9</v>
      </c>
      <c r="B10" s="8" t="s">
        <v>736</v>
      </c>
      <c r="C10" s="8" t="s">
        <v>760</v>
      </c>
      <c r="D10" s="8" t="s">
        <v>761</v>
      </c>
      <c r="E10" s="8" t="s">
        <v>21</v>
      </c>
      <c r="F10" s="8" t="s">
        <v>22</v>
      </c>
      <c r="G10" s="8">
        <v>570</v>
      </c>
      <c r="H10" s="8" t="s">
        <v>23</v>
      </c>
      <c r="I10" s="8" t="s">
        <v>363</v>
      </c>
      <c r="J10" s="8" t="s">
        <v>41</v>
      </c>
      <c r="K10" s="8" t="s">
        <v>26</v>
      </c>
      <c r="L10" s="8" t="s">
        <v>364</v>
      </c>
      <c r="M10" s="8">
        <v>5999</v>
      </c>
      <c r="N10" s="8" t="s">
        <v>741</v>
      </c>
      <c r="O10" s="8" t="s">
        <v>742</v>
      </c>
      <c r="P10" s="8" t="s">
        <v>743</v>
      </c>
      <c r="Q10" s="8" t="s">
        <v>744</v>
      </c>
      <c r="R10" s="7"/>
      <c r="S10" s="18">
        <v>45748</v>
      </c>
      <c r="T10" s="19">
        <f t="shared" si="0"/>
        <v>9600</v>
      </c>
      <c r="U10" s="19">
        <f t="shared" si="1"/>
        <v>1200</v>
      </c>
      <c r="V10" s="19">
        <f t="shared" si="2"/>
        <v>7150</v>
      </c>
      <c r="W10" s="20">
        <f t="shared" si="3"/>
        <v>1250</v>
      </c>
    </row>
    <row r="11" spans="1:23" ht="15" customHeight="1">
      <c r="A11" s="9">
        <v>10</v>
      </c>
      <c r="B11" s="9" t="s">
        <v>736</v>
      </c>
      <c r="C11" s="9" t="s">
        <v>762</v>
      </c>
      <c r="D11" s="9" t="s">
        <v>763</v>
      </c>
      <c r="E11" s="9" t="s">
        <v>21</v>
      </c>
      <c r="F11" s="9" t="s">
        <v>22</v>
      </c>
      <c r="G11" s="9">
        <v>404</v>
      </c>
      <c r="H11" s="9" t="s">
        <v>23</v>
      </c>
      <c r="I11" s="9" t="s">
        <v>52</v>
      </c>
      <c r="J11" s="9" t="s">
        <v>41</v>
      </c>
      <c r="K11" s="9" t="s">
        <v>26</v>
      </c>
      <c r="L11" s="9" t="s">
        <v>53</v>
      </c>
      <c r="M11" s="9">
        <v>5812</v>
      </c>
      <c r="N11" s="9" t="s">
        <v>741</v>
      </c>
      <c r="O11" s="9" t="s">
        <v>742</v>
      </c>
      <c r="P11" s="9" t="s">
        <v>743</v>
      </c>
      <c r="Q11" s="9" t="s">
        <v>744</v>
      </c>
      <c r="R11" s="7"/>
      <c r="S11" s="15">
        <v>45778</v>
      </c>
      <c r="T11" s="16">
        <f t="shared" si="0"/>
        <v>9400</v>
      </c>
      <c r="U11" s="16">
        <f t="shared" si="1"/>
        <v>1200</v>
      </c>
      <c r="V11" s="16">
        <f t="shared" si="2"/>
        <v>7000</v>
      </c>
      <c r="W11" s="17">
        <f t="shared" si="3"/>
        <v>1200</v>
      </c>
    </row>
    <row r="12" spans="1:23" ht="15" customHeight="1">
      <c r="A12" s="8">
        <v>11</v>
      </c>
      <c r="B12" s="8" t="s">
        <v>736</v>
      </c>
      <c r="C12" s="8" t="s">
        <v>764</v>
      </c>
      <c r="D12" s="8" t="s">
        <v>765</v>
      </c>
      <c r="E12" s="8" t="s">
        <v>94</v>
      </c>
      <c r="F12" s="8" t="s">
        <v>22</v>
      </c>
      <c r="G12" s="8">
        <v>9200</v>
      </c>
      <c r="H12" s="8" t="s">
        <v>23</v>
      </c>
      <c r="I12" s="8" t="s">
        <v>766</v>
      </c>
      <c r="J12" s="8" t="s">
        <v>96</v>
      </c>
      <c r="K12" s="8" t="s">
        <v>97</v>
      </c>
      <c r="L12" s="8" t="s">
        <v>767</v>
      </c>
      <c r="M12" s="8"/>
      <c r="N12" s="8" t="s">
        <v>767</v>
      </c>
      <c r="O12" s="8" t="s">
        <v>768</v>
      </c>
      <c r="P12" s="8" t="s">
        <v>743</v>
      </c>
      <c r="Q12" s="8" t="s">
        <v>744</v>
      </c>
      <c r="R12" s="7"/>
      <c r="S12" s="18">
        <v>45809</v>
      </c>
      <c r="T12" s="19">
        <f t="shared" si="0"/>
        <v>9800</v>
      </c>
      <c r="U12" s="19">
        <f t="shared" si="1"/>
        <v>1200</v>
      </c>
      <c r="V12" s="19">
        <f t="shared" si="2"/>
        <v>7200</v>
      </c>
      <c r="W12" s="20">
        <f t="shared" si="3"/>
        <v>1400</v>
      </c>
    </row>
    <row r="13" spans="1:23" ht="15" customHeight="1">
      <c r="A13" s="9">
        <v>12</v>
      </c>
      <c r="B13" s="9" t="s">
        <v>736</v>
      </c>
      <c r="C13" s="9" t="s">
        <v>769</v>
      </c>
      <c r="D13" s="9" t="s">
        <v>770</v>
      </c>
      <c r="E13" s="9" t="s">
        <v>21</v>
      </c>
      <c r="F13" s="9" t="s">
        <v>22</v>
      </c>
      <c r="G13" s="9">
        <v>556</v>
      </c>
      <c r="H13" s="9" t="s">
        <v>23</v>
      </c>
      <c r="I13" s="9" t="s">
        <v>70</v>
      </c>
      <c r="J13" s="9" t="s">
        <v>41</v>
      </c>
      <c r="K13" s="9" t="s">
        <v>26</v>
      </c>
      <c r="L13" s="9" t="s">
        <v>71</v>
      </c>
      <c r="M13" s="9">
        <v>5541</v>
      </c>
      <c r="N13" s="9" t="s">
        <v>741</v>
      </c>
      <c r="O13" s="9" t="s">
        <v>742</v>
      </c>
      <c r="P13" s="9" t="s">
        <v>743</v>
      </c>
      <c r="Q13" s="9" t="s">
        <v>744</v>
      </c>
      <c r="R13" s="7"/>
      <c r="S13" s="15">
        <v>45839</v>
      </c>
      <c r="T13" s="16">
        <f t="shared" si="0"/>
        <v>9200</v>
      </c>
      <c r="U13" s="16">
        <f t="shared" si="1"/>
        <v>1200</v>
      </c>
      <c r="V13" s="16">
        <f t="shared" si="2"/>
        <v>7050</v>
      </c>
      <c r="W13" s="17">
        <f t="shared" si="3"/>
        <v>950</v>
      </c>
    </row>
    <row r="14" spans="1:23" ht="15" customHeight="1">
      <c r="A14" s="8">
        <v>13</v>
      </c>
      <c r="B14" s="8" t="s">
        <v>736</v>
      </c>
      <c r="C14" s="8" t="s">
        <v>771</v>
      </c>
      <c r="D14" s="8" t="s">
        <v>772</v>
      </c>
      <c r="E14" s="8" t="s">
        <v>21</v>
      </c>
      <c r="F14" s="8" t="s">
        <v>22</v>
      </c>
      <c r="G14" s="8">
        <v>506</v>
      </c>
      <c r="H14" s="8" t="s">
        <v>23</v>
      </c>
      <c r="I14" s="8" t="s">
        <v>56</v>
      </c>
      <c r="J14" s="8" t="s">
        <v>41</v>
      </c>
      <c r="K14" s="8" t="s">
        <v>26</v>
      </c>
      <c r="L14" s="8" t="s">
        <v>57</v>
      </c>
      <c r="M14" s="8">
        <v>5999</v>
      </c>
      <c r="N14" s="8" t="s">
        <v>741</v>
      </c>
      <c r="O14" s="8" t="s">
        <v>742</v>
      </c>
      <c r="P14" s="8" t="s">
        <v>743</v>
      </c>
      <c r="Q14" s="8" t="s">
        <v>744</v>
      </c>
      <c r="R14" s="7"/>
      <c r="S14" s="18">
        <v>45870</v>
      </c>
      <c r="T14" s="19">
        <f t="shared" si="0"/>
        <v>9500</v>
      </c>
      <c r="U14" s="19">
        <f t="shared" si="1"/>
        <v>1200</v>
      </c>
      <c r="V14" s="19">
        <f t="shared" si="2"/>
        <v>7100</v>
      </c>
      <c r="W14" s="20">
        <f t="shared" si="3"/>
        <v>1200</v>
      </c>
    </row>
    <row r="15" spans="1:23" ht="15" customHeight="1">
      <c r="A15" s="9">
        <v>14</v>
      </c>
      <c r="B15" s="9" t="s">
        <v>736</v>
      </c>
      <c r="C15" s="9" t="s">
        <v>773</v>
      </c>
      <c r="D15" s="9" t="s">
        <v>774</v>
      </c>
      <c r="E15" s="9" t="s">
        <v>21</v>
      </c>
      <c r="F15" s="9" t="s">
        <v>22</v>
      </c>
      <c r="G15" s="9">
        <v>305</v>
      </c>
      <c r="H15" s="9" t="s">
        <v>23</v>
      </c>
      <c r="I15" s="9" t="s">
        <v>46</v>
      </c>
      <c r="J15" s="9" t="s">
        <v>41</v>
      </c>
      <c r="K15" s="9" t="s">
        <v>26</v>
      </c>
      <c r="L15" s="9" t="s">
        <v>47</v>
      </c>
      <c r="M15" s="9">
        <v>8011</v>
      </c>
      <c r="N15" s="9" t="s">
        <v>741</v>
      </c>
      <c r="O15" s="9" t="s">
        <v>742</v>
      </c>
      <c r="P15" s="9" t="s">
        <v>743</v>
      </c>
      <c r="Q15" s="9" t="s">
        <v>744</v>
      </c>
      <c r="R15" s="7"/>
      <c r="S15" s="15">
        <v>45901</v>
      </c>
      <c r="T15" s="16">
        <f t="shared" si="0"/>
        <v>9300</v>
      </c>
      <c r="U15" s="16">
        <f t="shared" si="1"/>
        <v>1200</v>
      </c>
      <c r="V15" s="16">
        <f t="shared" si="2"/>
        <v>7200</v>
      </c>
      <c r="W15" s="17">
        <f t="shared" si="3"/>
        <v>900</v>
      </c>
    </row>
    <row r="16" spans="1:23" ht="15" customHeight="1">
      <c r="A16" s="8">
        <v>15</v>
      </c>
      <c r="B16" s="8" t="s">
        <v>736</v>
      </c>
      <c r="C16" s="8" t="s">
        <v>775</v>
      </c>
      <c r="D16" s="8" t="s">
        <v>776</v>
      </c>
      <c r="E16" s="8" t="s">
        <v>21</v>
      </c>
      <c r="F16" s="8" t="s">
        <v>22</v>
      </c>
      <c r="G16" s="8">
        <v>655</v>
      </c>
      <c r="H16" s="8" t="s">
        <v>23</v>
      </c>
      <c r="I16" s="8" t="s">
        <v>111</v>
      </c>
      <c r="J16" s="8" t="s">
        <v>41</v>
      </c>
      <c r="K16" s="8" t="s">
        <v>26</v>
      </c>
      <c r="L16" s="8" t="s">
        <v>112</v>
      </c>
      <c r="M16" s="8">
        <v>5541</v>
      </c>
      <c r="N16" s="8" t="s">
        <v>741</v>
      </c>
      <c r="O16" s="8" t="s">
        <v>742</v>
      </c>
      <c r="P16" s="8" t="s">
        <v>743</v>
      </c>
      <c r="Q16" s="8" t="s">
        <v>744</v>
      </c>
      <c r="R16" s="7"/>
      <c r="S16" s="18">
        <v>45931</v>
      </c>
      <c r="T16" s="19">
        <f t="shared" si="0"/>
        <v>9600</v>
      </c>
      <c r="U16" s="19">
        <f t="shared" si="1"/>
        <v>1200</v>
      </c>
      <c r="V16" s="19">
        <f t="shared" si="2"/>
        <v>7050</v>
      </c>
      <c r="W16" s="20">
        <f t="shared" si="3"/>
        <v>1350</v>
      </c>
    </row>
    <row r="17" spans="1:23" ht="15" customHeight="1">
      <c r="A17" s="9">
        <v>16</v>
      </c>
      <c r="B17" s="9" t="s">
        <v>736</v>
      </c>
      <c r="C17" s="9" t="s">
        <v>777</v>
      </c>
      <c r="D17" s="9" t="s">
        <v>778</v>
      </c>
      <c r="E17" s="9" t="s">
        <v>21</v>
      </c>
      <c r="F17" s="9" t="s">
        <v>22</v>
      </c>
      <c r="G17" s="9">
        <v>1200</v>
      </c>
      <c r="H17" s="9" t="s">
        <v>23</v>
      </c>
      <c r="I17" s="9" t="s">
        <v>739</v>
      </c>
      <c r="J17" s="9" t="s">
        <v>36</v>
      </c>
      <c r="K17" s="9" t="s">
        <v>26</v>
      </c>
      <c r="L17" s="9" t="s">
        <v>740</v>
      </c>
      <c r="M17" s="9">
        <v>6012</v>
      </c>
      <c r="N17" s="9" t="s">
        <v>741</v>
      </c>
      <c r="O17" s="9" t="s">
        <v>742</v>
      </c>
      <c r="P17" s="9" t="s">
        <v>743</v>
      </c>
      <c r="Q17" s="9" t="s">
        <v>744</v>
      </c>
      <c r="R17" s="7"/>
      <c r="S17" s="15">
        <v>45962</v>
      </c>
      <c r="T17" s="16">
        <f t="shared" si="0"/>
        <v>9400</v>
      </c>
      <c r="U17" s="16">
        <f t="shared" si="1"/>
        <v>1200</v>
      </c>
      <c r="V17" s="16">
        <f t="shared" si="2"/>
        <v>7100</v>
      </c>
      <c r="W17" s="17">
        <f t="shared" si="3"/>
        <v>1100</v>
      </c>
    </row>
    <row r="18" spans="1:23" ht="15" customHeight="1">
      <c r="A18" s="8">
        <v>17</v>
      </c>
      <c r="B18" s="8" t="s">
        <v>736</v>
      </c>
      <c r="C18" s="8" t="s">
        <v>779</v>
      </c>
      <c r="D18" s="8" t="s">
        <v>780</v>
      </c>
      <c r="E18" s="8" t="s">
        <v>21</v>
      </c>
      <c r="F18" s="8" t="s">
        <v>22</v>
      </c>
      <c r="G18" s="8">
        <v>874</v>
      </c>
      <c r="H18" s="8" t="s">
        <v>23</v>
      </c>
      <c r="I18" s="8" t="s">
        <v>102</v>
      </c>
      <c r="J18" s="8" t="s">
        <v>41</v>
      </c>
      <c r="K18" s="8" t="s">
        <v>26</v>
      </c>
      <c r="L18" s="8" t="s">
        <v>103</v>
      </c>
      <c r="M18" s="8">
        <v>5411</v>
      </c>
      <c r="N18" s="8" t="s">
        <v>741</v>
      </c>
      <c r="O18" s="8" t="s">
        <v>742</v>
      </c>
      <c r="P18" s="8" t="s">
        <v>743</v>
      </c>
      <c r="Q18" s="8" t="s">
        <v>744</v>
      </c>
      <c r="R18" s="7"/>
      <c r="S18" s="18">
        <v>45992</v>
      </c>
      <c r="T18" s="19">
        <f t="shared" si="0"/>
        <v>9700</v>
      </c>
      <c r="U18" s="19">
        <f t="shared" si="1"/>
        <v>1200</v>
      </c>
      <c r="V18" s="19">
        <f t="shared" si="2"/>
        <v>7150</v>
      </c>
      <c r="W18" s="20">
        <f t="shared" si="3"/>
        <v>1350</v>
      </c>
    </row>
    <row r="19" spans="1:23" ht="15" customHeight="1">
      <c r="A19" s="9">
        <v>18</v>
      </c>
      <c r="B19" s="9" t="s">
        <v>736</v>
      </c>
      <c r="C19" s="9" t="s">
        <v>781</v>
      </c>
      <c r="D19" s="9" t="s">
        <v>782</v>
      </c>
      <c r="E19" s="9" t="s">
        <v>21</v>
      </c>
      <c r="F19" s="9" t="s">
        <v>22</v>
      </c>
      <c r="G19" s="9">
        <v>399</v>
      </c>
      <c r="H19" s="9" t="s">
        <v>23</v>
      </c>
      <c r="I19" s="9" t="s">
        <v>234</v>
      </c>
      <c r="J19" s="9" t="s">
        <v>41</v>
      </c>
      <c r="K19" s="9" t="s">
        <v>26</v>
      </c>
      <c r="L19" s="9" t="s">
        <v>235</v>
      </c>
      <c r="M19" s="9">
        <v>8011</v>
      </c>
      <c r="N19" s="9" t="s">
        <v>741</v>
      </c>
      <c r="O19" s="9" t="s">
        <v>742</v>
      </c>
      <c r="P19" s="9" t="s">
        <v>743</v>
      </c>
      <c r="Q19" s="9" t="s">
        <v>744</v>
      </c>
      <c r="R19" s="7"/>
      <c r="S19" s="15">
        <v>46023</v>
      </c>
      <c r="T19" s="16">
        <f t="shared" si="0"/>
        <v>9300</v>
      </c>
      <c r="U19" s="16">
        <f t="shared" si="1"/>
        <v>1200</v>
      </c>
      <c r="V19" s="16">
        <f t="shared" si="2"/>
        <v>7000</v>
      </c>
      <c r="W19" s="17">
        <f t="shared" si="3"/>
        <v>1100</v>
      </c>
    </row>
    <row r="20" spans="1:23" ht="15" customHeight="1">
      <c r="A20" s="8">
        <v>19</v>
      </c>
      <c r="B20" s="8" t="s">
        <v>736</v>
      </c>
      <c r="C20" s="8" t="s">
        <v>783</v>
      </c>
      <c r="D20" s="8" t="s">
        <v>784</v>
      </c>
      <c r="E20" s="8" t="s">
        <v>21</v>
      </c>
      <c r="F20" s="8" t="s">
        <v>22</v>
      </c>
      <c r="G20" s="8">
        <v>931</v>
      </c>
      <c r="H20" s="8" t="s">
        <v>23</v>
      </c>
      <c r="I20" s="8" t="s">
        <v>212</v>
      </c>
      <c r="J20" s="8" t="s">
        <v>25</v>
      </c>
      <c r="K20" s="8" t="s">
        <v>26</v>
      </c>
      <c r="L20" s="8" t="s">
        <v>213</v>
      </c>
      <c r="M20" s="8">
        <v>5999</v>
      </c>
      <c r="N20" s="8" t="s">
        <v>741</v>
      </c>
      <c r="O20" s="8" t="s">
        <v>742</v>
      </c>
      <c r="P20" s="8" t="s">
        <v>743</v>
      </c>
      <c r="Q20" s="8" t="s">
        <v>744</v>
      </c>
      <c r="R20" s="7"/>
      <c r="S20" s="18">
        <v>46054</v>
      </c>
      <c r="T20" s="19">
        <f t="shared" si="0"/>
        <v>9500</v>
      </c>
      <c r="U20" s="19">
        <f t="shared" si="1"/>
        <v>1200</v>
      </c>
      <c r="V20" s="19">
        <f t="shared" si="2"/>
        <v>7100</v>
      </c>
      <c r="W20" s="20">
        <f t="shared" si="3"/>
        <v>1200</v>
      </c>
    </row>
    <row r="21" spans="1:23" ht="15" customHeight="1">
      <c r="A21" s="9">
        <v>20</v>
      </c>
      <c r="B21" s="9" t="s">
        <v>736</v>
      </c>
      <c r="C21" s="9" t="s">
        <v>785</v>
      </c>
      <c r="D21" s="9" t="s">
        <v>786</v>
      </c>
      <c r="E21" s="9" t="s">
        <v>21</v>
      </c>
      <c r="F21" s="9" t="s">
        <v>22</v>
      </c>
      <c r="G21" s="9">
        <v>474</v>
      </c>
      <c r="H21" s="9" t="s">
        <v>23</v>
      </c>
      <c r="I21" s="9" t="s">
        <v>56</v>
      </c>
      <c r="J21" s="9" t="s">
        <v>41</v>
      </c>
      <c r="K21" s="9" t="s">
        <v>26</v>
      </c>
      <c r="L21" s="9" t="s">
        <v>57</v>
      </c>
      <c r="M21" s="9">
        <v>5999</v>
      </c>
      <c r="N21" s="9" t="s">
        <v>741</v>
      </c>
      <c r="O21" s="9" t="s">
        <v>742</v>
      </c>
      <c r="P21" s="9" t="s">
        <v>743</v>
      </c>
      <c r="Q21" s="9" t="s">
        <v>744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736</v>
      </c>
      <c r="C22" s="8" t="s">
        <v>787</v>
      </c>
      <c r="D22" s="8" t="s">
        <v>788</v>
      </c>
      <c r="E22" s="8" t="s">
        <v>21</v>
      </c>
      <c r="F22" s="8" t="s">
        <v>22</v>
      </c>
      <c r="G22" s="8">
        <v>639</v>
      </c>
      <c r="H22" s="8" t="s">
        <v>23</v>
      </c>
      <c r="I22" s="8" t="s">
        <v>90</v>
      </c>
      <c r="J22" s="8" t="s">
        <v>36</v>
      </c>
      <c r="K22" s="8" t="s">
        <v>26</v>
      </c>
      <c r="L22" s="8" t="s">
        <v>91</v>
      </c>
      <c r="M22" s="8">
        <v>4900</v>
      </c>
      <c r="N22" s="8" t="s">
        <v>741</v>
      </c>
      <c r="O22" s="8" t="s">
        <v>742</v>
      </c>
      <c r="P22" s="8" t="s">
        <v>743</v>
      </c>
      <c r="Q22" s="8" t="s">
        <v>744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736</v>
      </c>
      <c r="C23" s="9" t="s">
        <v>789</v>
      </c>
      <c r="D23" s="9" t="s">
        <v>790</v>
      </c>
      <c r="E23" s="9" t="s">
        <v>21</v>
      </c>
      <c r="F23" s="9" t="s">
        <v>22</v>
      </c>
      <c r="G23" s="9">
        <v>588</v>
      </c>
      <c r="H23" s="9" t="s">
        <v>23</v>
      </c>
      <c r="I23" s="9" t="s">
        <v>108</v>
      </c>
      <c r="J23" s="9" t="s">
        <v>41</v>
      </c>
      <c r="K23" s="9" t="s">
        <v>26</v>
      </c>
      <c r="L23" s="9" t="s">
        <v>57</v>
      </c>
      <c r="M23" s="9">
        <v>5999</v>
      </c>
      <c r="N23" s="9" t="s">
        <v>741</v>
      </c>
      <c r="O23" s="9" t="s">
        <v>742</v>
      </c>
      <c r="P23" s="9" t="s">
        <v>743</v>
      </c>
      <c r="Q23" s="9" t="s">
        <v>744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736</v>
      </c>
      <c r="C24" s="8" t="s">
        <v>791</v>
      </c>
      <c r="D24" s="8" t="s">
        <v>792</v>
      </c>
      <c r="E24" s="8" t="s">
        <v>21</v>
      </c>
      <c r="F24" s="8" t="s">
        <v>22</v>
      </c>
      <c r="G24" s="8">
        <v>481</v>
      </c>
      <c r="H24" s="8" t="s">
        <v>23</v>
      </c>
      <c r="I24" s="8" t="s">
        <v>86</v>
      </c>
      <c r="J24" s="8" t="s">
        <v>36</v>
      </c>
      <c r="K24" s="8" t="s">
        <v>26</v>
      </c>
      <c r="L24" s="8" t="s">
        <v>87</v>
      </c>
      <c r="M24" s="8">
        <v>4813</v>
      </c>
      <c r="N24" s="8" t="s">
        <v>741</v>
      </c>
      <c r="O24" s="8" t="s">
        <v>742</v>
      </c>
      <c r="P24" s="8" t="s">
        <v>743</v>
      </c>
      <c r="Q24" s="8" t="s">
        <v>744</v>
      </c>
      <c r="R24" s="7"/>
      <c r="S24" s="22" t="s">
        <v>133</v>
      </c>
      <c r="T24" s="23">
        <f>IFERROR(AVERAGEIF(T9:T20,"&gt;"&amp;0),0)</f>
        <v>9458.3333333333339</v>
      </c>
      <c r="U24" s="23">
        <f>IFERROR(AVERAGEIF(U9:U20,"&gt;"&amp;0),0)</f>
        <v>1200</v>
      </c>
      <c r="V24" s="23">
        <f>IFERROR(AVERAGEIF(V9:V20,"&gt;"&amp;0),0)</f>
        <v>7100</v>
      </c>
      <c r="W24" s="24">
        <f>T24-U24-V24</f>
        <v>1158.3333333333339</v>
      </c>
    </row>
    <row r="25" spans="1:23" ht="3.75" customHeight="1">
      <c r="A25" s="9">
        <v>24</v>
      </c>
      <c r="B25" s="9" t="s">
        <v>736</v>
      </c>
      <c r="C25" s="9" t="s">
        <v>793</v>
      </c>
      <c r="D25" s="9" t="s">
        <v>794</v>
      </c>
      <c r="E25" s="9" t="s">
        <v>21</v>
      </c>
      <c r="F25" s="9" t="s">
        <v>22</v>
      </c>
      <c r="G25" s="9">
        <v>588</v>
      </c>
      <c r="H25" s="9" t="s">
        <v>23</v>
      </c>
      <c r="I25" s="9" t="s">
        <v>186</v>
      </c>
      <c r="J25" s="9" t="s">
        <v>41</v>
      </c>
      <c r="K25" s="9" t="s">
        <v>26</v>
      </c>
      <c r="L25" s="9" t="s">
        <v>187</v>
      </c>
      <c r="M25" s="9">
        <v>5999</v>
      </c>
      <c r="N25" s="9" t="s">
        <v>741</v>
      </c>
      <c r="O25" s="9" t="s">
        <v>742</v>
      </c>
      <c r="P25" s="9" t="s">
        <v>743</v>
      </c>
      <c r="Q25" s="9" t="s">
        <v>744</v>
      </c>
      <c r="R25" s="7"/>
    </row>
    <row r="26" spans="1:23" ht="15" customHeight="1">
      <c r="A26" s="8">
        <v>25</v>
      </c>
      <c r="B26" s="8" t="s">
        <v>736</v>
      </c>
      <c r="C26" s="8" t="s">
        <v>795</v>
      </c>
      <c r="D26" s="8" t="s">
        <v>796</v>
      </c>
      <c r="E26" s="8" t="s">
        <v>94</v>
      </c>
      <c r="F26" s="8" t="s">
        <v>22</v>
      </c>
      <c r="G26" s="8">
        <v>9600</v>
      </c>
      <c r="H26" s="8" t="s">
        <v>23</v>
      </c>
      <c r="I26" s="8" t="s">
        <v>766</v>
      </c>
      <c r="J26" s="8" t="s">
        <v>96</v>
      </c>
      <c r="K26" s="8" t="s">
        <v>97</v>
      </c>
      <c r="L26" s="8" t="s">
        <v>767</v>
      </c>
      <c r="M26" s="8"/>
      <c r="N26" s="8" t="s">
        <v>767</v>
      </c>
      <c r="O26" s="8" t="s">
        <v>797</v>
      </c>
      <c r="P26" s="8" t="s">
        <v>743</v>
      </c>
      <c r="Q26" s="8" t="s">
        <v>744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736</v>
      </c>
      <c r="C27" s="9" t="s">
        <v>798</v>
      </c>
      <c r="D27" s="9" t="s">
        <v>799</v>
      </c>
      <c r="E27" s="9" t="s">
        <v>21</v>
      </c>
      <c r="F27" s="9" t="s">
        <v>22</v>
      </c>
      <c r="G27" s="9">
        <v>873</v>
      </c>
      <c r="H27" s="9" t="s">
        <v>23</v>
      </c>
      <c r="I27" s="9" t="s">
        <v>379</v>
      </c>
      <c r="J27" s="9" t="s">
        <v>41</v>
      </c>
      <c r="K27" s="9" t="s">
        <v>26</v>
      </c>
      <c r="L27" s="9" t="s">
        <v>380</v>
      </c>
      <c r="M27" s="9">
        <v>5411</v>
      </c>
      <c r="N27" s="9" t="s">
        <v>741</v>
      </c>
      <c r="O27" s="9" t="s">
        <v>742</v>
      </c>
      <c r="P27" s="9" t="s">
        <v>743</v>
      </c>
      <c r="Q27" s="9" t="s">
        <v>744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736</v>
      </c>
      <c r="C28" s="8" t="s">
        <v>800</v>
      </c>
      <c r="D28" s="8" t="s">
        <v>801</v>
      </c>
      <c r="E28" s="8" t="s">
        <v>21</v>
      </c>
      <c r="F28" s="8" t="s">
        <v>22</v>
      </c>
      <c r="G28" s="8">
        <v>648</v>
      </c>
      <c r="H28" s="8" t="s">
        <v>23</v>
      </c>
      <c r="I28" s="8" t="s">
        <v>74</v>
      </c>
      <c r="J28" s="8" t="s">
        <v>41</v>
      </c>
      <c r="K28" s="8" t="s">
        <v>26</v>
      </c>
      <c r="L28" s="8" t="s">
        <v>75</v>
      </c>
      <c r="M28" s="8">
        <v>5812</v>
      </c>
      <c r="N28" s="8" t="s">
        <v>741</v>
      </c>
      <c r="O28" s="8" t="s">
        <v>742</v>
      </c>
      <c r="P28" s="8" t="s">
        <v>743</v>
      </c>
      <c r="Q28" s="8" t="s">
        <v>744</v>
      </c>
      <c r="R28" s="7"/>
      <c r="S28" s="25" t="s">
        <v>154</v>
      </c>
      <c r="T28" s="26">
        <f>IFERROR(MEDIAN(T9:T20),0)</f>
        <v>9450</v>
      </c>
      <c r="U28" s="27" t="s">
        <v>155</v>
      </c>
      <c r="V28" s="28" t="s">
        <v>155</v>
      </c>
      <c r="W28" s="29" t="s">
        <v>802</v>
      </c>
    </row>
    <row r="29" spans="1:23" ht="15.75" customHeight="1">
      <c r="A29" s="9">
        <v>28</v>
      </c>
      <c r="B29" s="9" t="s">
        <v>736</v>
      </c>
      <c r="C29" s="9" t="s">
        <v>803</v>
      </c>
      <c r="D29" s="9" t="s">
        <v>804</v>
      </c>
      <c r="E29" s="9" t="s">
        <v>21</v>
      </c>
      <c r="F29" s="9" t="s">
        <v>22</v>
      </c>
      <c r="G29" s="9">
        <v>213</v>
      </c>
      <c r="H29" s="9" t="s">
        <v>23</v>
      </c>
      <c r="I29" s="9" t="s">
        <v>217</v>
      </c>
      <c r="J29" s="9" t="s">
        <v>41</v>
      </c>
      <c r="K29" s="9" t="s">
        <v>26</v>
      </c>
      <c r="L29" s="9" t="s">
        <v>218</v>
      </c>
      <c r="M29" s="9">
        <v>5812</v>
      </c>
      <c r="N29" s="9" t="s">
        <v>741</v>
      </c>
      <c r="O29" s="9" t="s">
        <v>742</v>
      </c>
      <c r="P29" s="9" t="s">
        <v>743</v>
      </c>
      <c r="Q29" s="9" t="s">
        <v>744</v>
      </c>
      <c r="R29" s="7"/>
      <c r="S29" s="30" t="s">
        <v>161</v>
      </c>
      <c r="T29" s="31">
        <f>T28*1.3</f>
        <v>12285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736</v>
      </c>
      <c r="C30" s="8" t="s">
        <v>805</v>
      </c>
      <c r="D30" s="8" t="s">
        <v>806</v>
      </c>
      <c r="E30" s="8" t="s">
        <v>21</v>
      </c>
      <c r="F30" s="8" t="s">
        <v>22</v>
      </c>
      <c r="G30" s="8">
        <v>1200</v>
      </c>
      <c r="H30" s="8" t="s">
        <v>23</v>
      </c>
      <c r="I30" s="8" t="s">
        <v>739</v>
      </c>
      <c r="J30" s="8" t="s">
        <v>36</v>
      </c>
      <c r="K30" s="8" t="s">
        <v>26</v>
      </c>
      <c r="L30" s="8" t="s">
        <v>740</v>
      </c>
      <c r="M30" s="8">
        <v>6012</v>
      </c>
      <c r="N30" s="8" t="s">
        <v>741</v>
      </c>
      <c r="O30" s="8" t="s">
        <v>742</v>
      </c>
      <c r="P30" s="8" t="s">
        <v>743</v>
      </c>
      <c r="Q30" s="8" t="s">
        <v>744</v>
      </c>
      <c r="R30" s="7"/>
      <c r="S30" s="25" t="s">
        <v>166</v>
      </c>
      <c r="T30" s="26">
        <f>IFERROR(MEDIAN(MIN(T18,T29),MIN(T19,T29),MIN(T20,T29)),0)</f>
        <v>9500</v>
      </c>
      <c r="U30" s="27" t="s">
        <v>155</v>
      </c>
      <c r="V30" s="28" t="s">
        <v>155</v>
      </c>
      <c r="W30" s="29" t="s">
        <v>807</v>
      </c>
    </row>
    <row r="31" spans="1:23" ht="15.75" customHeight="1">
      <c r="A31" s="9">
        <v>30</v>
      </c>
      <c r="B31" s="9" t="s">
        <v>736</v>
      </c>
      <c r="C31" s="9" t="s">
        <v>808</v>
      </c>
      <c r="D31" s="9" t="s">
        <v>809</v>
      </c>
      <c r="E31" s="9" t="s">
        <v>21</v>
      </c>
      <c r="F31" s="9" t="s">
        <v>22</v>
      </c>
      <c r="G31" s="9">
        <v>857</v>
      </c>
      <c r="H31" s="9" t="s">
        <v>23</v>
      </c>
      <c r="I31" s="9" t="s">
        <v>244</v>
      </c>
      <c r="J31" s="9" t="s">
        <v>41</v>
      </c>
      <c r="K31" s="9" t="s">
        <v>26</v>
      </c>
      <c r="L31" s="9" t="s">
        <v>245</v>
      </c>
      <c r="M31" s="9">
        <v>5411</v>
      </c>
      <c r="N31" s="9" t="s">
        <v>741</v>
      </c>
      <c r="O31" s="9" t="s">
        <v>742</v>
      </c>
      <c r="P31" s="9" t="s">
        <v>743</v>
      </c>
      <c r="Q31" s="9" t="s">
        <v>744</v>
      </c>
      <c r="R31" s="7"/>
      <c r="S31" s="30" t="s">
        <v>170</v>
      </c>
      <c r="T31" s="31">
        <f>T20</f>
        <v>9500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736</v>
      </c>
      <c r="C32" s="8" t="s">
        <v>810</v>
      </c>
      <c r="D32" s="8" t="s">
        <v>811</v>
      </c>
      <c r="E32" s="8" t="s">
        <v>21</v>
      </c>
      <c r="F32" s="8" t="s">
        <v>22</v>
      </c>
      <c r="G32" s="8">
        <v>602</v>
      </c>
      <c r="H32" s="8" t="s">
        <v>23</v>
      </c>
      <c r="I32" s="8" t="s">
        <v>56</v>
      </c>
      <c r="J32" s="8" t="s">
        <v>41</v>
      </c>
      <c r="K32" s="8" t="s">
        <v>26</v>
      </c>
      <c r="L32" s="8" t="s">
        <v>57</v>
      </c>
      <c r="M32" s="8">
        <v>5999</v>
      </c>
      <c r="N32" s="8" t="s">
        <v>741</v>
      </c>
      <c r="O32" s="8" t="s">
        <v>742</v>
      </c>
      <c r="P32" s="8" t="s">
        <v>743</v>
      </c>
      <c r="Q32" s="8" t="s">
        <v>744</v>
      </c>
      <c r="R32" s="7"/>
      <c r="S32" s="25" t="s">
        <v>176</v>
      </c>
      <c r="T32" s="26">
        <f>U20</f>
        <v>1200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736</v>
      </c>
      <c r="C33" s="9" t="s">
        <v>812</v>
      </c>
      <c r="D33" s="9" t="s">
        <v>813</v>
      </c>
      <c r="E33" s="9" t="s">
        <v>21</v>
      </c>
      <c r="F33" s="9" t="s">
        <v>22</v>
      </c>
      <c r="G33" s="9">
        <v>857</v>
      </c>
      <c r="H33" s="9" t="s">
        <v>23</v>
      </c>
      <c r="I33" s="9" t="s">
        <v>379</v>
      </c>
      <c r="J33" s="9" t="s">
        <v>41</v>
      </c>
      <c r="K33" s="9" t="s">
        <v>26</v>
      </c>
      <c r="L33" s="9" t="s">
        <v>380</v>
      </c>
      <c r="M33" s="9">
        <v>5411</v>
      </c>
      <c r="N33" s="9" t="s">
        <v>741</v>
      </c>
      <c r="O33" s="9" t="s">
        <v>742</v>
      </c>
      <c r="P33" s="9" t="s">
        <v>743</v>
      </c>
      <c r="Q33" s="9" t="s">
        <v>744</v>
      </c>
      <c r="R33" s="7"/>
      <c r="S33" s="30" t="s">
        <v>182</v>
      </c>
      <c r="T33" s="31">
        <f>T24</f>
        <v>9458.3333333333339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736</v>
      </c>
      <c r="C34" s="8" t="s">
        <v>814</v>
      </c>
      <c r="D34" s="8" t="s">
        <v>815</v>
      </c>
      <c r="E34" s="8" t="s">
        <v>21</v>
      </c>
      <c r="F34" s="8" t="s">
        <v>22</v>
      </c>
      <c r="G34" s="8">
        <v>545</v>
      </c>
      <c r="H34" s="8" t="s">
        <v>23</v>
      </c>
      <c r="I34" s="8" t="s">
        <v>186</v>
      </c>
      <c r="J34" s="8" t="s">
        <v>41</v>
      </c>
      <c r="K34" s="8" t="s">
        <v>26</v>
      </c>
      <c r="L34" s="8" t="s">
        <v>187</v>
      </c>
      <c r="M34" s="8">
        <v>5999</v>
      </c>
      <c r="N34" s="8" t="s">
        <v>741</v>
      </c>
      <c r="O34" s="8" t="s">
        <v>742</v>
      </c>
      <c r="P34" s="8" t="s">
        <v>743</v>
      </c>
      <c r="Q34" s="8" t="s">
        <v>744</v>
      </c>
      <c r="R34" s="7"/>
      <c r="S34" s="25" t="s">
        <v>188</v>
      </c>
      <c r="T34" s="26">
        <f>V24</f>
        <v>7100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736</v>
      </c>
      <c r="C35" s="9" t="s">
        <v>816</v>
      </c>
      <c r="D35" s="9" t="s">
        <v>817</v>
      </c>
      <c r="E35" s="9" t="s">
        <v>21</v>
      </c>
      <c r="F35" s="9" t="s">
        <v>22</v>
      </c>
      <c r="G35" s="9">
        <v>213</v>
      </c>
      <c r="H35" s="9" t="s">
        <v>23</v>
      </c>
      <c r="I35" s="9" t="s">
        <v>52</v>
      </c>
      <c r="J35" s="9" t="s">
        <v>41</v>
      </c>
      <c r="K35" s="9" t="s">
        <v>26</v>
      </c>
      <c r="L35" s="9" t="s">
        <v>53</v>
      </c>
      <c r="M35" s="9">
        <v>5812</v>
      </c>
      <c r="N35" s="9" t="s">
        <v>741</v>
      </c>
      <c r="O35" s="9" t="s">
        <v>742</v>
      </c>
      <c r="P35" s="9" t="s">
        <v>743</v>
      </c>
      <c r="Q35" s="9" t="s">
        <v>744</v>
      </c>
      <c r="R35" s="7"/>
      <c r="S35" s="30" t="s">
        <v>193</v>
      </c>
      <c r="T35" s="35">
        <f>IFERROR((T33-T34)/T33,0)</f>
        <v>0.24933920704845819</v>
      </c>
      <c r="U35" s="32" t="s">
        <v>194</v>
      </c>
      <c r="V35" s="36" t="str">
        <f>IF(T35&gt;=0.2,"✅ Meets","⚠️ Below")</f>
        <v>✅ Meets</v>
      </c>
      <c r="W35" s="34" t="s">
        <v>195</v>
      </c>
    </row>
    <row r="36" spans="1:23" ht="15.75" customHeight="1">
      <c r="A36" s="8">
        <v>35</v>
      </c>
      <c r="B36" s="8" t="s">
        <v>736</v>
      </c>
      <c r="C36" s="8" t="s">
        <v>818</v>
      </c>
      <c r="D36" s="8" t="s">
        <v>819</v>
      </c>
      <c r="E36" s="8" t="s">
        <v>21</v>
      </c>
      <c r="F36" s="8" t="s">
        <v>22</v>
      </c>
      <c r="G36" s="8">
        <v>465</v>
      </c>
      <c r="H36" s="8" t="s">
        <v>23</v>
      </c>
      <c r="I36" s="8" t="s">
        <v>330</v>
      </c>
      <c r="J36" s="8" t="s">
        <v>331</v>
      </c>
      <c r="K36" s="8" t="s">
        <v>26</v>
      </c>
      <c r="L36" s="8" t="s">
        <v>332</v>
      </c>
      <c r="M36" s="8">
        <v>6011</v>
      </c>
      <c r="N36" s="8" t="s">
        <v>741</v>
      </c>
      <c r="O36" s="8" t="s">
        <v>742</v>
      </c>
      <c r="P36" s="8" t="s">
        <v>743</v>
      </c>
      <c r="Q36" s="8" t="s">
        <v>744</v>
      </c>
      <c r="R36" s="7"/>
      <c r="S36" s="25" t="s">
        <v>200</v>
      </c>
      <c r="T36" s="37">
        <f>T33-T34</f>
        <v>2358.3333333333339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736</v>
      </c>
      <c r="C37" s="9" t="s">
        <v>820</v>
      </c>
      <c r="D37" s="9" t="s">
        <v>821</v>
      </c>
      <c r="E37" s="9" t="s">
        <v>21</v>
      </c>
      <c r="F37" s="9" t="s">
        <v>22</v>
      </c>
      <c r="G37" s="9">
        <v>380</v>
      </c>
      <c r="H37" s="9" t="s">
        <v>23</v>
      </c>
      <c r="I37" s="9" t="s">
        <v>86</v>
      </c>
      <c r="J37" s="9" t="s">
        <v>36</v>
      </c>
      <c r="K37" s="9" t="s">
        <v>26</v>
      </c>
      <c r="L37" s="9" t="s">
        <v>87</v>
      </c>
      <c r="M37" s="9">
        <v>4813</v>
      </c>
      <c r="N37" s="9" t="s">
        <v>741</v>
      </c>
      <c r="O37" s="9" t="s">
        <v>742</v>
      </c>
      <c r="P37" s="9" t="s">
        <v>743</v>
      </c>
      <c r="Q37" s="9" t="s">
        <v>744</v>
      </c>
      <c r="R37" s="7"/>
      <c r="S37" s="30" t="s">
        <v>205</v>
      </c>
      <c r="T37" s="35">
        <f>IFERROR(U24/T30,0)</f>
        <v>0.12631578947368421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736</v>
      </c>
      <c r="C38" s="8" t="s">
        <v>822</v>
      </c>
      <c r="D38" s="8" t="s">
        <v>823</v>
      </c>
      <c r="E38" s="8" t="s">
        <v>21</v>
      </c>
      <c r="F38" s="8" t="s">
        <v>22</v>
      </c>
      <c r="G38" s="8">
        <v>544</v>
      </c>
      <c r="H38" s="8" t="s">
        <v>23</v>
      </c>
      <c r="I38" s="8" t="s">
        <v>186</v>
      </c>
      <c r="J38" s="8" t="s">
        <v>41</v>
      </c>
      <c r="K38" s="8" t="s">
        <v>26</v>
      </c>
      <c r="L38" s="8" t="s">
        <v>187</v>
      </c>
      <c r="M38" s="8">
        <v>5999</v>
      </c>
      <c r="N38" s="8" t="s">
        <v>741</v>
      </c>
      <c r="O38" s="8" t="s">
        <v>742</v>
      </c>
      <c r="P38" s="8" t="s">
        <v>743</v>
      </c>
      <c r="Q38" s="8" t="s">
        <v>744</v>
      </c>
      <c r="R38" s="7"/>
    </row>
    <row r="39" spans="1:23" ht="15" customHeight="1">
      <c r="A39" s="9">
        <v>38</v>
      </c>
      <c r="B39" s="9" t="s">
        <v>736</v>
      </c>
      <c r="C39" s="9" t="s">
        <v>824</v>
      </c>
      <c r="D39" s="9" t="s">
        <v>825</v>
      </c>
      <c r="E39" s="9" t="s">
        <v>21</v>
      </c>
      <c r="F39" s="9" t="s">
        <v>22</v>
      </c>
      <c r="G39" s="9">
        <v>699</v>
      </c>
      <c r="H39" s="9" t="s">
        <v>23</v>
      </c>
      <c r="I39" s="9" t="s">
        <v>198</v>
      </c>
      <c r="J39" s="9" t="s">
        <v>36</v>
      </c>
      <c r="K39" s="9" t="s">
        <v>26</v>
      </c>
      <c r="L39" s="9" t="s">
        <v>199</v>
      </c>
      <c r="M39" s="9">
        <v>4900</v>
      </c>
      <c r="N39" s="9" t="s">
        <v>741</v>
      </c>
      <c r="O39" s="9" t="s">
        <v>742</v>
      </c>
      <c r="P39" s="9" t="s">
        <v>743</v>
      </c>
      <c r="Q39" s="9" t="s">
        <v>744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736</v>
      </c>
      <c r="C40" s="8" t="s">
        <v>826</v>
      </c>
      <c r="D40" s="8" t="s">
        <v>827</v>
      </c>
      <c r="E40" s="8" t="s">
        <v>21</v>
      </c>
      <c r="F40" s="8" t="s">
        <v>22</v>
      </c>
      <c r="G40" s="8">
        <v>541</v>
      </c>
      <c r="H40" s="8" t="s">
        <v>23</v>
      </c>
      <c r="I40" s="8" t="s">
        <v>70</v>
      </c>
      <c r="J40" s="8" t="s">
        <v>41</v>
      </c>
      <c r="K40" s="8" t="s">
        <v>26</v>
      </c>
      <c r="L40" s="8" t="s">
        <v>71</v>
      </c>
      <c r="M40" s="8">
        <v>5541</v>
      </c>
      <c r="N40" s="8" t="s">
        <v>741</v>
      </c>
      <c r="O40" s="8" t="s">
        <v>742</v>
      </c>
      <c r="P40" s="8" t="s">
        <v>743</v>
      </c>
      <c r="Q40" s="8" t="s">
        <v>744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736</v>
      </c>
      <c r="C41" s="9" t="s">
        <v>828</v>
      </c>
      <c r="D41" s="9" t="s">
        <v>829</v>
      </c>
      <c r="E41" s="9" t="s">
        <v>94</v>
      </c>
      <c r="F41" s="9" t="s">
        <v>22</v>
      </c>
      <c r="G41" s="9">
        <v>9400</v>
      </c>
      <c r="H41" s="9" t="s">
        <v>23</v>
      </c>
      <c r="I41" s="9" t="s">
        <v>766</v>
      </c>
      <c r="J41" s="9" t="s">
        <v>96</v>
      </c>
      <c r="K41" s="9" t="s">
        <v>97</v>
      </c>
      <c r="L41" s="9" t="s">
        <v>767</v>
      </c>
      <c r="M41" s="9"/>
      <c r="N41" s="9" t="s">
        <v>767</v>
      </c>
      <c r="O41" s="9" t="s">
        <v>830</v>
      </c>
      <c r="P41" s="9" t="s">
        <v>743</v>
      </c>
      <c r="Q41" s="9" t="s">
        <v>744</v>
      </c>
      <c r="R41" s="7"/>
      <c r="S41" s="39" t="s">
        <v>226</v>
      </c>
      <c r="T41" s="40">
        <f>T5</f>
        <v>29</v>
      </c>
      <c r="U41" s="41">
        <f>IF(T41&lt;18,0,IF(T41&lt;=25,30,IF(T41&lt;=35,80,IF(T41&lt;=50,150,IF(T41&lt;=60,100,0)))))</f>
        <v>80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736</v>
      </c>
      <c r="C42" s="8" t="s">
        <v>831</v>
      </c>
      <c r="D42" s="8" t="s">
        <v>832</v>
      </c>
      <c r="E42" s="8" t="s">
        <v>21</v>
      </c>
      <c r="F42" s="8" t="s">
        <v>22</v>
      </c>
      <c r="G42" s="8">
        <v>214</v>
      </c>
      <c r="H42" s="8" t="s">
        <v>23</v>
      </c>
      <c r="I42" s="8" t="s">
        <v>340</v>
      </c>
      <c r="J42" s="8" t="s">
        <v>41</v>
      </c>
      <c r="K42" s="8" t="s">
        <v>26</v>
      </c>
      <c r="L42" s="8" t="s">
        <v>341</v>
      </c>
      <c r="M42" s="8">
        <v>5812</v>
      </c>
      <c r="N42" s="8" t="s">
        <v>741</v>
      </c>
      <c r="O42" s="8" t="s">
        <v>742</v>
      </c>
      <c r="P42" s="8" t="s">
        <v>743</v>
      </c>
      <c r="Q42" s="8" t="s">
        <v>744</v>
      </c>
      <c r="R42" s="7"/>
      <c r="S42" s="43" t="s">
        <v>230</v>
      </c>
      <c r="T42" s="44">
        <f>T30</f>
        <v>9500</v>
      </c>
      <c r="U42" s="41">
        <f>IF(T42&lt;=5000,0,IF(T42&lt;=10000,50,IF(T42&lt;=15000,100,150)))</f>
        <v>50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736</v>
      </c>
      <c r="C43" s="9" t="s">
        <v>833</v>
      </c>
      <c r="D43" s="9" t="s">
        <v>834</v>
      </c>
      <c r="E43" s="9" t="s">
        <v>21</v>
      </c>
      <c r="F43" s="9" t="s">
        <v>22</v>
      </c>
      <c r="G43" s="9">
        <v>870</v>
      </c>
      <c r="H43" s="9" t="s">
        <v>23</v>
      </c>
      <c r="I43" s="9" t="s">
        <v>318</v>
      </c>
      <c r="J43" s="9" t="s">
        <v>25</v>
      </c>
      <c r="K43" s="9" t="s">
        <v>26</v>
      </c>
      <c r="L43" s="9" t="s">
        <v>319</v>
      </c>
      <c r="M43" s="9">
        <v>5999</v>
      </c>
      <c r="N43" s="9" t="s">
        <v>741</v>
      </c>
      <c r="O43" s="9" t="s">
        <v>742</v>
      </c>
      <c r="P43" s="9" t="s">
        <v>743</v>
      </c>
      <c r="Q43" s="9" t="s">
        <v>744</v>
      </c>
      <c r="R43" s="7"/>
      <c r="S43" s="39" t="s">
        <v>236</v>
      </c>
      <c r="T43" s="45">
        <f>T32</f>
        <v>1200</v>
      </c>
      <c r="U43" s="41">
        <f>IF(T43=0,150,IF(T43&lt;=1500,150,IF(T43&lt;=3000,130,IF(T43&lt;=4500,110,IF(T43&lt;=9000,80,IF(T43&lt;=15000,40,0))))))</f>
        <v>150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736</v>
      </c>
      <c r="C44" s="8" t="s">
        <v>835</v>
      </c>
      <c r="D44" s="8" t="s">
        <v>836</v>
      </c>
      <c r="E44" s="8" t="s">
        <v>21</v>
      </c>
      <c r="F44" s="8" t="s">
        <v>22</v>
      </c>
      <c r="G44" s="8">
        <v>366</v>
      </c>
      <c r="H44" s="8" t="s">
        <v>23</v>
      </c>
      <c r="I44" s="8" t="s">
        <v>340</v>
      </c>
      <c r="J44" s="8" t="s">
        <v>41</v>
      </c>
      <c r="K44" s="8" t="s">
        <v>26</v>
      </c>
      <c r="L44" s="8" t="s">
        <v>341</v>
      </c>
      <c r="M44" s="8">
        <v>5812</v>
      </c>
      <c r="N44" s="8" t="s">
        <v>741</v>
      </c>
      <c r="O44" s="8" t="s">
        <v>742</v>
      </c>
      <c r="P44" s="8" t="s">
        <v>743</v>
      </c>
      <c r="Q44" s="8" t="s">
        <v>744</v>
      </c>
      <c r="R44" s="7"/>
      <c r="S44" s="43" t="s">
        <v>240</v>
      </c>
      <c r="T44" s="46">
        <f>T35</f>
        <v>0.24933920704845819</v>
      </c>
      <c r="U44" s="41">
        <f>IF(T44&lt;=0,0,IF(T44&lt;=0.1,50,IF(T44&lt;=0.2,100,IF(T44&lt;=0.3,130,150))))</f>
        <v>130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736</v>
      </c>
      <c r="C45" s="9" t="s">
        <v>837</v>
      </c>
      <c r="D45" s="9" t="s">
        <v>838</v>
      </c>
      <c r="E45" s="9" t="s">
        <v>21</v>
      </c>
      <c r="F45" s="9" t="s">
        <v>22</v>
      </c>
      <c r="G45" s="9">
        <v>655</v>
      </c>
      <c r="H45" s="9" t="s">
        <v>23</v>
      </c>
      <c r="I45" s="9" t="s">
        <v>111</v>
      </c>
      <c r="J45" s="9" t="s">
        <v>41</v>
      </c>
      <c r="K45" s="9" t="s">
        <v>26</v>
      </c>
      <c r="L45" s="9" t="s">
        <v>112</v>
      </c>
      <c r="M45" s="9">
        <v>5541</v>
      </c>
      <c r="N45" s="9" t="s">
        <v>741</v>
      </c>
      <c r="O45" s="9" t="s">
        <v>742</v>
      </c>
      <c r="P45" s="9" t="s">
        <v>743</v>
      </c>
      <c r="Q45" s="9" t="s">
        <v>744</v>
      </c>
      <c r="R45" s="7"/>
      <c r="S45" s="39" t="s">
        <v>246</v>
      </c>
      <c r="T45" s="45">
        <f>T31</f>
        <v>9500</v>
      </c>
      <c r="U45" s="41">
        <f>IF(T45&lt;=5000,30,IF(T45&lt;=15000,90,150))</f>
        <v>90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736</v>
      </c>
      <c r="C46" s="8" t="s">
        <v>839</v>
      </c>
      <c r="D46" s="8" t="s">
        <v>840</v>
      </c>
      <c r="E46" s="8" t="s">
        <v>21</v>
      </c>
      <c r="F46" s="8" t="s">
        <v>22</v>
      </c>
      <c r="G46" s="8">
        <v>1200</v>
      </c>
      <c r="H46" s="8" t="s">
        <v>23</v>
      </c>
      <c r="I46" s="8" t="s">
        <v>739</v>
      </c>
      <c r="J46" s="8" t="s">
        <v>36</v>
      </c>
      <c r="K46" s="8" t="s">
        <v>26</v>
      </c>
      <c r="L46" s="8" t="s">
        <v>740</v>
      </c>
      <c r="M46" s="8">
        <v>6012</v>
      </c>
      <c r="N46" s="8" t="s">
        <v>741</v>
      </c>
      <c r="O46" s="8" t="s">
        <v>742</v>
      </c>
      <c r="P46" s="8" t="s">
        <v>743</v>
      </c>
      <c r="Q46" s="8" t="s">
        <v>744</v>
      </c>
      <c r="R46" s="7"/>
      <c r="S46" s="43" t="s">
        <v>250</v>
      </c>
      <c r="T46" s="47">
        <f>T36</f>
        <v>2358.3333333333339</v>
      </c>
      <c r="U46" s="41">
        <f>IF(T46&lt;0,0,IF(T46&lt;=1000,50,IF(T46&lt;=3000,100,150)))</f>
        <v>100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736</v>
      </c>
      <c r="C47" s="9" t="s">
        <v>841</v>
      </c>
      <c r="D47" s="9" t="s">
        <v>842</v>
      </c>
      <c r="E47" s="9" t="s">
        <v>21</v>
      </c>
      <c r="F47" s="9" t="s">
        <v>22</v>
      </c>
      <c r="G47" s="9">
        <v>655</v>
      </c>
      <c r="H47" s="9" t="s">
        <v>23</v>
      </c>
      <c r="I47" s="9" t="s">
        <v>90</v>
      </c>
      <c r="J47" s="9" t="s">
        <v>36</v>
      </c>
      <c r="K47" s="9" t="s">
        <v>26</v>
      </c>
      <c r="L47" s="9" t="s">
        <v>91</v>
      </c>
      <c r="M47" s="9">
        <v>4900</v>
      </c>
      <c r="N47" s="9" t="s">
        <v>741</v>
      </c>
      <c r="O47" s="9" t="s">
        <v>742</v>
      </c>
      <c r="P47" s="9" t="s">
        <v>743</v>
      </c>
      <c r="Q47" s="9" t="s">
        <v>744</v>
      </c>
      <c r="R47" s="7"/>
      <c r="S47" s="39" t="s">
        <v>256</v>
      </c>
      <c r="T47" s="48">
        <f>T37</f>
        <v>0.12631578947368421</v>
      </c>
      <c r="U47" s="41">
        <f>IF(T47&lt;=0.1,100,IF(T47&lt;=0.25,70,IF(T47&lt;=0.4,40,IF(T47&lt;=0.6,20,0))))</f>
        <v>70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736</v>
      </c>
      <c r="C48" s="8" t="s">
        <v>843</v>
      </c>
      <c r="D48" s="8" t="s">
        <v>844</v>
      </c>
      <c r="E48" s="8" t="s">
        <v>21</v>
      </c>
      <c r="F48" s="8" t="s">
        <v>22</v>
      </c>
      <c r="G48" s="8">
        <v>763</v>
      </c>
      <c r="H48" s="8" t="s">
        <v>23</v>
      </c>
      <c r="I48" s="8" t="s">
        <v>318</v>
      </c>
      <c r="J48" s="8" t="s">
        <v>25</v>
      </c>
      <c r="K48" s="8" t="s">
        <v>26</v>
      </c>
      <c r="L48" s="8" t="s">
        <v>319</v>
      </c>
      <c r="M48" s="8">
        <v>5999</v>
      </c>
      <c r="N48" s="8" t="s">
        <v>741</v>
      </c>
      <c r="O48" s="8" t="s">
        <v>742</v>
      </c>
      <c r="P48" s="8" t="s">
        <v>743</v>
      </c>
      <c r="Q48" s="8" t="s">
        <v>744</v>
      </c>
      <c r="R48" s="7"/>
    </row>
    <row r="49" spans="1:23" ht="27.75" customHeight="1">
      <c r="A49" s="9">
        <v>48</v>
      </c>
      <c r="B49" s="9" t="s">
        <v>736</v>
      </c>
      <c r="C49" s="9" t="s">
        <v>845</v>
      </c>
      <c r="D49" s="9" t="s">
        <v>846</v>
      </c>
      <c r="E49" s="9" t="s">
        <v>21</v>
      </c>
      <c r="F49" s="9" t="s">
        <v>22</v>
      </c>
      <c r="G49" s="9">
        <v>366</v>
      </c>
      <c r="H49" s="9" t="s">
        <v>23</v>
      </c>
      <c r="I49" s="9" t="s">
        <v>254</v>
      </c>
      <c r="J49" s="9" t="s">
        <v>41</v>
      </c>
      <c r="K49" s="9" t="s">
        <v>26</v>
      </c>
      <c r="L49" s="9" t="s">
        <v>255</v>
      </c>
      <c r="M49" s="9">
        <v>5812</v>
      </c>
      <c r="N49" s="9" t="s">
        <v>741</v>
      </c>
      <c r="O49" s="9" t="s">
        <v>742</v>
      </c>
      <c r="P49" s="9" t="s">
        <v>743</v>
      </c>
      <c r="Q49" s="9" t="s">
        <v>744</v>
      </c>
      <c r="R49" s="7"/>
      <c r="S49" s="49" t="s">
        <v>264</v>
      </c>
      <c r="T49" s="50">
        <f>U41+U42+U43+U44+U45+U46+U47</f>
        <v>670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736</v>
      </c>
      <c r="C50" s="8" t="s">
        <v>847</v>
      </c>
      <c r="D50" s="8" t="s">
        <v>848</v>
      </c>
      <c r="E50" s="8" t="s">
        <v>21</v>
      </c>
      <c r="F50" s="8" t="s">
        <v>22</v>
      </c>
      <c r="G50" s="8">
        <v>2335</v>
      </c>
      <c r="H50" s="8" t="s">
        <v>23</v>
      </c>
      <c r="I50" s="8" t="s">
        <v>56</v>
      </c>
      <c r="J50" s="8" t="s">
        <v>41</v>
      </c>
      <c r="K50" s="8" t="s">
        <v>26</v>
      </c>
      <c r="L50" s="8" t="s">
        <v>57</v>
      </c>
      <c r="M50" s="8">
        <v>5999</v>
      </c>
      <c r="N50" s="8" t="s">
        <v>741</v>
      </c>
      <c r="O50" s="8" t="s">
        <v>742</v>
      </c>
      <c r="P50" s="8" t="s">
        <v>743</v>
      </c>
      <c r="Q50" s="8" t="s">
        <v>744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BBB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736</v>
      </c>
      <c r="C51" s="9" t="s">
        <v>849</v>
      </c>
      <c r="D51" s="9" t="s">
        <v>850</v>
      </c>
      <c r="E51" s="9" t="s">
        <v>21</v>
      </c>
      <c r="F51" s="9" t="s">
        <v>22</v>
      </c>
      <c r="G51" s="9">
        <v>537</v>
      </c>
      <c r="H51" s="9" t="s">
        <v>23</v>
      </c>
      <c r="I51" s="9" t="s">
        <v>82</v>
      </c>
      <c r="J51" s="9" t="s">
        <v>41</v>
      </c>
      <c r="K51" s="9" t="s">
        <v>26</v>
      </c>
      <c r="L51" s="9" t="s">
        <v>83</v>
      </c>
      <c r="M51" s="9">
        <v>5411</v>
      </c>
      <c r="N51" s="9" t="s">
        <v>741</v>
      </c>
      <c r="O51" s="9" t="s">
        <v>742</v>
      </c>
      <c r="P51" s="9" t="s">
        <v>743</v>
      </c>
      <c r="Q51" s="9" t="s">
        <v>744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Above Average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736</v>
      </c>
      <c r="C52" s="8" t="s">
        <v>851</v>
      </c>
      <c r="D52" s="8" t="s">
        <v>852</v>
      </c>
      <c r="E52" s="8" t="s">
        <v>21</v>
      </c>
      <c r="F52" s="8" t="s">
        <v>22</v>
      </c>
      <c r="G52" s="8">
        <v>538</v>
      </c>
      <c r="H52" s="8" t="s">
        <v>23</v>
      </c>
      <c r="I52" s="8" t="s">
        <v>379</v>
      </c>
      <c r="J52" s="8" t="s">
        <v>41</v>
      </c>
      <c r="K52" s="8" t="s">
        <v>26</v>
      </c>
      <c r="L52" s="8" t="s">
        <v>380</v>
      </c>
      <c r="M52" s="8">
        <v>5411</v>
      </c>
      <c r="N52" s="8" t="s">
        <v>741</v>
      </c>
      <c r="O52" s="8" t="s">
        <v>742</v>
      </c>
      <c r="P52" s="8" t="s">
        <v>743</v>
      </c>
      <c r="Q52" s="8" t="s">
        <v>744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Moderate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736</v>
      </c>
      <c r="C53" s="9" t="s">
        <v>853</v>
      </c>
      <c r="D53" s="9" t="s">
        <v>854</v>
      </c>
      <c r="E53" s="9" t="s">
        <v>21</v>
      </c>
      <c r="F53" s="9" t="s">
        <v>22</v>
      </c>
      <c r="G53" s="9">
        <v>538</v>
      </c>
      <c r="H53" s="9" t="s">
        <v>23</v>
      </c>
      <c r="I53" s="9" t="s">
        <v>82</v>
      </c>
      <c r="J53" s="9" t="s">
        <v>41</v>
      </c>
      <c r="K53" s="9" t="s">
        <v>26</v>
      </c>
      <c r="L53" s="9" t="s">
        <v>83</v>
      </c>
      <c r="M53" s="9">
        <v>5411</v>
      </c>
      <c r="N53" s="9" t="s">
        <v>741</v>
      </c>
      <c r="O53" s="9" t="s">
        <v>742</v>
      </c>
      <c r="P53" s="9" t="s">
        <v>743</v>
      </c>
      <c r="Q53" s="9" t="s">
        <v>744</v>
      </c>
      <c r="R53" s="7"/>
    </row>
    <row r="54" spans="1:23" ht="15.75" customHeight="1">
      <c r="A54" s="8">
        <v>53</v>
      </c>
      <c r="B54" s="8" t="s">
        <v>736</v>
      </c>
      <c r="C54" s="8" t="s">
        <v>855</v>
      </c>
      <c r="D54" s="8" t="s">
        <v>856</v>
      </c>
      <c r="E54" s="8" t="s">
        <v>21</v>
      </c>
      <c r="F54" s="8" t="s">
        <v>22</v>
      </c>
      <c r="G54" s="8">
        <v>447</v>
      </c>
      <c r="H54" s="8" t="s">
        <v>23</v>
      </c>
      <c r="I54" s="8" t="s">
        <v>86</v>
      </c>
      <c r="J54" s="8" t="s">
        <v>36</v>
      </c>
      <c r="K54" s="8" t="s">
        <v>26</v>
      </c>
      <c r="L54" s="8" t="s">
        <v>87</v>
      </c>
      <c r="M54" s="8">
        <v>4813</v>
      </c>
      <c r="N54" s="8" t="s">
        <v>741</v>
      </c>
      <c r="O54" s="8" t="s">
        <v>742</v>
      </c>
      <c r="P54" s="8" t="s">
        <v>743</v>
      </c>
      <c r="Q54" s="8" t="s">
        <v>744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736</v>
      </c>
      <c r="C55" s="9" t="s">
        <v>857</v>
      </c>
      <c r="D55" s="9" t="s">
        <v>858</v>
      </c>
      <c r="E55" s="9" t="s">
        <v>94</v>
      </c>
      <c r="F55" s="9" t="s">
        <v>22</v>
      </c>
      <c r="G55" s="9">
        <v>9800</v>
      </c>
      <c r="H55" s="9" t="s">
        <v>23</v>
      </c>
      <c r="I55" s="9" t="s">
        <v>766</v>
      </c>
      <c r="J55" s="9" t="s">
        <v>96</v>
      </c>
      <c r="K55" s="9" t="s">
        <v>97</v>
      </c>
      <c r="L55" s="9" t="s">
        <v>767</v>
      </c>
      <c r="M55" s="9"/>
      <c r="N55" s="9" t="s">
        <v>767</v>
      </c>
      <c r="O55" s="9" t="s">
        <v>859</v>
      </c>
      <c r="P55" s="9" t="s">
        <v>743</v>
      </c>
      <c r="Q55" s="9" t="s">
        <v>744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736</v>
      </c>
      <c r="C56" s="8" t="s">
        <v>860</v>
      </c>
      <c r="D56" s="8" t="s">
        <v>861</v>
      </c>
      <c r="E56" s="8" t="s">
        <v>21</v>
      </c>
      <c r="F56" s="8" t="s">
        <v>22</v>
      </c>
      <c r="G56" s="8">
        <v>1200</v>
      </c>
      <c r="H56" s="8" t="s">
        <v>23</v>
      </c>
      <c r="I56" s="8" t="s">
        <v>739</v>
      </c>
      <c r="J56" s="8" t="s">
        <v>36</v>
      </c>
      <c r="K56" s="8" t="s">
        <v>26</v>
      </c>
      <c r="L56" s="8" t="s">
        <v>740</v>
      </c>
      <c r="M56" s="8">
        <v>6012</v>
      </c>
      <c r="N56" s="8" t="s">
        <v>741</v>
      </c>
      <c r="O56" s="8" t="s">
        <v>742</v>
      </c>
      <c r="P56" s="8" t="s">
        <v>743</v>
      </c>
      <c r="Q56" s="8" t="s">
        <v>744</v>
      </c>
      <c r="R56" s="7"/>
      <c r="S56" s="61" t="s">
        <v>294</v>
      </c>
      <c r="T56" s="62">
        <f>IFERROR(U24/T24,0)</f>
        <v>0.12687224669603522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736</v>
      </c>
      <c r="C57" s="9" t="s">
        <v>862</v>
      </c>
      <c r="D57" s="9" t="s">
        <v>863</v>
      </c>
      <c r="E57" s="9" t="s">
        <v>21</v>
      </c>
      <c r="F57" s="9" t="s">
        <v>22</v>
      </c>
      <c r="G57" s="9">
        <v>520</v>
      </c>
      <c r="H57" s="9" t="s">
        <v>23</v>
      </c>
      <c r="I57" s="9" t="s">
        <v>70</v>
      </c>
      <c r="J57" s="9" t="s">
        <v>41</v>
      </c>
      <c r="K57" s="9" t="s">
        <v>26</v>
      </c>
      <c r="L57" s="9" t="s">
        <v>71</v>
      </c>
      <c r="M57" s="9">
        <v>5541</v>
      </c>
      <c r="N57" s="9" t="s">
        <v>741</v>
      </c>
      <c r="O57" s="9" t="s">
        <v>742</v>
      </c>
      <c r="P57" s="9" t="s">
        <v>743</v>
      </c>
      <c r="Q57" s="9" t="s">
        <v>744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736</v>
      </c>
      <c r="C58" s="8" t="s">
        <v>864</v>
      </c>
      <c r="D58" s="8" t="s">
        <v>865</v>
      </c>
      <c r="E58" s="8" t="s">
        <v>21</v>
      </c>
      <c r="F58" s="8" t="s">
        <v>22</v>
      </c>
      <c r="G58" s="8">
        <v>417</v>
      </c>
      <c r="H58" s="8" t="s">
        <v>23</v>
      </c>
      <c r="I58" s="8" t="s">
        <v>866</v>
      </c>
      <c r="J58" s="8" t="s">
        <v>25</v>
      </c>
      <c r="K58" s="8" t="s">
        <v>26</v>
      </c>
      <c r="L58" s="8" t="s">
        <v>867</v>
      </c>
      <c r="M58" s="8">
        <v>5999</v>
      </c>
      <c r="N58" s="8" t="s">
        <v>741</v>
      </c>
      <c r="O58" s="8" t="s">
        <v>742</v>
      </c>
      <c r="P58" s="8" t="s">
        <v>743</v>
      </c>
      <c r="Q58" s="8" t="s">
        <v>744</v>
      </c>
      <c r="R58" s="7"/>
      <c r="S58" s="61" t="s">
        <v>303</v>
      </c>
      <c r="T58" s="62">
        <f>T35</f>
        <v>0.24933920704845819</v>
      </c>
      <c r="U58" s="27" t="s">
        <v>304</v>
      </c>
      <c r="V58" s="38" t="str">
        <f>IF(T58&gt;=0.2,"✅ Meets","⚠️ Below")</f>
        <v>✅ Meets</v>
      </c>
      <c r="W58" s="29" t="s">
        <v>305</v>
      </c>
    </row>
    <row r="59" spans="1:23" ht="18" customHeight="1">
      <c r="A59" s="9">
        <v>58</v>
      </c>
      <c r="B59" s="9" t="s">
        <v>736</v>
      </c>
      <c r="C59" s="9" t="s">
        <v>868</v>
      </c>
      <c r="D59" s="9" t="s">
        <v>869</v>
      </c>
      <c r="E59" s="9" t="s">
        <v>21</v>
      </c>
      <c r="F59" s="9" t="s">
        <v>22</v>
      </c>
      <c r="G59" s="9">
        <v>804</v>
      </c>
      <c r="H59" s="9" t="s">
        <v>23</v>
      </c>
      <c r="I59" s="9" t="s">
        <v>90</v>
      </c>
      <c r="J59" s="9" t="s">
        <v>36</v>
      </c>
      <c r="K59" s="9" t="s">
        <v>26</v>
      </c>
      <c r="L59" s="9" t="s">
        <v>91</v>
      </c>
      <c r="M59" s="9">
        <v>4900</v>
      </c>
      <c r="N59" s="9" t="s">
        <v>741</v>
      </c>
      <c r="O59" s="9" t="s">
        <v>742</v>
      </c>
      <c r="P59" s="9" t="s">
        <v>743</v>
      </c>
      <c r="Q59" s="9" t="s">
        <v>744</v>
      </c>
      <c r="R59" s="7"/>
      <c r="S59" s="68" t="s">
        <v>308</v>
      </c>
      <c r="T59" s="69">
        <f>T36</f>
        <v>2358.3333333333339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736</v>
      </c>
      <c r="C60" s="8" t="s">
        <v>870</v>
      </c>
      <c r="D60" s="8" t="s">
        <v>871</v>
      </c>
      <c r="E60" s="8" t="s">
        <v>21</v>
      </c>
      <c r="F60" s="8" t="s">
        <v>22</v>
      </c>
      <c r="G60" s="8">
        <v>592</v>
      </c>
      <c r="H60" s="8" t="s">
        <v>23</v>
      </c>
      <c r="I60" s="8" t="s">
        <v>131</v>
      </c>
      <c r="J60" s="8" t="s">
        <v>41</v>
      </c>
      <c r="K60" s="8" t="s">
        <v>26</v>
      </c>
      <c r="L60" s="8" t="s">
        <v>132</v>
      </c>
      <c r="M60" s="8">
        <v>5411</v>
      </c>
      <c r="N60" s="8" t="s">
        <v>741</v>
      </c>
      <c r="O60" s="8" t="s">
        <v>742</v>
      </c>
      <c r="P60" s="8" t="s">
        <v>743</v>
      </c>
      <c r="Q60" s="8" t="s">
        <v>744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736</v>
      </c>
      <c r="C61" s="9" t="s">
        <v>872</v>
      </c>
      <c r="D61" s="9" t="s">
        <v>873</v>
      </c>
      <c r="E61" s="9" t="s">
        <v>21</v>
      </c>
      <c r="F61" s="9" t="s">
        <v>22</v>
      </c>
      <c r="G61" s="9">
        <v>232</v>
      </c>
      <c r="H61" s="9" t="s">
        <v>23</v>
      </c>
      <c r="I61" s="9" t="s">
        <v>56</v>
      </c>
      <c r="J61" s="9" t="s">
        <v>41</v>
      </c>
      <c r="K61" s="9" t="s">
        <v>26</v>
      </c>
      <c r="L61" s="9" t="s">
        <v>57</v>
      </c>
      <c r="M61" s="9">
        <v>5999</v>
      </c>
      <c r="N61" s="9" t="s">
        <v>741</v>
      </c>
      <c r="O61" s="9" t="s">
        <v>742</v>
      </c>
      <c r="P61" s="9" t="s">
        <v>743</v>
      </c>
      <c r="Q61" s="9" t="s">
        <v>744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736</v>
      </c>
      <c r="C62" s="8" t="s">
        <v>874</v>
      </c>
      <c r="D62" s="8" t="s">
        <v>875</v>
      </c>
      <c r="E62" s="8" t="s">
        <v>21</v>
      </c>
      <c r="F62" s="8" t="s">
        <v>22</v>
      </c>
      <c r="G62" s="8">
        <v>687</v>
      </c>
      <c r="H62" s="8" t="s">
        <v>23</v>
      </c>
      <c r="I62" s="8" t="s">
        <v>340</v>
      </c>
      <c r="J62" s="8" t="s">
        <v>41</v>
      </c>
      <c r="K62" s="8" t="s">
        <v>26</v>
      </c>
      <c r="L62" s="8" t="s">
        <v>341</v>
      </c>
      <c r="M62" s="8">
        <v>5812</v>
      </c>
      <c r="N62" s="8" t="s">
        <v>741</v>
      </c>
      <c r="O62" s="8" t="s">
        <v>742</v>
      </c>
      <c r="P62" s="8" t="s">
        <v>743</v>
      </c>
      <c r="Q62" s="8" t="s">
        <v>744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736</v>
      </c>
      <c r="C63" s="9" t="s">
        <v>876</v>
      </c>
      <c r="D63" s="9" t="s">
        <v>877</v>
      </c>
      <c r="E63" s="9" t="s">
        <v>21</v>
      </c>
      <c r="F63" s="9" t="s">
        <v>22</v>
      </c>
      <c r="G63" s="9">
        <v>372</v>
      </c>
      <c r="H63" s="9" t="s">
        <v>23</v>
      </c>
      <c r="I63" s="9" t="s">
        <v>174</v>
      </c>
      <c r="J63" s="9" t="s">
        <v>36</v>
      </c>
      <c r="K63" s="9" t="s">
        <v>26</v>
      </c>
      <c r="L63" s="9" t="s">
        <v>175</v>
      </c>
      <c r="M63" s="9">
        <v>4813</v>
      </c>
      <c r="N63" s="9" t="s">
        <v>741</v>
      </c>
      <c r="O63" s="9" t="s">
        <v>742</v>
      </c>
      <c r="P63" s="9" t="s">
        <v>743</v>
      </c>
      <c r="Q63" s="9" t="s">
        <v>744</v>
      </c>
      <c r="R63" s="7"/>
      <c r="S63" s="68" t="s">
        <v>333</v>
      </c>
      <c r="T63" s="74">
        <f>IFERROR((MIN(1,SUMPRODUCT((LEFT($C$2:$C$166,7)=TEXT(S9,"YYYY-MM"))*($E$2:$E$166="KSAOB.Credit")*($K$2:$K$166="KSAOB.Deposit")))+MIN(1,SUMPRODUCT((LEFT($C$2:$C$166,7)=TEXT(S10,"YYYY-MM"))*($E$2:$E$166="KSAOB.Credit")*($K$2:$K$166="KSAOB.Deposit")))+MIN(1,SUMPRODUCT((LEFT($C$2:$C$166,7)=TEXT(S11,"YYYY-MM"))*($E$2:$E$166="KSAOB.Credit")*($K$2:$K$166="KSAOB.Deposit")))+MIN(1,SUMPRODUCT((LEFT($C$2:$C$166,7)=TEXT(S12,"YYYY-MM"))*($E$2:$E$166="KSAOB.Credit")*($K$2:$K$166="KSAOB.Deposit")))+MIN(1,SUMPRODUCT((LEFT($C$2:$C$166,7)=TEXT(S13,"YYYY-MM"))*($E$2:$E$166="KSAOB.Credit")*($K$2:$K$166="KSAOB.Deposit")))+MIN(1,SUMPRODUCT((LEFT($C$2:$C$166,7)=TEXT(S14,"YYYY-MM"))*($E$2:$E$166="KSAOB.Credit")*($K$2:$K$166="KSAOB.Deposit")))+MIN(1,SUMPRODUCT((LEFT($C$2:$C$166,7)=TEXT(S15,"YYYY-MM"))*($E$2:$E$166="KSAOB.Credit")*($K$2:$K$166="KSAOB.Deposit")))+MIN(1,SUMPRODUCT((LEFT($C$2:$C$166,7)=TEXT(S16,"YYYY-MM"))*($E$2:$E$166="KSAOB.Credit")*($K$2:$K$166="KSAOB.Deposit")))+MIN(1,SUMPRODUCT((LEFT($C$2:$C$166,7)=TEXT(S17,"YYYY-MM"))*($E$2:$E$166="KSAOB.Credit")*($K$2:$K$166="KSAOB.Deposit")))+MIN(1,SUMPRODUCT((LEFT($C$2:$C$166,7)=TEXT(S18,"YYYY-MM"))*($E$2:$E$166="KSAOB.Credit")*($K$2:$K$166="KSAOB.Deposit")))+MIN(1,SUMPRODUCT((LEFT($C$2:$C$166,7)=TEXT(S19,"YYYY-MM"))*($E$2:$E$166="KSAOB.Credit")*($K$2:$K$166="KSAOB.Deposit")))+MIN(1,SUMPRODUCT((LEFT($C$2:$C$166,7)=TEXT(S20,"YYYY-MM"))*($E$2:$E$166="KSAOB.Credit")*($K$2:$K$166="KSAOB.Deposit"))))/12,0)</f>
        <v>1</v>
      </c>
      <c r="U63" s="32" t="s">
        <v>334</v>
      </c>
      <c r="V63" s="36" t="str">
        <f>IF(T63&gt;=0.9,"✅ Meets","⚠️ Below")</f>
        <v>✅ Meets</v>
      </c>
      <c r="W63" s="34" t="s">
        <v>878</v>
      </c>
    </row>
    <row r="64" spans="1:23" ht="15" customHeight="1">
      <c r="A64" s="8">
        <v>63</v>
      </c>
      <c r="B64" s="8" t="s">
        <v>736</v>
      </c>
      <c r="C64" s="8" t="s">
        <v>879</v>
      </c>
      <c r="D64" s="8" t="s">
        <v>880</v>
      </c>
      <c r="E64" s="8" t="s">
        <v>21</v>
      </c>
      <c r="F64" s="8" t="s">
        <v>22</v>
      </c>
      <c r="G64" s="8">
        <v>724</v>
      </c>
      <c r="H64" s="8" t="s">
        <v>23</v>
      </c>
      <c r="I64" s="8" t="s">
        <v>186</v>
      </c>
      <c r="J64" s="8" t="s">
        <v>41</v>
      </c>
      <c r="K64" s="8" t="s">
        <v>26</v>
      </c>
      <c r="L64" s="8" t="s">
        <v>187</v>
      </c>
      <c r="M64" s="8">
        <v>5999</v>
      </c>
      <c r="N64" s="8" t="s">
        <v>741</v>
      </c>
      <c r="O64" s="8" t="s">
        <v>742</v>
      </c>
      <c r="P64" s="8" t="s">
        <v>743</v>
      </c>
      <c r="Q64" s="8" t="s">
        <v>744</v>
      </c>
      <c r="R64" s="7"/>
    </row>
    <row r="65" spans="1:17" ht="15" customHeight="1">
      <c r="A65" s="9">
        <v>64</v>
      </c>
      <c r="B65" s="9" t="s">
        <v>736</v>
      </c>
      <c r="C65" s="9" t="s">
        <v>881</v>
      </c>
      <c r="D65" s="9" t="s">
        <v>882</v>
      </c>
      <c r="E65" s="9" t="s">
        <v>21</v>
      </c>
      <c r="F65" s="9" t="s">
        <v>22</v>
      </c>
      <c r="G65" s="9">
        <v>593</v>
      </c>
      <c r="H65" s="9" t="s">
        <v>23</v>
      </c>
      <c r="I65" s="9" t="s">
        <v>244</v>
      </c>
      <c r="J65" s="9" t="s">
        <v>41</v>
      </c>
      <c r="K65" s="9" t="s">
        <v>26</v>
      </c>
      <c r="L65" s="9" t="s">
        <v>245</v>
      </c>
      <c r="M65" s="9">
        <v>5411</v>
      </c>
      <c r="N65" s="9" t="s">
        <v>741</v>
      </c>
      <c r="O65" s="9" t="s">
        <v>742</v>
      </c>
      <c r="P65" s="9" t="s">
        <v>743</v>
      </c>
      <c r="Q65" s="9" t="s">
        <v>744</v>
      </c>
    </row>
    <row r="66" spans="1:17" ht="15" customHeight="1">
      <c r="A66" s="8">
        <v>65</v>
      </c>
      <c r="B66" s="8" t="s">
        <v>736</v>
      </c>
      <c r="C66" s="8" t="s">
        <v>883</v>
      </c>
      <c r="D66" s="8" t="s">
        <v>884</v>
      </c>
      <c r="E66" s="8" t="s">
        <v>21</v>
      </c>
      <c r="F66" s="8" t="s">
        <v>22</v>
      </c>
      <c r="G66" s="8">
        <v>592</v>
      </c>
      <c r="H66" s="8" t="s">
        <v>23</v>
      </c>
      <c r="I66" s="8" t="s">
        <v>244</v>
      </c>
      <c r="J66" s="8" t="s">
        <v>41</v>
      </c>
      <c r="K66" s="8" t="s">
        <v>26</v>
      </c>
      <c r="L66" s="8" t="s">
        <v>245</v>
      </c>
      <c r="M66" s="8">
        <v>5411</v>
      </c>
      <c r="N66" s="8" t="s">
        <v>741</v>
      </c>
      <c r="O66" s="8" t="s">
        <v>742</v>
      </c>
      <c r="P66" s="8" t="s">
        <v>743</v>
      </c>
      <c r="Q66" s="8" t="s">
        <v>744</v>
      </c>
    </row>
    <row r="67" spans="1:17" ht="15" customHeight="1">
      <c r="A67" s="9">
        <v>66</v>
      </c>
      <c r="B67" s="9" t="s">
        <v>736</v>
      </c>
      <c r="C67" s="9" t="s">
        <v>885</v>
      </c>
      <c r="D67" s="9" t="s">
        <v>886</v>
      </c>
      <c r="E67" s="9" t="s">
        <v>21</v>
      </c>
      <c r="F67" s="9" t="s">
        <v>22</v>
      </c>
      <c r="G67" s="9">
        <v>375</v>
      </c>
      <c r="H67" s="9" t="s">
        <v>23</v>
      </c>
      <c r="I67" s="9" t="s">
        <v>560</v>
      </c>
      <c r="J67" s="9" t="s">
        <v>331</v>
      </c>
      <c r="K67" s="9" t="s">
        <v>26</v>
      </c>
      <c r="L67" s="9" t="s">
        <v>561</v>
      </c>
      <c r="M67" s="9">
        <v>6011</v>
      </c>
      <c r="N67" s="9" t="s">
        <v>741</v>
      </c>
      <c r="O67" s="9" t="s">
        <v>742</v>
      </c>
      <c r="P67" s="9" t="s">
        <v>743</v>
      </c>
      <c r="Q67" s="9" t="s">
        <v>744</v>
      </c>
    </row>
    <row r="68" spans="1:17" ht="15" customHeight="1">
      <c r="A68" s="8">
        <v>67</v>
      </c>
      <c r="B68" s="8" t="s">
        <v>736</v>
      </c>
      <c r="C68" s="8" t="s">
        <v>887</v>
      </c>
      <c r="D68" s="8" t="s">
        <v>888</v>
      </c>
      <c r="E68" s="8" t="s">
        <v>21</v>
      </c>
      <c r="F68" s="8" t="s">
        <v>22</v>
      </c>
      <c r="G68" s="8">
        <v>417</v>
      </c>
      <c r="H68" s="8" t="s">
        <v>23</v>
      </c>
      <c r="I68" s="8" t="s">
        <v>61</v>
      </c>
      <c r="J68" s="8" t="s">
        <v>25</v>
      </c>
      <c r="K68" s="8" t="s">
        <v>26</v>
      </c>
      <c r="L68" s="8" t="s">
        <v>62</v>
      </c>
      <c r="M68" s="8">
        <v>5999</v>
      </c>
      <c r="N68" s="8" t="s">
        <v>741</v>
      </c>
      <c r="O68" s="8" t="s">
        <v>742</v>
      </c>
      <c r="P68" s="8" t="s">
        <v>743</v>
      </c>
      <c r="Q68" s="8" t="s">
        <v>744</v>
      </c>
    </row>
    <row r="69" spans="1:17" ht="15" customHeight="1">
      <c r="A69" s="9">
        <v>68</v>
      </c>
      <c r="B69" s="9" t="s">
        <v>736</v>
      </c>
      <c r="C69" s="9" t="s">
        <v>889</v>
      </c>
      <c r="D69" s="9" t="s">
        <v>890</v>
      </c>
      <c r="E69" s="9" t="s">
        <v>94</v>
      </c>
      <c r="F69" s="9" t="s">
        <v>22</v>
      </c>
      <c r="G69" s="9">
        <v>9200</v>
      </c>
      <c r="H69" s="9" t="s">
        <v>23</v>
      </c>
      <c r="I69" s="9" t="s">
        <v>766</v>
      </c>
      <c r="J69" s="9" t="s">
        <v>96</v>
      </c>
      <c r="K69" s="9" t="s">
        <v>97</v>
      </c>
      <c r="L69" s="9" t="s">
        <v>767</v>
      </c>
      <c r="M69" s="9"/>
      <c r="N69" s="9" t="s">
        <v>767</v>
      </c>
      <c r="O69" s="9" t="s">
        <v>891</v>
      </c>
      <c r="P69" s="9" t="s">
        <v>743</v>
      </c>
      <c r="Q69" s="9" t="s">
        <v>744</v>
      </c>
    </row>
    <row r="70" spans="1:17" ht="15" customHeight="1">
      <c r="A70" s="8">
        <v>69</v>
      </c>
      <c r="B70" s="8" t="s">
        <v>736</v>
      </c>
      <c r="C70" s="8" t="s">
        <v>892</v>
      </c>
      <c r="D70" s="8" t="s">
        <v>893</v>
      </c>
      <c r="E70" s="8" t="s">
        <v>21</v>
      </c>
      <c r="F70" s="8" t="s">
        <v>22</v>
      </c>
      <c r="G70" s="8">
        <v>725</v>
      </c>
      <c r="H70" s="8" t="s">
        <v>23</v>
      </c>
      <c r="I70" s="8" t="s">
        <v>186</v>
      </c>
      <c r="J70" s="8" t="s">
        <v>41</v>
      </c>
      <c r="K70" s="8" t="s">
        <v>26</v>
      </c>
      <c r="L70" s="8" t="s">
        <v>187</v>
      </c>
      <c r="M70" s="8">
        <v>5999</v>
      </c>
      <c r="N70" s="8" t="s">
        <v>741</v>
      </c>
      <c r="O70" s="8" t="s">
        <v>742</v>
      </c>
      <c r="P70" s="8" t="s">
        <v>743</v>
      </c>
      <c r="Q70" s="8" t="s">
        <v>744</v>
      </c>
    </row>
    <row r="71" spans="1:17" ht="15" customHeight="1">
      <c r="A71" s="9">
        <v>70</v>
      </c>
      <c r="B71" s="9" t="s">
        <v>736</v>
      </c>
      <c r="C71" s="9" t="s">
        <v>894</v>
      </c>
      <c r="D71" s="9" t="s">
        <v>895</v>
      </c>
      <c r="E71" s="9" t="s">
        <v>21</v>
      </c>
      <c r="F71" s="9" t="s">
        <v>22</v>
      </c>
      <c r="G71" s="9">
        <v>778</v>
      </c>
      <c r="H71" s="9" t="s">
        <v>23</v>
      </c>
      <c r="I71" s="9" t="s">
        <v>131</v>
      </c>
      <c r="J71" s="9" t="s">
        <v>41</v>
      </c>
      <c r="K71" s="9" t="s">
        <v>26</v>
      </c>
      <c r="L71" s="9" t="s">
        <v>132</v>
      </c>
      <c r="M71" s="9">
        <v>5411</v>
      </c>
      <c r="N71" s="9" t="s">
        <v>741</v>
      </c>
      <c r="O71" s="9" t="s">
        <v>742</v>
      </c>
      <c r="P71" s="9" t="s">
        <v>743</v>
      </c>
      <c r="Q71" s="9" t="s">
        <v>744</v>
      </c>
    </row>
    <row r="72" spans="1:17" ht="15" customHeight="1">
      <c r="A72" s="8">
        <v>71</v>
      </c>
      <c r="B72" s="8" t="s">
        <v>736</v>
      </c>
      <c r="C72" s="8" t="s">
        <v>896</v>
      </c>
      <c r="D72" s="8" t="s">
        <v>897</v>
      </c>
      <c r="E72" s="8" t="s">
        <v>21</v>
      </c>
      <c r="F72" s="8" t="s">
        <v>22</v>
      </c>
      <c r="G72" s="8">
        <v>1200</v>
      </c>
      <c r="H72" s="8" t="s">
        <v>23</v>
      </c>
      <c r="I72" s="8" t="s">
        <v>739</v>
      </c>
      <c r="J72" s="8" t="s">
        <v>36</v>
      </c>
      <c r="K72" s="8" t="s">
        <v>26</v>
      </c>
      <c r="L72" s="8" t="s">
        <v>740</v>
      </c>
      <c r="M72" s="8">
        <v>6012</v>
      </c>
      <c r="N72" s="8" t="s">
        <v>741</v>
      </c>
      <c r="O72" s="8" t="s">
        <v>742</v>
      </c>
      <c r="P72" s="8" t="s">
        <v>743</v>
      </c>
      <c r="Q72" s="8" t="s">
        <v>744</v>
      </c>
    </row>
    <row r="73" spans="1:17" ht="15" customHeight="1">
      <c r="A73" s="9">
        <v>72</v>
      </c>
      <c r="B73" s="9" t="s">
        <v>736</v>
      </c>
      <c r="C73" s="9" t="s">
        <v>898</v>
      </c>
      <c r="D73" s="9" t="s">
        <v>899</v>
      </c>
      <c r="E73" s="9" t="s">
        <v>21</v>
      </c>
      <c r="F73" s="9" t="s">
        <v>22</v>
      </c>
      <c r="G73" s="9">
        <v>307</v>
      </c>
      <c r="H73" s="9" t="s">
        <v>23</v>
      </c>
      <c r="I73" s="9" t="s">
        <v>340</v>
      </c>
      <c r="J73" s="9" t="s">
        <v>41</v>
      </c>
      <c r="K73" s="9" t="s">
        <v>26</v>
      </c>
      <c r="L73" s="9" t="s">
        <v>341</v>
      </c>
      <c r="M73" s="9">
        <v>5812</v>
      </c>
      <c r="N73" s="9" t="s">
        <v>741</v>
      </c>
      <c r="O73" s="9" t="s">
        <v>742</v>
      </c>
      <c r="P73" s="9" t="s">
        <v>743</v>
      </c>
      <c r="Q73" s="9" t="s">
        <v>744</v>
      </c>
    </row>
    <row r="74" spans="1:17" ht="15" customHeight="1">
      <c r="A74" s="8">
        <v>73</v>
      </c>
      <c r="B74" s="8" t="s">
        <v>736</v>
      </c>
      <c r="C74" s="8" t="s">
        <v>900</v>
      </c>
      <c r="D74" s="8" t="s">
        <v>901</v>
      </c>
      <c r="E74" s="8" t="s">
        <v>21</v>
      </c>
      <c r="F74" s="8" t="s">
        <v>22</v>
      </c>
      <c r="G74" s="8">
        <v>2253</v>
      </c>
      <c r="H74" s="8" t="s">
        <v>23</v>
      </c>
      <c r="I74" s="8" t="s">
        <v>56</v>
      </c>
      <c r="J74" s="8" t="s">
        <v>41</v>
      </c>
      <c r="K74" s="8" t="s">
        <v>26</v>
      </c>
      <c r="L74" s="8" t="s">
        <v>57</v>
      </c>
      <c r="M74" s="8">
        <v>5999</v>
      </c>
      <c r="N74" s="8" t="s">
        <v>741</v>
      </c>
      <c r="O74" s="8" t="s">
        <v>742</v>
      </c>
      <c r="P74" s="8" t="s">
        <v>743</v>
      </c>
      <c r="Q74" s="8" t="s">
        <v>744</v>
      </c>
    </row>
    <row r="75" spans="1:17" ht="15" customHeight="1">
      <c r="A75" s="9">
        <v>74</v>
      </c>
      <c r="B75" s="9" t="s">
        <v>736</v>
      </c>
      <c r="C75" s="9" t="s">
        <v>902</v>
      </c>
      <c r="D75" s="9" t="s">
        <v>903</v>
      </c>
      <c r="E75" s="9" t="s">
        <v>21</v>
      </c>
      <c r="F75" s="9" t="s">
        <v>22</v>
      </c>
      <c r="G75" s="9">
        <v>748</v>
      </c>
      <c r="H75" s="9" t="s">
        <v>23</v>
      </c>
      <c r="I75" s="9" t="s">
        <v>198</v>
      </c>
      <c r="J75" s="9" t="s">
        <v>36</v>
      </c>
      <c r="K75" s="9" t="s">
        <v>26</v>
      </c>
      <c r="L75" s="9" t="s">
        <v>199</v>
      </c>
      <c r="M75" s="9">
        <v>4900</v>
      </c>
      <c r="N75" s="9" t="s">
        <v>741</v>
      </c>
      <c r="O75" s="9" t="s">
        <v>742</v>
      </c>
      <c r="P75" s="9" t="s">
        <v>743</v>
      </c>
      <c r="Q75" s="9" t="s">
        <v>744</v>
      </c>
    </row>
    <row r="76" spans="1:17" ht="15" customHeight="1">
      <c r="A76" s="8">
        <v>75</v>
      </c>
      <c r="B76" s="8" t="s">
        <v>736</v>
      </c>
      <c r="C76" s="8" t="s">
        <v>904</v>
      </c>
      <c r="D76" s="8" t="s">
        <v>905</v>
      </c>
      <c r="E76" s="8" t="s">
        <v>21</v>
      </c>
      <c r="F76" s="8" t="s">
        <v>22</v>
      </c>
      <c r="G76" s="8">
        <v>471</v>
      </c>
      <c r="H76" s="8" t="s">
        <v>23</v>
      </c>
      <c r="I76" s="8" t="s">
        <v>127</v>
      </c>
      <c r="J76" s="8" t="s">
        <v>25</v>
      </c>
      <c r="K76" s="8" t="s">
        <v>26</v>
      </c>
      <c r="L76" s="8" t="s">
        <v>128</v>
      </c>
      <c r="M76" s="8">
        <v>5999</v>
      </c>
      <c r="N76" s="8" t="s">
        <v>741</v>
      </c>
      <c r="O76" s="8" t="s">
        <v>742</v>
      </c>
      <c r="P76" s="8" t="s">
        <v>743</v>
      </c>
      <c r="Q76" s="8" t="s">
        <v>744</v>
      </c>
    </row>
    <row r="77" spans="1:17" ht="15" customHeight="1">
      <c r="A77" s="9">
        <v>76</v>
      </c>
      <c r="B77" s="9" t="s">
        <v>736</v>
      </c>
      <c r="C77" s="9" t="s">
        <v>906</v>
      </c>
      <c r="D77" s="9" t="s">
        <v>907</v>
      </c>
      <c r="E77" s="9" t="s">
        <v>21</v>
      </c>
      <c r="F77" s="9" t="s">
        <v>22</v>
      </c>
      <c r="G77" s="9">
        <v>369</v>
      </c>
      <c r="H77" s="9" t="s">
        <v>23</v>
      </c>
      <c r="I77" s="9" t="s">
        <v>86</v>
      </c>
      <c r="J77" s="9" t="s">
        <v>36</v>
      </c>
      <c r="K77" s="9" t="s">
        <v>26</v>
      </c>
      <c r="L77" s="9" t="s">
        <v>87</v>
      </c>
      <c r="M77" s="9">
        <v>4813</v>
      </c>
      <c r="N77" s="9" t="s">
        <v>741</v>
      </c>
      <c r="O77" s="9" t="s">
        <v>742</v>
      </c>
      <c r="P77" s="9" t="s">
        <v>743</v>
      </c>
      <c r="Q77" s="9" t="s">
        <v>744</v>
      </c>
    </row>
    <row r="78" spans="1:17" ht="15" customHeight="1">
      <c r="A78" s="8">
        <v>77</v>
      </c>
      <c r="B78" s="8" t="s">
        <v>736</v>
      </c>
      <c r="C78" s="8" t="s">
        <v>908</v>
      </c>
      <c r="D78" s="8" t="s">
        <v>909</v>
      </c>
      <c r="E78" s="8" t="s">
        <v>21</v>
      </c>
      <c r="F78" s="8" t="s">
        <v>22</v>
      </c>
      <c r="G78" s="8">
        <v>307</v>
      </c>
      <c r="H78" s="8" t="s">
        <v>23</v>
      </c>
      <c r="I78" s="8" t="s">
        <v>115</v>
      </c>
      <c r="J78" s="8" t="s">
        <v>41</v>
      </c>
      <c r="K78" s="8" t="s">
        <v>26</v>
      </c>
      <c r="L78" s="8" t="s">
        <v>116</v>
      </c>
      <c r="M78" s="8">
        <v>5812</v>
      </c>
      <c r="N78" s="8" t="s">
        <v>741</v>
      </c>
      <c r="O78" s="8" t="s">
        <v>742</v>
      </c>
      <c r="P78" s="8" t="s">
        <v>743</v>
      </c>
      <c r="Q78" s="8" t="s">
        <v>744</v>
      </c>
    </row>
    <row r="79" spans="1:17" ht="15" customHeight="1">
      <c r="A79" s="9">
        <v>78</v>
      </c>
      <c r="B79" s="9" t="s">
        <v>736</v>
      </c>
      <c r="C79" s="9" t="s">
        <v>910</v>
      </c>
      <c r="D79" s="9" t="s">
        <v>911</v>
      </c>
      <c r="E79" s="9" t="s">
        <v>21</v>
      </c>
      <c r="F79" s="9" t="s">
        <v>22</v>
      </c>
      <c r="G79" s="9">
        <v>471</v>
      </c>
      <c r="H79" s="9" t="s">
        <v>23</v>
      </c>
      <c r="I79" s="9" t="s">
        <v>61</v>
      </c>
      <c r="J79" s="9" t="s">
        <v>25</v>
      </c>
      <c r="K79" s="9" t="s">
        <v>26</v>
      </c>
      <c r="L79" s="9" t="s">
        <v>62</v>
      </c>
      <c r="M79" s="9">
        <v>5999</v>
      </c>
      <c r="N79" s="9" t="s">
        <v>741</v>
      </c>
      <c r="O79" s="9" t="s">
        <v>742</v>
      </c>
      <c r="P79" s="9" t="s">
        <v>743</v>
      </c>
      <c r="Q79" s="9" t="s">
        <v>744</v>
      </c>
    </row>
    <row r="80" spans="1:17" ht="15" customHeight="1">
      <c r="A80" s="8">
        <v>79</v>
      </c>
      <c r="B80" s="8" t="s">
        <v>736</v>
      </c>
      <c r="C80" s="8" t="s">
        <v>912</v>
      </c>
      <c r="D80" s="8" t="s">
        <v>913</v>
      </c>
      <c r="E80" s="8" t="s">
        <v>21</v>
      </c>
      <c r="F80" s="8" t="s">
        <v>22</v>
      </c>
      <c r="G80" s="8">
        <v>778</v>
      </c>
      <c r="H80" s="8" t="s">
        <v>23</v>
      </c>
      <c r="I80" s="8" t="s">
        <v>379</v>
      </c>
      <c r="J80" s="8" t="s">
        <v>41</v>
      </c>
      <c r="K80" s="8" t="s">
        <v>26</v>
      </c>
      <c r="L80" s="8" t="s">
        <v>380</v>
      </c>
      <c r="M80" s="8">
        <v>5411</v>
      </c>
      <c r="N80" s="8" t="s">
        <v>741</v>
      </c>
      <c r="O80" s="8" t="s">
        <v>742</v>
      </c>
      <c r="P80" s="8" t="s">
        <v>743</v>
      </c>
      <c r="Q80" s="8" t="s">
        <v>744</v>
      </c>
    </row>
    <row r="81" spans="1:17" ht="15" customHeight="1">
      <c r="A81" s="9">
        <v>80</v>
      </c>
      <c r="B81" s="9" t="s">
        <v>736</v>
      </c>
      <c r="C81" s="9" t="s">
        <v>914</v>
      </c>
      <c r="D81" s="9" t="s">
        <v>915</v>
      </c>
      <c r="E81" s="9" t="s">
        <v>94</v>
      </c>
      <c r="F81" s="9" t="s">
        <v>22</v>
      </c>
      <c r="G81" s="9">
        <v>9500</v>
      </c>
      <c r="H81" s="9" t="s">
        <v>23</v>
      </c>
      <c r="I81" s="9" t="s">
        <v>766</v>
      </c>
      <c r="J81" s="9" t="s">
        <v>96</v>
      </c>
      <c r="K81" s="9" t="s">
        <v>97</v>
      </c>
      <c r="L81" s="9" t="s">
        <v>767</v>
      </c>
      <c r="M81" s="9"/>
      <c r="N81" s="9" t="s">
        <v>767</v>
      </c>
      <c r="O81" s="9" t="s">
        <v>916</v>
      </c>
      <c r="P81" s="9" t="s">
        <v>743</v>
      </c>
      <c r="Q81" s="9" t="s">
        <v>744</v>
      </c>
    </row>
    <row r="82" spans="1:17" ht="15" customHeight="1">
      <c r="A82" s="8">
        <v>81</v>
      </c>
      <c r="B82" s="8" t="s">
        <v>736</v>
      </c>
      <c r="C82" s="8" t="s">
        <v>917</v>
      </c>
      <c r="D82" s="8" t="s">
        <v>918</v>
      </c>
      <c r="E82" s="8" t="s">
        <v>21</v>
      </c>
      <c r="F82" s="8" t="s">
        <v>22</v>
      </c>
      <c r="G82" s="8">
        <v>618</v>
      </c>
      <c r="H82" s="8" t="s">
        <v>23</v>
      </c>
      <c r="I82" s="8" t="s">
        <v>70</v>
      </c>
      <c r="J82" s="8" t="s">
        <v>41</v>
      </c>
      <c r="K82" s="8" t="s">
        <v>26</v>
      </c>
      <c r="L82" s="8" t="s">
        <v>71</v>
      </c>
      <c r="M82" s="8">
        <v>5541</v>
      </c>
      <c r="N82" s="8" t="s">
        <v>741</v>
      </c>
      <c r="O82" s="8" t="s">
        <v>742</v>
      </c>
      <c r="P82" s="8" t="s">
        <v>743</v>
      </c>
      <c r="Q82" s="8" t="s">
        <v>744</v>
      </c>
    </row>
    <row r="83" spans="1:17" ht="15" customHeight="1">
      <c r="A83" s="9">
        <v>82</v>
      </c>
      <c r="B83" s="9" t="s">
        <v>736</v>
      </c>
      <c r="C83" s="9" t="s">
        <v>919</v>
      </c>
      <c r="D83" s="9" t="s">
        <v>920</v>
      </c>
      <c r="E83" s="9" t="s">
        <v>21</v>
      </c>
      <c r="F83" s="9" t="s">
        <v>22</v>
      </c>
      <c r="G83" s="9">
        <v>788</v>
      </c>
      <c r="H83" s="9" t="s">
        <v>23</v>
      </c>
      <c r="I83" s="9" t="s">
        <v>127</v>
      </c>
      <c r="J83" s="9" t="s">
        <v>25</v>
      </c>
      <c r="K83" s="9" t="s">
        <v>26</v>
      </c>
      <c r="L83" s="9" t="s">
        <v>128</v>
      </c>
      <c r="M83" s="9">
        <v>5999</v>
      </c>
      <c r="N83" s="9" t="s">
        <v>741</v>
      </c>
      <c r="O83" s="9" t="s">
        <v>742</v>
      </c>
      <c r="P83" s="9" t="s">
        <v>743</v>
      </c>
      <c r="Q83" s="9" t="s">
        <v>744</v>
      </c>
    </row>
    <row r="84" spans="1:17" ht="15" customHeight="1">
      <c r="A84" s="8">
        <v>83</v>
      </c>
      <c r="B84" s="8" t="s">
        <v>736</v>
      </c>
      <c r="C84" s="8" t="s">
        <v>921</v>
      </c>
      <c r="D84" s="8" t="s">
        <v>922</v>
      </c>
      <c r="E84" s="8" t="s">
        <v>21</v>
      </c>
      <c r="F84" s="8" t="s">
        <v>22</v>
      </c>
      <c r="G84" s="8">
        <v>1200</v>
      </c>
      <c r="H84" s="8" t="s">
        <v>23</v>
      </c>
      <c r="I84" s="8" t="s">
        <v>739</v>
      </c>
      <c r="J84" s="8" t="s">
        <v>36</v>
      </c>
      <c r="K84" s="8" t="s">
        <v>26</v>
      </c>
      <c r="L84" s="8" t="s">
        <v>740</v>
      </c>
      <c r="M84" s="8">
        <v>6012</v>
      </c>
      <c r="N84" s="8" t="s">
        <v>741</v>
      </c>
      <c r="O84" s="8" t="s">
        <v>742</v>
      </c>
      <c r="P84" s="8" t="s">
        <v>743</v>
      </c>
      <c r="Q84" s="8" t="s">
        <v>744</v>
      </c>
    </row>
    <row r="85" spans="1:17" ht="15" customHeight="1">
      <c r="A85" s="9">
        <v>84</v>
      </c>
      <c r="B85" s="9" t="s">
        <v>736</v>
      </c>
      <c r="C85" s="9" t="s">
        <v>923</v>
      </c>
      <c r="D85" s="9" t="s">
        <v>924</v>
      </c>
      <c r="E85" s="9" t="s">
        <v>21</v>
      </c>
      <c r="F85" s="9" t="s">
        <v>22</v>
      </c>
      <c r="G85" s="9">
        <v>531</v>
      </c>
      <c r="H85" s="9" t="s">
        <v>23</v>
      </c>
      <c r="I85" s="9" t="s">
        <v>56</v>
      </c>
      <c r="J85" s="9" t="s">
        <v>41</v>
      </c>
      <c r="K85" s="9" t="s">
        <v>26</v>
      </c>
      <c r="L85" s="9" t="s">
        <v>57</v>
      </c>
      <c r="M85" s="9">
        <v>5999</v>
      </c>
      <c r="N85" s="9" t="s">
        <v>741</v>
      </c>
      <c r="O85" s="9" t="s">
        <v>742</v>
      </c>
      <c r="P85" s="9" t="s">
        <v>743</v>
      </c>
      <c r="Q85" s="9" t="s">
        <v>744</v>
      </c>
    </row>
    <row r="86" spans="1:17" ht="15" customHeight="1">
      <c r="A86" s="8">
        <v>85</v>
      </c>
      <c r="B86" s="8" t="s">
        <v>736</v>
      </c>
      <c r="C86" s="8" t="s">
        <v>925</v>
      </c>
      <c r="D86" s="8" t="s">
        <v>926</v>
      </c>
      <c r="E86" s="8" t="s">
        <v>21</v>
      </c>
      <c r="F86" s="8" t="s">
        <v>22</v>
      </c>
      <c r="G86" s="8">
        <v>510</v>
      </c>
      <c r="H86" s="8" t="s">
        <v>23</v>
      </c>
      <c r="I86" s="8" t="s">
        <v>123</v>
      </c>
      <c r="J86" s="8" t="s">
        <v>41</v>
      </c>
      <c r="K86" s="8" t="s">
        <v>26</v>
      </c>
      <c r="L86" s="8" t="s">
        <v>124</v>
      </c>
      <c r="M86" s="8">
        <v>5541</v>
      </c>
      <c r="N86" s="8" t="s">
        <v>741</v>
      </c>
      <c r="O86" s="8" t="s">
        <v>742</v>
      </c>
      <c r="P86" s="8" t="s">
        <v>743</v>
      </c>
      <c r="Q86" s="8" t="s">
        <v>744</v>
      </c>
    </row>
    <row r="87" spans="1:17" ht="15" customHeight="1">
      <c r="A87" s="9">
        <v>86</v>
      </c>
      <c r="B87" s="9" t="s">
        <v>736</v>
      </c>
      <c r="C87" s="9" t="s">
        <v>927</v>
      </c>
      <c r="D87" s="9" t="s">
        <v>928</v>
      </c>
      <c r="E87" s="9" t="s">
        <v>21</v>
      </c>
      <c r="F87" s="9" t="s">
        <v>22</v>
      </c>
      <c r="G87" s="9">
        <v>1105</v>
      </c>
      <c r="H87" s="9" t="s">
        <v>23</v>
      </c>
      <c r="I87" s="9" t="s">
        <v>363</v>
      </c>
      <c r="J87" s="9" t="s">
        <v>41</v>
      </c>
      <c r="K87" s="9" t="s">
        <v>26</v>
      </c>
      <c r="L87" s="9" t="s">
        <v>364</v>
      </c>
      <c r="M87" s="9">
        <v>5999</v>
      </c>
      <c r="N87" s="9" t="s">
        <v>741</v>
      </c>
      <c r="O87" s="9" t="s">
        <v>742</v>
      </c>
      <c r="P87" s="9" t="s">
        <v>743</v>
      </c>
      <c r="Q87" s="9" t="s">
        <v>744</v>
      </c>
    </row>
    <row r="88" spans="1:17" ht="15" customHeight="1">
      <c r="A88" s="8">
        <v>87</v>
      </c>
      <c r="B88" s="8" t="s">
        <v>736</v>
      </c>
      <c r="C88" s="8" t="s">
        <v>929</v>
      </c>
      <c r="D88" s="8" t="s">
        <v>930</v>
      </c>
      <c r="E88" s="8" t="s">
        <v>21</v>
      </c>
      <c r="F88" s="8" t="s">
        <v>22</v>
      </c>
      <c r="G88" s="8">
        <v>662</v>
      </c>
      <c r="H88" s="8" t="s">
        <v>23</v>
      </c>
      <c r="I88" s="8" t="s">
        <v>131</v>
      </c>
      <c r="J88" s="8" t="s">
        <v>41</v>
      </c>
      <c r="K88" s="8" t="s">
        <v>26</v>
      </c>
      <c r="L88" s="8" t="s">
        <v>132</v>
      </c>
      <c r="M88" s="8">
        <v>5411</v>
      </c>
      <c r="N88" s="8" t="s">
        <v>741</v>
      </c>
      <c r="O88" s="8" t="s">
        <v>742</v>
      </c>
      <c r="P88" s="8" t="s">
        <v>743</v>
      </c>
      <c r="Q88" s="8" t="s">
        <v>744</v>
      </c>
    </row>
    <row r="89" spans="1:17" ht="15" customHeight="1">
      <c r="A89" s="9">
        <v>88</v>
      </c>
      <c r="B89" s="9" t="s">
        <v>736</v>
      </c>
      <c r="C89" s="9" t="s">
        <v>931</v>
      </c>
      <c r="D89" s="9" t="s">
        <v>932</v>
      </c>
      <c r="E89" s="9" t="s">
        <v>21</v>
      </c>
      <c r="F89" s="9" t="s">
        <v>22</v>
      </c>
      <c r="G89" s="9">
        <v>826</v>
      </c>
      <c r="H89" s="9" t="s">
        <v>23</v>
      </c>
      <c r="I89" s="9" t="s">
        <v>498</v>
      </c>
      <c r="J89" s="9" t="s">
        <v>36</v>
      </c>
      <c r="K89" s="9" t="s">
        <v>26</v>
      </c>
      <c r="L89" s="9" t="s">
        <v>499</v>
      </c>
      <c r="M89" s="9">
        <v>4900</v>
      </c>
      <c r="N89" s="9" t="s">
        <v>741</v>
      </c>
      <c r="O89" s="9" t="s">
        <v>742</v>
      </c>
      <c r="P89" s="9" t="s">
        <v>743</v>
      </c>
      <c r="Q89" s="9" t="s">
        <v>744</v>
      </c>
    </row>
    <row r="90" spans="1:17" ht="15" customHeight="1">
      <c r="A90" s="8">
        <v>89</v>
      </c>
      <c r="B90" s="8" t="s">
        <v>736</v>
      </c>
      <c r="C90" s="8" t="s">
        <v>933</v>
      </c>
      <c r="D90" s="8" t="s">
        <v>934</v>
      </c>
      <c r="E90" s="8" t="s">
        <v>21</v>
      </c>
      <c r="F90" s="8" t="s">
        <v>22</v>
      </c>
      <c r="G90" s="8">
        <v>634</v>
      </c>
      <c r="H90" s="8" t="s">
        <v>23</v>
      </c>
      <c r="I90" s="8" t="s">
        <v>340</v>
      </c>
      <c r="J90" s="8" t="s">
        <v>41</v>
      </c>
      <c r="K90" s="8" t="s">
        <v>26</v>
      </c>
      <c r="L90" s="8" t="s">
        <v>341</v>
      </c>
      <c r="M90" s="8">
        <v>5812</v>
      </c>
      <c r="N90" s="8" t="s">
        <v>741</v>
      </c>
      <c r="O90" s="8" t="s">
        <v>742</v>
      </c>
      <c r="P90" s="8" t="s">
        <v>743</v>
      </c>
      <c r="Q90" s="8" t="s">
        <v>744</v>
      </c>
    </row>
    <row r="91" spans="1:17" ht="15" customHeight="1">
      <c r="A91" s="9">
        <v>90</v>
      </c>
      <c r="B91" s="9" t="s">
        <v>736</v>
      </c>
      <c r="C91" s="9" t="s">
        <v>935</v>
      </c>
      <c r="D91" s="9" t="s">
        <v>936</v>
      </c>
      <c r="E91" s="9" t="s">
        <v>21</v>
      </c>
      <c r="F91" s="9" t="s">
        <v>22</v>
      </c>
      <c r="G91" s="9">
        <v>439</v>
      </c>
      <c r="H91" s="9" t="s">
        <v>23</v>
      </c>
      <c r="I91" s="9" t="s">
        <v>560</v>
      </c>
      <c r="J91" s="9" t="s">
        <v>331</v>
      </c>
      <c r="K91" s="9" t="s">
        <v>26</v>
      </c>
      <c r="L91" s="9" t="s">
        <v>561</v>
      </c>
      <c r="M91" s="9">
        <v>6011</v>
      </c>
      <c r="N91" s="9" t="s">
        <v>741</v>
      </c>
      <c r="O91" s="9" t="s">
        <v>742</v>
      </c>
      <c r="P91" s="9" t="s">
        <v>743</v>
      </c>
      <c r="Q91" s="9" t="s">
        <v>744</v>
      </c>
    </row>
    <row r="92" spans="1:17" ht="15" customHeight="1">
      <c r="A92" s="8">
        <v>91</v>
      </c>
      <c r="B92" s="8" t="s">
        <v>736</v>
      </c>
      <c r="C92" s="8" t="s">
        <v>937</v>
      </c>
      <c r="D92" s="8" t="s">
        <v>938</v>
      </c>
      <c r="E92" s="8" t="s">
        <v>21</v>
      </c>
      <c r="F92" s="8" t="s">
        <v>22</v>
      </c>
      <c r="G92" s="8">
        <v>382</v>
      </c>
      <c r="H92" s="8" t="s">
        <v>23</v>
      </c>
      <c r="I92" s="8" t="s">
        <v>86</v>
      </c>
      <c r="J92" s="8" t="s">
        <v>36</v>
      </c>
      <c r="K92" s="8" t="s">
        <v>26</v>
      </c>
      <c r="L92" s="8" t="s">
        <v>87</v>
      </c>
      <c r="M92" s="8">
        <v>4813</v>
      </c>
      <c r="N92" s="8" t="s">
        <v>741</v>
      </c>
      <c r="O92" s="8" t="s">
        <v>742</v>
      </c>
      <c r="P92" s="8" t="s">
        <v>743</v>
      </c>
      <c r="Q92" s="8" t="s">
        <v>744</v>
      </c>
    </row>
    <row r="93" spans="1:17" ht="15" customHeight="1">
      <c r="A93" s="9">
        <v>92</v>
      </c>
      <c r="B93" s="9" t="s">
        <v>736</v>
      </c>
      <c r="C93" s="9" t="s">
        <v>939</v>
      </c>
      <c r="D93" s="9" t="s">
        <v>940</v>
      </c>
      <c r="E93" s="9" t="s">
        <v>94</v>
      </c>
      <c r="F93" s="9" t="s">
        <v>22</v>
      </c>
      <c r="G93" s="9">
        <v>9300</v>
      </c>
      <c r="H93" s="9" t="s">
        <v>23</v>
      </c>
      <c r="I93" s="9" t="s">
        <v>766</v>
      </c>
      <c r="J93" s="9" t="s">
        <v>96</v>
      </c>
      <c r="K93" s="9" t="s">
        <v>97</v>
      </c>
      <c r="L93" s="9" t="s">
        <v>767</v>
      </c>
      <c r="M93" s="9"/>
      <c r="N93" s="9" t="s">
        <v>767</v>
      </c>
      <c r="O93" s="9" t="s">
        <v>941</v>
      </c>
      <c r="P93" s="9" t="s">
        <v>743</v>
      </c>
      <c r="Q93" s="9" t="s">
        <v>744</v>
      </c>
    </row>
    <row r="94" spans="1:17" ht="15" customHeight="1">
      <c r="A94" s="8">
        <v>93</v>
      </c>
      <c r="B94" s="8" t="s">
        <v>736</v>
      </c>
      <c r="C94" s="8" t="s">
        <v>942</v>
      </c>
      <c r="D94" s="8" t="s">
        <v>943</v>
      </c>
      <c r="E94" s="8" t="s">
        <v>21</v>
      </c>
      <c r="F94" s="8" t="s">
        <v>22</v>
      </c>
      <c r="G94" s="8">
        <v>661</v>
      </c>
      <c r="H94" s="8" t="s">
        <v>23</v>
      </c>
      <c r="I94" s="8" t="s">
        <v>131</v>
      </c>
      <c r="J94" s="8" t="s">
        <v>41</v>
      </c>
      <c r="K94" s="8" t="s">
        <v>26</v>
      </c>
      <c r="L94" s="8" t="s">
        <v>132</v>
      </c>
      <c r="M94" s="8">
        <v>5411</v>
      </c>
      <c r="N94" s="8" t="s">
        <v>741</v>
      </c>
      <c r="O94" s="8" t="s">
        <v>742</v>
      </c>
      <c r="P94" s="8" t="s">
        <v>743</v>
      </c>
      <c r="Q94" s="8" t="s">
        <v>744</v>
      </c>
    </row>
    <row r="95" spans="1:17" ht="15" customHeight="1">
      <c r="A95" s="9">
        <v>94</v>
      </c>
      <c r="B95" s="9" t="s">
        <v>736</v>
      </c>
      <c r="C95" s="9" t="s">
        <v>944</v>
      </c>
      <c r="D95" s="9" t="s">
        <v>945</v>
      </c>
      <c r="E95" s="9" t="s">
        <v>21</v>
      </c>
      <c r="F95" s="9" t="s">
        <v>22</v>
      </c>
      <c r="G95" s="9">
        <v>662</v>
      </c>
      <c r="H95" s="9" t="s">
        <v>23</v>
      </c>
      <c r="I95" s="9" t="s">
        <v>379</v>
      </c>
      <c r="J95" s="9" t="s">
        <v>41</v>
      </c>
      <c r="K95" s="9" t="s">
        <v>26</v>
      </c>
      <c r="L95" s="9" t="s">
        <v>380</v>
      </c>
      <c r="M95" s="9">
        <v>5411</v>
      </c>
      <c r="N95" s="9" t="s">
        <v>741</v>
      </c>
      <c r="O95" s="9" t="s">
        <v>742</v>
      </c>
      <c r="P95" s="9" t="s">
        <v>743</v>
      </c>
      <c r="Q95" s="9" t="s">
        <v>744</v>
      </c>
    </row>
    <row r="96" spans="1:17" ht="15" customHeight="1">
      <c r="A96" s="8">
        <v>95</v>
      </c>
      <c r="B96" s="8" t="s">
        <v>736</v>
      </c>
      <c r="C96" s="8" t="s">
        <v>946</v>
      </c>
      <c r="D96" s="8" t="s">
        <v>947</v>
      </c>
      <c r="E96" s="8" t="s">
        <v>21</v>
      </c>
      <c r="F96" s="8" t="s">
        <v>22</v>
      </c>
      <c r="G96" s="8">
        <v>1200</v>
      </c>
      <c r="H96" s="8" t="s">
        <v>23</v>
      </c>
      <c r="I96" s="8" t="s">
        <v>739</v>
      </c>
      <c r="J96" s="8" t="s">
        <v>36</v>
      </c>
      <c r="K96" s="8" t="s">
        <v>26</v>
      </c>
      <c r="L96" s="8" t="s">
        <v>740</v>
      </c>
      <c r="M96" s="8">
        <v>6012</v>
      </c>
      <c r="N96" s="8" t="s">
        <v>741</v>
      </c>
      <c r="O96" s="8" t="s">
        <v>742</v>
      </c>
      <c r="P96" s="8" t="s">
        <v>743</v>
      </c>
      <c r="Q96" s="8" t="s">
        <v>744</v>
      </c>
    </row>
    <row r="97" spans="1:17" ht="15" customHeight="1">
      <c r="A97" s="9">
        <v>96</v>
      </c>
      <c r="B97" s="9" t="s">
        <v>736</v>
      </c>
      <c r="C97" s="9" t="s">
        <v>948</v>
      </c>
      <c r="D97" s="9" t="s">
        <v>949</v>
      </c>
      <c r="E97" s="9" t="s">
        <v>21</v>
      </c>
      <c r="F97" s="9" t="s">
        <v>22</v>
      </c>
      <c r="G97" s="9">
        <v>861</v>
      </c>
      <c r="H97" s="9" t="s">
        <v>23</v>
      </c>
      <c r="I97" s="9" t="s">
        <v>131</v>
      </c>
      <c r="J97" s="9" t="s">
        <v>41</v>
      </c>
      <c r="K97" s="9" t="s">
        <v>26</v>
      </c>
      <c r="L97" s="9" t="s">
        <v>132</v>
      </c>
      <c r="M97" s="9">
        <v>5411</v>
      </c>
      <c r="N97" s="9" t="s">
        <v>741</v>
      </c>
      <c r="O97" s="9" t="s">
        <v>742</v>
      </c>
      <c r="P97" s="9" t="s">
        <v>743</v>
      </c>
      <c r="Q97" s="9" t="s">
        <v>744</v>
      </c>
    </row>
    <row r="98" spans="1:17" ht="15" customHeight="1">
      <c r="A98" s="8">
        <v>97</v>
      </c>
      <c r="B98" s="8" t="s">
        <v>736</v>
      </c>
      <c r="C98" s="8" t="s">
        <v>950</v>
      </c>
      <c r="D98" s="8" t="s">
        <v>951</v>
      </c>
      <c r="E98" s="8" t="s">
        <v>21</v>
      </c>
      <c r="F98" s="8" t="s">
        <v>22</v>
      </c>
      <c r="G98" s="8">
        <v>383</v>
      </c>
      <c r="H98" s="8" t="s">
        <v>23</v>
      </c>
      <c r="I98" s="8" t="s">
        <v>593</v>
      </c>
      <c r="J98" s="8" t="s">
        <v>331</v>
      </c>
      <c r="K98" s="8" t="s">
        <v>26</v>
      </c>
      <c r="L98" s="8" t="s">
        <v>594</v>
      </c>
      <c r="M98" s="8">
        <v>6011</v>
      </c>
      <c r="N98" s="8" t="s">
        <v>741</v>
      </c>
      <c r="O98" s="8" t="s">
        <v>742</v>
      </c>
      <c r="P98" s="8" t="s">
        <v>743</v>
      </c>
      <c r="Q98" s="8" t="s">
        <v>744</v>
      </c>
    </row>
    <row r="99" spans="1:17" ht="15" customHeight="1">
      <c r="A99" s="9">
        <v>98</v>
      </c>
      <c r="B99" s="9" t="s">
        <v>736</v>
      </c>
      <c r="C99" s="9" t="s">
        <v>952</v>
      </c>
      <c r="D99" s="9" t="s">
        <v>953</v>
      </c>
      <c r="E99" s="9" t="s">
        <v>21</v>
      </c>
      <c r="F99" s="9" t="s">
        <v>22</v>
      </c>
      <c r="G99" s="9">
        <v>404</v>
      </c>
      <c r="H99" s="9" t="s">
        <v>23</v>
      </c>
      <c r="I99" s="9" t="s">
        <v>86</v>
      </c>
      <c r="J99" s="9" t="s">
        <v>36</v>
      </c>
      <c r="K99" s="9" t="s">
        <v>26</v>
      </c>
      <c r="L99" s="9" t="s">
        <v>87</v>
      </c>
      <c r="M99" s="9">
        <v>4813</v>
      </c>
      <c r="N99" s="9" t="s">
        <v>741</v>
      </c>
      <c r="O99" s="9" t="s">
        <v>742</v>
      </c>
      <c r="P99" s="9" t="s">
        <v>743</v>
      </c>
      <c r="Q99" s="9" t="s">
        <v>744</v>
      </c>
    </row>
    <row r="100" spans="1:17" ht="15" customHeight="1">
      <c r="A100" s="8">
        <v>99</v>
      </c>
      <c r="B100" s="8" t="s">
        <v>736</v>
      </c>
      <c r="C100" s="8" t="s">
        <v>954</v>
      </c>
      <c r="D100" s="8" t="s">
        <v>955</v>
      </c>
      <c r="E100" s="8" t="s">
        <v>21</v>
      </c>
      <c r="F100" s="8" t="s">
        <v>22</v>
      </c>
      <c r="G100" s="8">
        <v>458</v>
      </c>
      <c r="H100" s="8" t="s">
        <v>23</v>
      </c>
      <c r="I100" s="8" t="s">
        <v>159</v>
      </c>
      <c r="J100" s="8" t="s">
        <v>25</v>
      </c>
      <c r="K100" s="8" t="s">
        <v>26</v>
      </c>
      <c r="L100" s="8" t="s">
        <v>160</v>
      </c>
      <c r="M100" s="8">
        <v>5999</v>
      </c>
      <c r="N100" s="8" t="s">
        <v>741</v>
      </c>
      <c r="O100" s="8" t="s">
        <v>742</v>
      </c>
      <c r="P100" s="8" t="s">
        <v>743</v>
      </c>
      <c r="Q100" s="8" t="s">
        <v>744</v>
      </c>
    </row>
    <row r="101" spans="1:17" ht="15" customHeight="1">
      <c r="A101" s="9">
        <v>100</v>
      </c>
      <c r="B101" s="9" t="s">
        <v>736</v>
      </c>
      <c r="C101" s="9" t="s">
        <v>956</v>
      </c>
      <c r="D101" s="9" t="s">
        <v>957</v>
      </c>
      <c r="E101" s="9" t="s">
        <v>21</v>
      </c>
      <c r="F101" s="9" t="s">
        <v>22</v>
      </c>
      <c r="G101" s="9">
        <v>458</v>
      </c>
      <c r="H101" s="9" t="s">
        <v>23</v>
      </c>
      <c r="I101" s="9" t="s">
        <v>318</v>
      </c>
      <c r="J101" s="9" t="s">
        <v>25</v>
      </c>
      <c r="K101" s="9" t="s">
        <v>26</v>
      </c>
      <c r="L101" s="9" t="s">
        <v>319</v>
      </c>
      <c r="M101" s="9">
        <v>5999</v>
      </c>
      <c r="N101" s="9" t="s">
        <v>741</v>
      </c>
      <c r="O101" s="9" t="s">
        <v>742</v>
      </c>
      <c r="P101" s="9" t="s">
        <v>743</v>
      </c>
      <c r="Q101" s="9" t="s">
        <v>744</v>
      </c>
    </row>
    <row r="102" spans="1:17" ht="15" customHeight="1">
      <c r="A102" s="8">
        <v>101</v>
      </c>
      <c r="B102" s="8" t="s">
        <v>736</v>
      </c>
      <c r="C102" s="8" t="s">
        <v>958</v>
      </c>
      <c r="D102" s="8" t="s">
        <v>959</v>
      </c>
      <c r="E102" s="8" t="s">
        <v>21</v>
      </c>
      <c r="F102" s="8" t="s">
        <v>22</v>
      </c>
      <c r="G102" s="8">
        <v>1698</v>
      </c>
      <c r="H102" s="8" t="s">
        <v>23</v>
      </c>
      <c r="I102" s="8" t="s">
        <v>56</v>
      </c>
      <c r="J102" s="8" t="s">
        <v>41</v>
      </c>
      <c r="K102" s="8" t="s">
        <v>26</v>
      </c>
      <c r="L102" s="8" t="s">
        <v>57</v>
      </c>
      <c r="M102" s="8">
        <v>5999</v>
      </c>
      <c r="N102" s="8" t="s">
        <v>741</v>
      </c>
      <c r="O102" s="8" t="s">
        <v>742</v>
      </c>
      <c r="P102" s="8" t="s">
        <v>743</v>
      </c>
      <c r="Q102" s="8" t="s">
        <v>744</v>
      </c>
    </row>
    <row r="103" spans="1:17" ht="15" customHeight="1">
      <c r="A103" s="9">
        <v>102</v>
      </c>
      <c r="B103" s="9" t="s">
        <v>736</v>
      </c>
      <c r="C103" s="9" t="s">
        <v>960</v>
      </c>
      <c r="D103" s="9" t="s">
        <v>961</v>
      </c>
      <c r="E103" s="9" t="s">
        <v>21</v>
      </c>
      <c r="F103" s="9" t="s">
        <v>22</v>
      </c>
      <c r="G103" s="9">
        <v>333</v>
      </c>
      <c r="H103" s="9" t="s">
        <v>23</v>
      </c>
      <c r="I103" s="9" t="s">
        <v>138</v>
      </c>
      <c r="J103" s="9" t="s">
        <v>41</v>
      </c>
      <c r="K103" s="9" t="s">
        <v>26</v>
      </c>
      <c r="L103" s="9" t="s">
        <v>139</v>
      </c>
      <c r="M103" s="9">
        <v>5812</v>
      </c>
      <c r="N103" s="9" t="s">
        <v>741</v>
      </c>
      <c r="O103" s="9" t="s">
        <v>742</v>
      </c>
      <c r="P103" s="9" t="s">
        <v>743</v>
      </c>
      <c r="Q103" s="9" t="s">
        <v>744</v>
      </c>
    </row>
    <row r="104" spans="1:17" ht="15" customHeight="1">
      <c r="A104" s="8">
        <v>103</v>
      </c>
      <c r="B104" s="8" t="s">
        <v>736</v>
      </c>
      <c r="C104" s="8" t="s">
        <v>962</v>
      </c>
      <c r="D104" s="8" t="s">
        <v>963</v>
      </c>
      <c r="E104" s="8" t="s">
        <v>94</v>
      </c>
      <c r="F104" s="8" t="s">
        <v>22</v>
      </c>
      <c r="G104" s="8">
        <v>9600</v>
      </c>
      <c r="H104" s="8" t="s">
        <v>23</v>
      </c>
      <c r="I104" s="8" t="s">
        <v>766</v>
      </c>
      <c r="J104" s="8" t="s">
        <v>96</v>
      </c>
      <c r="K104" s="8" t="s">
        <v>97</v>
      </c>
      <c r="L104" s="8" t="s">
        <v>767</v>
      </c>
      <c r="M104" s="8"/>
      <c r="N104" s="8" t="s">
        <v>767</v>
      </c>
      <c r="O104" s="8" t="s">
        <v>964</v>
      </c>
      <c r="P104" s="8" t="s">
        <v>743</v>
      </c>
      <c r="Q104" s="8" t="s">
        <v>744</v>
      </c>
    </row>
    <row r="105" spans="1:17" ht="15" customHeight="1">
      <c r="A105" s="9">
        <v>104</v>
      </c>
      <c r="B105" s="9" t="s">
        <v>736</v>
      </c>
      <c r="C105" s="9" t="s">
        <v>965</v>
      </c>
      <c r="D105" s="9" t="s">
        <v>966</v>
      </c>
      <c r="E105" s="9" t="s">
        <v>21</v>
      </c>
      <c r="F105" s="9" t="s">
        <v>22</v>
      </c>
      <c r="G105" s="9">
        <v>334</v>
      </c>
      <c r="H105" s="9" t="s">
        <v>23</v>
      </c>
      <c r="I105" s="9" t="s">
        <v>74</v>
      </c>
      <c r="J105" s="9" t="s">
        <v>41</v>
      </c>
      <c r="K105" s="9" t="s">
        <v>26</v>
      </c>
      <c r="L105" s="9" t="s">
        <v>75</v>
      </c>
      <c r="M105" s="9">
        <v>5812</v>
      </c>
      <c r="N105" s="9" t="s">
        <v>741</v>
      </c>
      <c r="O105" s="9" t="s">
        <v>742</v>
      </c>
      <c r="P105" s="9" t="s">
        <v>743</v>
      </c>
      <c r="Q105" s="9" t="s">
        <v>744</v>
      </c>
    </row>
    <row r="106" spans="1:17" ht="15" customHeight="1">
      <c r="A106" s="8">
        <v>105</v>
      </c>
      <c r="B106" s="8" t="s">
        <v>736</v>
      </c>
      <c r="C106" s="8" t="s">
        <v>967</v>
      </c>
      <c r="D106" s="8" t="s">
        <v>968</v>
      </c>
      <c r="E106" s="8" t="s">
        <v>21</v>
      </c>
      <c r="F106" s="8" t="s">
        <v>22</v>
      </c>
      <c r="G106" s="8">
        <v>860</v>
      </c>
      <c r="H106" s="8" t="s">
        <v>23</v>
      </c>
      <c r="I106" s="8" t="s">
        <v>102</v>
      </c>
      <c r="J106" s="8" t="s">
        <v>41</v>
      </c>
      <c r="K106" s="8" t="s">
        <v>26</v>
      </c>
      <c r="L106" s="8" t="s">
        <v>103</v>
      </c>
      <c r="M106" s="8">
        <v>5411</v>
      </c>
      <c r="N106" s="8" t="s">
        <v>741</v>
      </c>
      <c r="O106" s="8" t="s">
        <v>742</v>
      </c>
      <c r="P106" s="8" t="s">
        <v>743</v>
      </c>
      <c r="Q106" s="8" t="s">
        <v>744</v>
      </c>
    </row>
    <row r="107" spans="1:17" ht="15" customHeight="1">
      <c r="A107" s="9">
        <v>106</v>
      </c>
      <c r="B107" s="9" t="s">
        <v>736</v>
      </c>
      <c r="C107" s="9" t="s">
        <v>969</v>
      </c>
      <c r="D107" s="9" t="s">
        <v>970</v>
      </c>
      <c r="E107" s="9" t="s">
        <v>21</v>
      </c>
      <c r="F107" s="9" t="s">
        <v>22</v>
      </c>
      <c r="G107" s="9">
        <v>691</v>
      </c>
      <c r="H107" s="9" t="s">
        <v>23</v>
      </c>
      <c r="I107" s="9" t="s">
        <v>498</v>
      </c>
      <c r="J107" s="9" t="s">
        <v>36</v>
      </c>
      <c r="K107" s="9" t="s">
        <v>26</v>
      </c>
      <c r="L107" s="9" t="s">
        <v>499</v>
      </c>
      <c r="M107" s="9">
        <v>4900</v>
      </c>
      <c r="N107" s="9" t="s">
        <v>741</v>
      </c>
      <c r="O107" s="9" t="s">
        <v>742</v>
      </c>
      <c r="P107" s="9" t="s">
        <v>743</v>
      </c>
      <c r="Q107" s="9" t="s">
        <v>744</v>
      </c>
    </row>
    <row r="108" spans="1:17" ht="15" customHeight="1">
      <c r="A108" s="8">
        <v>107</v>
      </c>
      <c r="B108" s="8" t="s">
        <v>736</v>
      </c>
      <c r="C108" s="8" t="s">
        <v>971</v>
      </c>
      <c r="D108" s="8" t="s">
        <v>972</v>
      </c>
      <c r="E108" s="8" t="s">
        <v>21</v>
      </c>
      <c r="F108" s="8" t="s">
        <v>22</v>
      </c>
      <c r="G108" s="8">
        <v>570</v>
      </c>
      <c r="H108" s="8" t="s">
        <v>23</v>
      </c>
      <c r="I108" s="8" t="s">
        <v>123</v>
      </c>
      <c r="J108" s="8" t="s">
        <v>41</v>
      </c>
      <c r="K108" s="8" t="s">
        <v>26</v>
      </c>
      <c r="L108" s="8" t="s">
        <v>124</v>
      </c>
      <c r="M108" s="8">
        <v>5541</v>
      </c>
      <c r="N108" s="8" t="s">
        <v>741</v>
      </c>
      <c r="O108" s="8" t="s">
        <v>742</v>
      </c>
      <c r="P108" s="8" t="s">
        <v>743</v>
      </c>
      <c r="Q108" s="8" t="s">
        <v>744</v>
      </c>
    </row>
    <row r="109" spans="1:17" ht="15" customHeight="1">
      <c r="A109" s="9">
        <v>108</v>
      </c>
      <c r="B109" s="9" t="s">
        <v>736</v>
      </c>
      <c r="C109" s="9" t="s">
        <v>973</v>
      </c>
      <c r="D109" s="9" t="s">
        <v>974</v>
      </c>
      <c r="E109" s="9" t="s">
        <v>21</v>
      </c>
      <c r="F109" s="9" t="s">
        <v>22</v>
      </c>
      <c r="G109" s="9">
        <v>1200</v>
      </c>
      <c r="H109" s="9" t="s">
        <v>23</v>
      </c>
      <c r="I109" s="9" t="s">
        <v>739</v>
      </c>
      <c r="J109" s="9" t="s">
        <v>36</v>
      </c>
      <c r="K109" s="9" t="s">
        <v>26</v>
      </c>
      <c r="L109" s="9" t="s">
        <v>740</v>
      </c>
      <c r="M109" s="9">
        <v>6012</v>
      </c>
      <c r="N109" s="9" t="s">
        <v>741</v>
      </c>
      <c r="O109" s="9" t="s">
        <v>742</v>
      </c>
      <c r="P109" s="9" t="s">
        <v>743</v>
      </c>
      <c r="Q109" s="9" t="s">
        <v>744</v>
      </c>
    </row>
    <row r="110" spans="1:17" ht="15" customHeight="1">
      <c r="A110" s="8">
        <v>109</v>
      </c>
      <c r="B110" s="8" t="s">
        <v>736</v>
      </c>
      <c r="C110" s="8" t="s">
        <v>975</v>
      </c>
      <c r="D110" s="8" t="s">
        <v>976</v>
      </c>
      <c r="E110" s="8" t="s">
        <v>21</v>
      </c>
      <c r="F110" s="8" t="s">
        <v>22</v>
      </c>
      <c r="G110" s="8">
        <v>241</v>
      </c>
      <c r="H110" s="8" t="s">
        <v>23</v>
      </c>
      <c r="I110" s="8" t="s">
        <v>138</v>
      </c>
      <c r="J110" s="8" t="s">
        <v>41</v>
      </c>
      <c r="K110" s="8" t="s">
        <v>26</v>
      </c>
      <c r="L110" s="8" t="s">
        <v>139</v>
      </c>
      <c r="M110" s="8">
        <v>5812</v>
      </c>
      <c r="N110" s="8" t="s">
        <v>741</v>
      </c>
      <c r="O110" s="8" t="s">
        <v>742</v>
      </c>
      <c r="P110" s="8" t="s">
        <v>743</v>
      </c>
      <c r="Q110" s="8" t="s">
        <v>744</v>
      </c>
    </row>
    <row r="111" spans="1:17" ht="15" customHeight="1">
      <c r="A111" s="9">
        <v>110</v>
      </c>
      <c r="B111" s="9" t="s">
        <v>736</v>
      </c>
      <c r="C111" s="9" t="s">
        <v>977</v>
      </c>
      <c r="D111" s="9" t="s">
        <v>978</v>
      </c>
      <c r="E111" s="9" t="s">
        <v>21</v>
      </c>
      <c r="F111" s="9" t="s">
        <v>22</v>
      </c>
      <c r="G111" s="9">
        <v>242</v>
      </c>
      <c r="H111" s="9" t="s">
        <v>23</v>
      </c>
      <c r="I111" s="9" t="s">
        <v>115</v>
      </c>
      <c r="J111" s="9" t="s">
        <v>41</v>
      </c>
      <c r="K111" s="9" t="s">
        <v>26</v>
      </c>
      <c r="L111" s="9" t="s">
        <v>116</v>
      </c>
      <c r="M111" s="9">
        <v>5812</v>
      </c>
      <c r="N111" s="9" t="s">
        <v>741</v>
      </c>
      <c r="O111" s="9" t="s">
        <v>742</v>
      </c>
      <c r="P111" s="9" t="s">
        <v>743</v>
      </c>
      <c r="Q111" s="9" t="s">
        <v>744</v>
      </c>
    </row>
    <row r="112" spans="1:17" ht="15" customHeight="1">
      <c r="A112" s="8">
        <v>111</v>
      </c>
      <c r="B112" s="8" t="s">
        <v>736</v>
      </c>
      <c r="C112" s="8" t="s">
        <v>979</v>
      </c>
      <c r="D112" s="8" t="s">
        <v>980</v>
      </c>
      <c r="E112" s="8" t="s">
        <v>21</v>
      </c>
      <c r="F112" s="8" t="s">
        <v>22</v>
      </c>
      <c r="G112" s="8">
        <v>394</v>
      </c>
      <c r="H112" s="8" t="s">
        <v>23</v>
      </c>
      <c r="I112" s="8" t="s">
        <v>234</v>
      </c>
      <c r="J112" s="8" t="s">
        <v>41</v>
      </c>
      <c r="K112" s="8" t="s">
        <v>26</v>
      </c>
      <c r="L112" s="8" t="s">
        <v>235</v>
      </c>
      <c r="M112" s="8">
        <v>8011</v>
      </c>
      <c r="N112" s="8" t="s">
        <v>741</v>
      </c>
      <c r="O112" s="8" t="s">
        <v>742</v>
      </c>
      <c r="P112" s="8" t="s">
        <v>743</v>
      </c>
      <c r="Q112" s="8" t="s">
        <v>744</v>
      </c>
    </row>
    <row r="113" spans="1:17" ht="15" customHeight="1">
      <c r="A113" s="9">
        <v>112</v>
      </c>
      <c r="B113" s="9" t="s">
        <v>736</v>
      </c>
      <c r="C113" s="9" t="s">
        <v>981</v>
      </c>
      <c r="D113" s="9" t="s">
        <v>982</v>
      </c>
      <c r="E113" s="9" t="s">
        <v>21</v>
      </c>
      <c r="F113" s="9" t="s">
        <v>22</v>
      </c>
      <c r="G113" s="9">
        <v>415</v>
      </c>
      <c r="H113" s="9" t="s">
        <v>23</v>
      </c>
      <c r="I113" s="9" t="s">
        <v>56</v>
      </c>
      <c r="J113" s="9" t="s">
        <v>41</v>
      </c>
      <c r="K113" s="9" t="s">
        <v>26</v>
      </c>
      <c r="L113" s="9" t="s">
        <v>57</v>
      </c>
      <c r="M113" s="9">
        <v>5999</v>
      </c>
      <c r="N113" s="9" t="s">
        <v>741</v>
      </c>
      <c r="O113" s="9" t="s">
        <v>742</v>
      </c>
      <c r="P113" s="9" t="s">
        <v>743</v>
      </c>
      <c r="Q113" s="9" t="s">
        <v>744</v>
      </c>
    </row>
    <row r="114" spans="1:17" ht="15" customHeight="1">
      <c r="A114" s="8">
        <v>113</v>
      </c>
      <c r="B114" s="8" t="s">
        <v>736</v>
      </c>
      <c r="C114" s="8" t="s">
        <v>983</v>
      </c>
      <c r="D114" s="8" t="s">
        <v>984</v>
      </c>
      <c r="E114" s="8" t="s">
        <v>21</v>
      </c>
      <c r="F114" s="8" t="s">
        <v>22</v>
      </c>
      <c r="G114" s="8">
        <v>425</v>
      </c>
      <c r="H114" s="8" t="s">
        <v>23</v>
      </c>
      <c r="I114" s="8" t="s">
        <v>174</v>
      </c>
      <c r="J114" s="8" t="s">
        <v>36</v>
      </c>
      <c r="K114" s="8" t="s">
        <v>26</v>
      </c>
      <c r="L114" s="8" t="s">
        <v>175</v>
      </c>
      <c r="M114" s="8">
        <v>4813</v>
      </c>
      <c r="N114" s="8" t="s">
        <v>741</v>
      </c>
      <c r="O114" s="8" t="s">
        <v>742</v>
      </c>
      <c r="P114" s="8" t="s">
        <v>743</v>
      </c>
      <c r="Q114" s="8" t="s">
        <v>744</v>
      </c>
    </row>
    <row r="115" spans="1:17" ht="15" customHeight="1">
      <c r="A115" s="9">
        <v>114</v>
      </c>
      <c r="B115" s="9" t="s">
        <v>736</v>
      </c>
      <c r="C115" s="9" t="s">
        <v>985</v>
      </c>
      <c r="D115" s="9" t="s">
        <v>986</v>
      </c>
      <c r="E115" s="9" t="s">
        <v>21</v>
      </c>
      <c r="F115" s="9" t="s">
        <v>22</v>
      </c>
      <c r="G115" s="9">
        <v>437</v>
      </c>
      <c r="H115" s="9" t="s">
        <v>23</v>
      </c>
      <c r="I115" s="9" t="s">
        <v>318</v>
      </c>
      <c r="J115" s="9" t="s">
        <v>25</v>
      </c>
      <c r="K115" s="9" t="s">
        <v>26</v>
      </c>
      <c r="L115" s="9" t="s">
        <v>319</v>
      </c>
      <c r="M115" s="9">
        <v>5999</v>
      </c>
      <c r="N115" s="9" t="s">
        <v>741</v>
      </c>
      <c r="O115" s="9" t="s">
        <v>742</v>
      </c>
      <c r="P115" s="9" t="s">
        <v>743</v>
      </c>
      <c r="Q115" s="9" t="s">
        <v>744</v>
      </c>
    </row>
    <row r="116" spans="1:17" ht="15" customHeight="1">
      <c r="A116" s="8">
        <v>115</v>
      </c>
      <c r="B116" s="8" t="s">
        <v>736</v>
      </c>
      <c r="C116" s="8" t="s">
        <v>987</v>
      </c>
      <c r="D116" s="8" t="s">
        <v>988</v>
      </c>
      <c r="E116" s="8" t="s">
        <v>21</v>
      </c>
      <c r="F116" s="8" t="s">
        <v>22</v>
      </c>
      <c r="G116" s="8">
        <v>585</v>
      </c>
      <c r="H116" s="8" t="s">
        <v>23</v>
      </c>
      <c r="I116" s="8" t="s">
        <v>131</v>
      </c>
      <c r="J116" s="8" t="s">
        <v>41</v>
      </c>
      <c r="K116" s="8" t="s">
        <v>26</v>
      </c>
      <c r="L116" s="8" t="s">
        <v>132</v>
      </c>
      <c r="M116" s="8">
        <v>5411</v>
      </c>
      <c r="N116" s="8" t="s">
        <v>741</v>
      </c>
      <c r="O116" s="8" t="s">
        <v>742</v>
      </c>
      <c r="P116" s="8" t="s">
        <v>743</v>
      </c>
      <c r="Q116" s="8" t="s">
        <v>744</v>
      </c>
    </row>
    <row r="117" spans="1:17" ht="15" customHeight="1">
      <c r="A117" s="9">
        <v>116</v>
      </c>
      <c r="B117" s="9" t="s">
        <v>736</v>
      </c>
      <c r="C117" s="9" t="s">
        <v>989</v>
      </c>
      <c r="D117" s="9" t="s">
        <v>990</v>
      </c>
      <c r="E117" s="9" t="s">
        <v>21</v>
      </c>
      <c r="F117" s="9" t="s">
        <v>22</v>
      </c>
      <c r="G117" s="9">
        <v>241</v>
      </c>
      <c r="H117" s="9" t="s">
        <v>23</v>
      </c>
      <c r="I117" s="9" t="s">
        <v>138</v>
      </c>
      <c r="J117" s="9" t="s">
        <v>41</v>
      </c>
      <c r="K117" s="9" t="s">
        <v>26</v>
      </c>
      <c r="L117" s="9" t="s">
        <v>139</v>
      </c>
      <c r="M117" s="9">
        <v>5812</v>
      </c>
      <c r="N117" s="9" t="s">
        <v>741</v>
      </c>
      <c r="O117" s="9" t="s">
        <v>742</v>
      </c>
      <c r="P117" s="9" t="s">
        <v>743</v>
      </c>
      <c r="Q117" s="9" t="s">
        <v>744</v>
      </c>
    </row>
    <row r="118" spans="1:17" ht="15" customHeight="1">
      <c r="A118" s="8">
        <v>117</v>
      </c>
      <c r="B118" s="8" t="s">
        <v>736</v>
      </c>
      <c r="C118" s="8" t="s">
        <v>991</v>
      </c>
      <c r="D118" s="8" t="s">
        <v>992</v>
      </c>
      <c r="E118" s="8" t="s">
        <v>21</v>
      </c>
      <c r="F118" s="8" t="s">
        <v>22</v>
      </c>
      <c r="G118" s="8">
        <v>652</v>
      </c>
      <c r="H118" s="8" t="s">
        <v>23</v>
      </c>
      <c r="I118" s="8" t="s">
        <v>111</v>
      </c>
      <c r="J118" s="8" t="s">
        <v>41</v>
      </c>
      <c r="K118" s="8" t="s">
        <v>26</v>
      </c>
      <c r="L118" s="8" t="s">
        <v>112</v>
      </c>
      <c r="M118" s="8">
        <v>5541</v>
      </c>
      <c r="N118" s="8" t="s">
        <v>741</v>
      </c>
      <c r="O118" s="8" t="s">
        <v>742</v>
      </c>
      <c r="P118" s="8" t="s">
        <v>743</v>
      </c>
      <c r="Q118" s="8" t="s">
        <v>744</v>
      </c>
    </row>
    <row r="119" spans="1:17" ht="15" customHeight="1">
      <c r="A119" s="9">
        <v>118</v>
      </c>
      <c r="B119" s="9" t="s">
        <v>736</v>
      </c>
      <c r="C119" s="9" t="s">
        <v>993</v>
      </c>
      <c r="D119" s="9" t="s">
        <v>994</v>
      </c>
      <c r="E119" s="9" t="s">
        <v>21</v>
      </c>
      <c r="F119" s="9" t="s">
        <v>22</v>
      </c>
      <c r="G119" s="9">
        <v>584</v>
      </c>
      <c r="H119" s="9" t="s">
        <v>23</v>
      </c>
      <c r="I119" s="9" t="s">
        <v>131</v>
      </c>
      <c r="J119" s="9" t="s">
        <v>41</v>
      </c>
      <c r="K119" s="9" t="s">
        <v>26</v>
      </c>
      <c r="L119" s="9" t="s">
        <v>132</v>
      </c>
      <c r="M119" s="9">
        <v>5411</v>
      </c>
      <c r="N119" s="9" t="s">
        <v>741</v>
      </c>
      <c r="O119" s="9" t="s">
        <v>742</v>
      </c>
      <c r="P119" s="9" t="s">
        <v>743</v>
      </c>
      <c r="Q119" s="9" t="s">
        <v>744</v>
      </c>
    </row>
    <row r="120" spans="1:17" ht="15" customHeight="1">
      <c r="A120" s="8">
        <v>119</v>
      </c>
      <c r="B120" s="8" t="s">
        <v>736</v>
      </c>
      <c r="C120" s="8" t="s">
        <v>995</v>
      </c>
      <c r="D120" s="8" t="s">
        <v>996</v>
      </c>
      <c r="E120" s="8" t="s">
        <v>21</v>
      </c>
      <c r="F120" s="8" t="s">
        <v>22</v>
      </c>
      <c r="G120" s="8">
        <v>584</v>
      </c>
      <c r="H120" s="8" t="s">
        <v>23</v>
      </c>
      <c r="I120" s="8" t="s">
        <v>244</v>
      </c>
      <c r="J120" s="8" t="s">
        <v>41</v>
      </c>
      <c r="K120" s="8" t="s">
        <v>26</v>
      </c>
      <c r="L120" s="8" t="s">
        <v>245</v>
      </c>
      <c r="M120" s="8">
        <v>5411</v>
      </c>
      <c r="N120" s="8" t="s">
        <v>741</v>
      </c>
      <c r="O120" s="8" t="s">
        <v>742</v>
      </c>
      <c r="P120" s="8" t="s">
        <v>743</v>
      </c>
      <c r="Q120" s="8" t="s">
        <v>744</v>
      </c>
    </row>
    <row r="121" spans="1:17" ht="15" customHeight="1">
      <c r="A121" s="9">
        <v>120</v>
      </c>
      <c r="B121" s="9" t="s">
        <v>736</v>
      </c>
      <c r="C121" s="9" t="s">
        <v>997</v>
      </c>
      <c r="D121" s="9" t="s">
        <v>998</v>
      </c>
      <c r="E121" s="9" t="s">
        <v>21</v>
      </c>
      <c r="F121" s="9" t="s">
        <v>22</v>
      </c>
      <c r="G121" s="9">
        <v>1178</v>
      </c>
      <c r="H121" s="9" t="s">
        <v>23</v>
      </c>
      <c r="I121" s="9" t="s">
        <v>186</v>
      </c>
      <c r="J121" s="9" t="s">
        <v>41</v>
      </c>
      <c r="K121" s="9" t="s">
        <v>26</v>
      </c>
      <c r="L121" s="9" t="s">
        <v>187</v>
      </c>
      <c r="M121" s="9">
        <v>5999</v>
      </c>
      <c r="N121" s="9" t="s">
        <v>741</v>
      </c>
      <c r="O121" s="9" t="s">
        <v>742</v>
      </c>
      <c r="P121" s="9" t="s">
        <v>743</v>
      </c>
      <c r="Q121" s="9" t="s">
        <v>744</v>
      </c>
    </row>
    <row r="122" spans="1:17" ht="15" customHeight="1">
      <c r="A122" s="8">
        <v>121</v>
      </c>
      <c r="B122" s="8" t="s">
        <v>736</v>
      </c>
      <c r="C122" s="8" t="s">
        <v>999</v>
      </c>
      <c r="D122" s="8" t="s">
        <v>1000</v>
      </c>
      <c r="E122" s="8" t="s">
        <v>94</v>
      </c>
      <c r="F122" s="8" t="s">
        <v>22</v>
      </c>
      <c r="G122" s="8">
        <v>9400</v>
      </c>
      <c r="H122" s="8" t="s">
        <v>23</v>
      </c>
      <c r="I122" s="8" t="s">
        <v>766</v>
      </c>
      <c r="J122" s="8" t="s">
        <v>96</v>
      </c>
      <c r="K122" s="8" t="s">
        <v>97</v>
      </c>
      <c r="L122" s="8" t="s">
        <v>767</v>
      </c>
      <c r="M122" s="8"/>
      <c r="N122" s="8" t="s">
        <v>767</v>
      </c>
      <c r="O122" s="8" t="s">
        <v>1001</v>
      </c>
      <c r="P122" s="8" t="s">
        <v>743</v>
      </c>
      <c r="Q122" s="8" t="s">
        <v>744</v>
      </c>
    </row>
    <row r="123" spans="1:17" ht="15" customHeight="1">
      <c r="A123" s="9">
        <v>122</v>
      </c>
      <c r="B123" s="9" t="s">
        <v>736</v>
      </c>
      <c r="C123" s="9" t="s">
        <v>1002</v>
      </c>
      <c r="D123" s="9" t="s">
        <v>1003</v>
      </c>
      <c r="E123" s="9" t="s">
        <v>21</v>
      </c>
      <c r="F123" s="9" t="s">
        <v>22</v>
      </c>
      <c r="G123" s="9">
        <v>436</v>
      </c>
      <c r="H123" s="9" t="s">
        <v>23</v>
      </c>
      <c r="I123" s="9" t="s">
        <v>866</v>
      </c>
      <c r="J123" s="9" t="s">
        <v>25</v>
      </c>
      <c r="K123" s="9" t="s">
        <v>26</v>
      </c>
      <c r="L123" s="9" t="s">
        <v>867</v>
      </c>
      <c r="M123" s="9">
        <v>5999</v>
      </c>
      <c r="N123" s="9" t="s">
        <v>741</v>
      </c>
      <c r="O123" s="9" t="s">
        <v>742</v>
      </c>
      <c r="P123" s="9" t="s">
        <v>743</v>
      </c>
      <c r="Q123" s="9" t="s">
        <v>744</v>
      </c>
    </row>
    <row r="124" spans="1:17" ht="15" customHeight="1">
      <c r="A124" s="8">
        <v>123</v>
      </c>
      <c r="B124" s="8" t="s">
        <v>736</v>
      </c>
      <c r="C124" s="8" t="s">
        <v>1004</v>
      </c>
      <c r="D124" s="8" t="s">
        <v>1005</v>
      </c>
      <c r="E124" s="8" t="s">
        <v>21</v>
      </c>
      <c r="F124" s="8" t="s">
        <v>22</v>
      </c>
      <c r="G124" s="8">
        <v>686</v>
      </c>
      <c r="H124" s="8" t="s">
        <v>23</v>
      </c>
      <c r="I124" s="8" t="s">
        <v>198</v>
      </c>
      <c r="J124" s="8" t="s">
        <v>36</v>
      </c>
      <c r="K124" s="8" t="s">
        <v>26</v>
      </c>
      <c r="L124" s="8" t="s">
        <v>199</v>
      </c>
      <c r="M124" s="8">
        <v>4900</v>
      </c>
      <c r="N124" s="8" t="s">
        <v>741</v>
      </c>
      <c r="O124" s="8" t="s">
        <v>742</v>
      </c>
      <c r="P124" s="8" t="s">
        <v>743</v>
      </c>
      <c r="Q124" s="8" t="s">
        <v>744</v>
      </c>
    </row>
    <row r="125" spans="1:17" ht="15" customHeight="1">
      <c r="A125" s="9">
        <v>124</v>
      </c>
      <c r="B125" s="9" t="s">
        <v>736</v>
      </c>
      <c r="C125" s="9" t="s">
        <v>1006</v>
      </c>
      <c r="D125" s="9" t="s">
        <v>1007</v>
      </c>
      <c r="E125" s="9" t="s">
        <v>21</v>
      </c>
      <c r="F125" s="9" t="s">
        <v>22</v>
      </c>
      <c r="G125" s="9">
        <v>1200</v>
      </c>
      <c r="H125" s="9" t="s">
        <v>23</v>
      </c>
      <c r="I125" s="9" t="s">
        <v>739</v>
      </c>
      <c r="J125" s="9" t="s">
        <v>36</v>
      </c>
      <c r="K125" s="9" t="s">
        <v>26</v>
      </c>
      <c r="L125" s="9" t="s">
        <v>740</v>
      </c>
      <c r="M125" s="9">
        <v>6012</v>
      </c>
      <c r="N125" s="9" t="s">
        <v>741</v>
      </c>
      <c r="O125" s="9" t="s">
        <v>742</v>
      </c>
      <c r="P125" s="9" t="s">
        <v>743</v>
      </c>
      <c r="Q125" s="9" t="s">
        <v>744</v>
      </c>
    </row>
    <row r="126" spans="1:17" ht="15" customHeight="1">
      <c r="A126" s="8">
        <v>125</v>
      </c>
      <c r="B126" s="8" t="s">
        <v>736</v>
      </c>
      <c r="C126" s="8" t="s">
        <v>1008</v>
      </c>
      <c r="D126" s="8" t="s">
        <v>1009</v>
      </c>
      <c r="E126" s="8" t="s">
        <v>21</v>
      </c>
      <c r="F126" s="8" t="s">
        <v>22</v>
      </c>
      <c r="G126" s="8">
        <v>1312</v>
      </c>
      <c r="H126" s="8" t="s">
        <v>23</v>
      </c>
      <c r="I126" s="8" t="s">
        <v>363</v>
      </c>
      <c r="J126" s="8" t="s">
        <v>41</v>
      </c>
      <c r="K126" s="8" t="s">
        <v>26</v>
      </c>
      <c r="L126" s="8" t="s">
        <v>364</v>
      </c>
      <c r="M126" s="8">
        <v>5999</v>
      </c>
      <c r="N126" s="8" t="s">
        <v>741</v>
      </c>
      <c r="O126" s="8" t="s">
        <v>742</v>
      </c>
      <c r="P126" s="8" t="s">
        <v>743</v>
      </c>
      <c r="Q126" s="8" t="s">
        <v>744</v>
      </c>
    </row>
    <row r="127" spans="1:17" ht="15" customHeight="1">
      <c r="A127" s="9">
        <v>126</v>
      </c>
      <c r="B127" s="9" t="s">
        <v>736</v>
      </c>
      <c r="C127" s="9" t="s">
        <v>1010</v>
      </c>
      <c r="D127" s="9" t="s">
        <v>1011</v>
      </c>
      <c r="E127" s="9" t="s">
        <v>21</v>
      </c>
      <c r="F127" s="9" t="s">
        <v>22</v>
      </c>
      <c r="G127" s="9">
        <v>525</v>
      </c>
      <c r="H127" s="9" t="s">
        <v>23</v>
      </c>
      <c r="I127" s="9" t="s">
        <v>131</v>
      </c>
      <c r="J127" s="9" t="s">
        <v>41</v>
      </c>
      <c r="K127" s="9" t="s">
        <v>26</v>
      </c>
      <c r="L127" s="9" t="s">
        <v>132</v>
      </c>
      <c r="M127" s="9">
        <v>5411</v>
      </c>
      <c r="N127" s="9" t="s">
        <v>741</v>
      </c>
      <c r="O127" s="9" t="s">
        <v>742</v>
      </c>
      <c r="P127" s="9" t="s">
        <v>743</v>
      </c>
      <c r="Q127" s="9" t="s">
        <v>744</v>
      </c>
    </row>
    <row r="128" spans="1:17" ht="15" customHeight="1">
      <c r="A128" s="8">
        <v>127</v>
      </c>
      <c r="B128" s="8" t="s">
        <v>736</v>
      </c>
      <c r="C128" s="8" t="s">
        <v>1012</v>
      </c>
      <c r="D128" s="8" t="s">
        <v>1013</v>
      </c>
      <c r="E128" s="8" t="s">
        <v>21</v>
      </c>
      <c r="F128" s="8" t="s">
        <v>22</v>
      </c>
      <c r="G128" s="8">
        <v>827</v>
      </c>
      <c r="H128" s="8" t="s">
        <v>23</v>
      </c>
      <c r="I128" s="8" t="s">
        <v>866</v>
      </c>
      <c r="J128" s="8" t="s">
        <v>25</v>
      </c>
      <c r="K128" s="8" t="s">
        <v>26</v>
      </c>
      <c r="L128" s="8" t="s">
        <v>867</v>
      </c>
      <c r="M128" s="8">
        <v>5999</v>
      </c>
      <c r="N128" s="8" t="s">
        <v>741</v>
      </c>
      <c r="O128" s="8" t="s">
        <v>742</v>
      </c>
      <c r="P128" s="8" t="s">
        <v>743</v>
      </c>
      <c r="Q128" s="8" t="s">
        <v>744</v>
      </c>
    </row>
    <row r="129" spans="1:17" ht="15" customHeight="1">
      <c r="A129" s="9">
        <v>128</v>
      </c>
      <c r="B129" s="9" t="s">
        <v>736</v>
      </c>
      <c r="C129" s="9" t="s">
        <v>1014</v>
      </c>
      <c r="D129" s="9" t="s">
        <v>1015</v>
      </c>
      <c r="E129" s="9" t="s">
        <v>21</v>
      </c>
      <c r="F129" s="9" t="s">
        <v>22</v>
      </c>
      <c r="G129" s="9">
        <v>357</v>
      </c>
      <c r="H129" s="9" t="s">
        <v>23</v>
      </c>
      <c r="I129" s="9" t="s">
        <v>286</v>
      </c>
      <c r="J129" s="9" t="s">
        <v>41</v>
      </c>
      <c r="K129" s="9" t="s">
        <v>26</v>
      </c>
      <c r="L129" s="9" t="s">
        <v>287</v>
      </c>
      <c r="M129" s="9">
        <v>8011</v>
      </c>
      <c r="N129" s="9" t="s">
        <v>741</v>
      </c>
      <c r="O129" s="9" t="s">
        <v>742</v>
      </c>
      <c r="P129" s="9" t="s">
        <v>743</v>
      </c>
      <c r="Q129" s="9" t="s">
        <v>744</v>
      </c>
    </row>
    <row r="130" spans="1:17" ht="15" customHeight="1">
      <c r="A130" s="8">
        <v>129</v>
      </c>
      <c r="B130" s="8" t="s">
        <v>736</v>
      </c>
      <c r="C130" s="8" t="s">
        <v>1016</v>
      </c>
      <c r="D130" s="8" t="s">
        <v>1017</v>
      </c>
      <c r="E130" s="8" t="s">
        <v>21</v>
      </c>
      <c r="F130" s="8" t="s">
        <v>22</v>
      </c>
      <c r="G130" s="8">
        <v>630</v>
      </c>
      <c r="H130" s="8" t="s">
        <v>23</v>
      </c>
      <c r="I130" s="8" t="s">
        <v>340</v>
      </c>
      <c r="J130" s="8" t="s">
        <v>41</v>
      </c>
      <c r="K130" s="8" t="s">
        <v>26</v>
      </c>
      <c r="L130" s="8" t="s">
        <v>341</v>
      </c>
      <c r="M130" s="8">
        <v>5812</v>
      </c>
      <c r="N130" s="8" t="s">
        <v>741</v>
      </c>
      <c r="O130" s="8" t="s">
        <v>742</v>
      </c>
      <c r="P130" s="8" t="s">
        <v>743</v>
      </c>
      <c r="Q130" s="8" t="s">
        <v>744</v>
      </c>
    </row>
    <row r="131" spans="1:17" ht="15" customHeight="1">
      <c r="A131" s="9">
        <v>130</v>
      </c>
      <c r="B131" s="9" t="s">
        <v>736</v>
      </c>
      <c r="C131" s="9" t="s">
        <v>1018</v>
      </c>
      <c r="D131" s="9" t="s">
        <v>1019</v>
      </c>
      <c r="E131" s="9" t="s">
        <v>21</v>
      </c>
      <c r="F131" s="9" t="s">
        <v>22</v>
      </c>
      <c r="G131" s="9">
        <v>504</v>
      </c>
      <c r="H131" s="9" t="s">
        <v>23</v>
      </c>
      <c r="I131" s="9" t="s">
        <v>123</v>
      </c>
      <c r="J131" s="9" t="s">
        <v>41</v>
      </c>
      <c r="K131" s="9" t="s">
        <v>26</v>
      </c>
      <c r="L131" s="9" t="s">
        <v>124</v>
      </c>
      <c r="M131" s="9">
        <v>5541</v>
      </c>
      <c r="N131" s="9" t="s">
        <v>741</v>
      </c>
      <c r="O131" s="9" t="s">
        <v>742</v>
      </c>
      <c r="P131" s="9" t="s">
        <v>743</v>
      </c>
      <c r="Q131" s="9" t="s">
        <v>744</v>
      </c>
    </row>
    <row r="132" spans="1:17" ht="15" customHeight="1">
      <c r="A132" s="8">
        <v>131</v>
      </c>
      <c r="B132" s="8" t="s">
        <v>736</v>
      </c>
      <c r="C132" s="8" t="s">
        <v>1020</v>
      </c>
      <c r="D132" s="8" t="s">
        <v>1021</v>
      </c>
      <c r="E132" s="8" t="s">
        <v>21</v>
      </c>
      <c r="F132" s="8" t="s">
        <v>22</v>
      </c>
      <c r="G132" s="8">
        <v>525</v>
      </c>
      <c r="H132" s="8" t="s">
        <v>23</v>
      </c>
      <c r="I132" s="8" t="s">
        <v>131</v>
      </c>
      <c r="J132" s="8" t="s">
        <v>41</v>
      </c>
      <c r="K132" s="8" t="s">
        <v>26</v>
      </c>
      <c r="L132" s="8" t="s">
        <v>132</v>
      </c>
      <c r="M132" s="8">
        <v>5411</v>
      </c>
      <c r="N132" s="8" t="s">
        <v>741</v>
      </c>
      <c r="O132" s="8" t="s">
        <v>742</v>
      </c>
      <c r="P132" s="8" t="s">
        <v>743</v>
      </c>
      <c r="Q132" s="8" t="s">
        <v>744</v>
      </c>
    </row>
    <row r="133" spans="1:17" ht="15" customHeight="1">
      <c r="A133" s="9">
        <v>132</v>
      </c>
      <c r="B133" s="9" t="s">
        <v>736</v>
      </c>
      <c r="C133" s="9" t="s">
        <v>1022</v>
      </c>
      <c r="D133" s="9" t="s">
        <v>1023</v>
      </c>
      <c r="E133" s="9" t="s">
        <v>21</v>
      </c>
      <c r="F133" s="9" t="s">
        <v>22</v>
      </c>
      <c r="G133" s="9">
        <v>818</v>
      </c>
      <c r="H133" s="9" t="s">
        <v>23</v>
      </c>
      <c r="I133" s="9" t="s">
        <v>198</v>
      </c>
      <c r="J133" s="9" t="s">
        <v>36</v>
      </c>
      <c r="K133" s="9" t="s">
        <v>26</v>
      </c>
      <c r="L133" s="9" t="s">
        <v>199</v>
      </c>
      <c r="M133" s="9">
        <v>4900</v>
      </c>
      <c r="N133" s="9" t="s">
        <v>741</v>
      </c>
      <c r="O133" s="9" t="s">
        <v>742</v>
      </c>
      <c r="P133" s="9" t="s">
        <v>743</v>
      </c>
      <c r="Q133" s="9" t="s">
        <v>744</v>
      </c>
    </row>
    <row r="134" spans="1:17" ht="15" customHeight="1">
      <c r="A134" s="8">
        <v>133</v>
      </c>
      <c r="B134" s="8" t="s">
        <v>736</v>
      </c>
      <c r="C134" s="8" t="s">
        <v>1024</v>
      </c>
      <c r="D134" s="8" t="s">
        <v>1025</v>
      </c>
      <c r="E134" s="8" t="s">
        <v>21</v>
      </c>
      <c r="F134" s="8" t="s">
        <v>22</v>
      </c>
      <c r="G134" s="8">
        <v>524</v>
      </c>
      <c r="H134" s="8" t="s">
        <v>23</v>
      </c>
      <c r="I134" s="8" t="s">
        <v>180</v>
      </c>
      <c r="J134" s="8" t="s">
        <v>41</v>
      </c>
      <c r="K134" s="8" t="s">
        <v>26</v>
      </c>
      <c r="L134" s="8" t="s">
        <v>181</v>
      </c>
      <c r="M134" s="8">
        <v>5411</v>
      </c>
      <c r="N134" s="8" t="s">
        <v>741</v>
      </c>
      <c r="O134" s="8" t="s">
        <v>742</v>
      </c>
      <c r="P134" s="8" t="s">
        <v>743</v>
      </c>
      <c r="Q134" s="8" t="s">
        <v>744</v>
      </c>
    </row>
    <row r="135" spans="1:17" ht="15" customHeight="1">
      <c r="A135" s="9">
        <v>134</v>
      </c>
      <c r="B135" s="9" t="s">
        <v>736</v>
      </c>
      <c r="C135" s="9" t="s">
        <v>1026</v>
      </c>
      <c r="D135" s="9" t="s">
        <v>1027</v>
      </c>
      <c r="E135" s="9" t="s">
        <v>94</v>
      </c>
      <c r="F135" s="9" t="s">
        <v>22</v>
      </c>
      <c r="G135" s="9">
        <v>9700</v>
      </c>
      <c r="H135" s="9" t="s">
        <v>23</v>
      </c>
      <c r="I135" s="9" t="s">
        <v>766</v>
      </c>
      <c r="J135" s="9" t="s">
        <v>96</v>
      </c>
      <c r="K135" s="9" t="s">
        <v>97</v>
      </c>
      <c r="L135" s="9" t="s">
        <v>767</v>
      </c>
      <c r="M135" s="9"/>
      <c r="N135" s="9" t="s">
        <v>767</v>
      </c>
      <c r="O135" s="9" t="s">
        <v>1028</v>
      </c>
      <c r="P135" s="9" t="s">
        <v>743</v>
      </c>
      <c r="Q135" s="9" t="s">
        <v>744</v>
      </c>
    </row>
    <row r="136" spans="1:17" ht="15" customHeight="1">
      <c r="A136" s="8">
        <v>135</v>
      </c>
      <c r="B136" s="8" t="s">
        <v>736</v>
      </c>
      <c r="C136" s="8" t="s">
        <v>1029</v>
      </c>
      <c r="D136" s="8" t="s">
        <v>1030</v>
      </c>
      <c r="E136" s="8" t="s">
        <v>21</v>
      </c>
      <c r="F136" s="8" t="s">
        <v>22</v>
      </c>
      <c r="G136" s="8">
        <v>230</v>
      </c>
      <c r="H136" s="8" t="s">
        <v>23</v>
      </c>
      <c r="I136" s="8" t="s">
        <v>56</v>
      </c>
      <c r="J136" s="8" t="s">
        <v>41</v>
      </c>
      <c r="K136" s="8" t="s">
        <v>26</v>
      </c>
      <c r="L136" s="8" t="s">
        <v>57</v>
      </c>
      <c r="M136" s="8">
        <v>5999</v>
      </c>
      <c r="N136" s="8" t="s">
        <v>741</v>
      </c>
      <c r="O136" s="8" t="s">
        <v>742</v>
      </c>
      <c r="P136" s="8" t="s">
        <v>743</v>
      </c>
      <c r="Q136" s="8" t="s">
        <v>744</v>
      </c>
    </row>
    <row r="137" spans="1:17" ht="15" customHeight="1">
      <c r="A137" s="9">
        <v>136</v>
      </c>
      <c r="B137" s="9" t="s">
        <v>736</v>
      </c>
      <c r="C137" s="9" t="s">
        <v>1031</v>
      </c>
      <c r="D137" s="9" t="s">
        <v>1032</v>
      </c>
      <c r="E137" s="9" t="s">
        <v>21</v>
      </c>
      <c r="F137" s="9" t="s">
        <v>22</v>
      </c>
      <c r="G137" s="9">
        <v>469</v>
      </c>
      <c r="H137" s="9" t="s">
        <v>23</v>
      </c>
      <c r="I137" s="9" t="s">
        <v>174</v>
      </c>
      <c r="J137" s="9" t="s">
        <v>36</v>
      </c>
      <c r="K137" s="9" t="s">
        <v>26</v>
      </c>
      <c r="L137" s="9" t="s">
        <v>175</v>
      </c>
      <c r="M137" s="9">
        <v>4813</v>
      </c>
      <c r="N137" s="9" t="s">
        <v>741</v>
      </c>
      <c r="O137" s="9" t="s">
        <v>742</v>
      </c>
      <c r="P137" s="9" t="s">
        <v>743</v>
      </c>
      <c r="Q137" s="9" t="s">
        <v>744</v>
      </c>
    </row>
    <row r="138" spans="1:17" ht="15" customHeight="1">
      <c r="A138" s="8">
        <v>137</v>
      </c>
      <c r="B138" s="8" t="s">
        <v>736</v>
      </c>
      <c r="C138" s="8" t="s">
        <v>1033</v>
      </c>
      <c r="D138" s="8" t="s">
        <v>1034</v>
      </c>
      <c r="E138" s="8" t="s">
        <v>21</v>
      </c>
      <c r="F138" s="8" t="s">
        <v>22</v>
      </c>
      <c r="G138" s="8">
        <v>429</v>
      </c>
      <c r="H138" s="8" t="s">
        <v>23</v>
      </c>
      <c r="I138" s="8" t="s">
        <v>593</v>
      </c>
      <c r="J138" s="8" t="s">
        <v>331</v>
      </c>
      <c r="K138" s="8" t="s">
        <v>26</v>
      </c>
      <c r="L138" s="8" t="s">
        <v>594</v>
      </c>
      <c r="M138" s="8">
        <v>6011</v>
      </c>
      <c r="N138" s="8" t="s">
        <v>741</v>
      </c>
      <c r="O138" s="8" t="s">
        <v>742</v>
      </c>
      <c r="P138" s="8" t="s">
        <v>743</v>
      </c>
      <c r="Q138" s="8" t="s">
        <v>744</v>
      </c>
    </row>
    <row r="139" spans="1:17" ht="15" customHeight="1">
      <c r="A139" s="9">
        <v>138</v>
      </c>
      <c r="B139" s="9" t="s">
        <v>736</v>
      </c>
      <c r="C139" s="9" t="s">
        <v>1035</v>
      </c>
      <c r="D139" s="9" t="s">
        <v>1036</v>
      </c>
      <c r="E139" s="9" t="s">
        <v>21</v>
      </c>
      <c r="F139" s="9" t="s">
        <v>22</v>
      </c>
      <c r="G139" s="9">
        <v>1200</v>
      </c>
      <c r="H139" s="9" t="s">
        <v>23</v>
      </c>
      <c r="I139" s="9" t="s">
        <v>739</v>
      </c>
      <c r="J139" s="9" t="s">
        <v>36</v>
      </c>
      <c r="K139" s="9" t="s">
        <v>26</v>
      </c>
      <c r="L139" s="9" t="s">
        <v>740</v>
      </c>
      <c r="M139" s="9">
        <v>6012</v>
      </c>
      <c r="N139" s="9" t="s">
        <v>741</v>
      </c>
      <c r="O139" s="9" t="s">
        <v>742</v>
      </c>
      <c r="P139" s="9" t="s">
        <v>743</v>
      </c>
      <c r="Q139" s="9" t="s">
        <v>744</v>
      </c>
    </row>
    <row r="140" spans="1:17" ht="15" customHeight="1">
      <c r="A140" s="8">
        <v>139</v>
      </c>
      <c r="B140" s="8" t="s">
        <v>736</v>
      </c>
      <c r="C140" s="8" t="s">
        <v>1037</v>
      </c>
      <c r="D140" s="8" t="s">
        <v>1038</v>
      </c>
      <c r="E140" s="8" t="s">
        <v>21</v>
      </c>
      <c r="F140" s="8" t="s">
        <v>22</v>
      </c>
      <c r="G140" s="8">
        <v>515</v>
      </c>
      <c r="H140" s="8" t="s">
        <v>23</v>
      </c>
      <c r="I140" s="8" t="s">
        <v>82</v>
      </c>
      <c r="J140" s="8" t="s">
        <v>41</v>
      </c>
      <c r="K140" s="8" t="s">
        <v>26</v>
      </c>
      <c r="L140" s="8" t="s">
        <v>83</v>
      </c>
      <c r="M140" s="8">
        <v>5411</v>
      </c>
      <c r="N140" s="8" t="s">
        <v>741</v>
      </c>
      <c r="O140" s="8" t="s">
        <v>742</v>
      </c>
      <c r="P140" s="8" t="s">
        <v>743</v>
      </c>
      <c r="Q140" s="8" t="s">
        <v>744</v>
      </c>
    </row>
    <row r="141" spans="1:17" ht="15" customHeight="1">
      <c r="A141" s="9">
        <v>140</v>
      </c>
      <c r="B141" s="9" t="s">
        <v>736</v>
      </c>
      <c r="C141" s="9" t="s">
        <v>1039</v>
      </c>
      <c r="D141" s="9" t="s">
        <v>1040</v>
      </c>
      <c r="E141" s="9" t="s">
        <v>21</v>
      </c>
      <c r="F141" s="9" t="s">
        <v>22</v>
      </c>
      <c r="G141" s="9">
        <v>364</v>
      </c>
      <c r="H141" s="9" t="s">
        <v>23</v>
      </c>
      <c r="I141" s="9" t="s">
        <v>74</v>
      </c>
      <c r="J141" s="9" t="s">
        <v>41</v>
      </c>
      <c r="K141" s="9" t="s">
        <v>26</v>
      </c>
      <c r="L141" s="9" t="s">
        <v>75</v>
      </c>
      <c r="M141" s="9">
        <v>5812</v>
      </c>
      <c r="N141" s="9" t="s">
        <v>741</v>
      </c>
      <c r="O141" s="9" t="s">
        <v>742</v>
      </c>
      <c r="P141" s="9" t="s">
        <v>743</v>
      </c>
      <c r="Q141" s="9" t="s">
        <v>744</v>
      </c>
    </row>
    <row r="142" spans="1:17" ht="15" customHeight="1">
      <c r="A142" s="8">
        <v>141</v>
      </c>
      <c r="B142" s="8" t="s">
        <v>736</v>
      </c>
      <c r="C142" s="8" t="s">
        <v>1041</v>
      </c>
      <c r="D142" s="8" t="s">
        <v>1042</v>
      </c>
      <c r="E142" s="8" t="s">
        <v>21</v>
      </c>
      <c r="F142" s="8" t="s">
        <v>22</v>
      </c>
      <c r="G142" s="8">
        <v>751</v>
      </c>
      <c r="H142" s="8" t="s">
        <v>23</v>
      </c>
      <c r="I142" s="8" t="s">
        <v>498</v>
      </c>
      <c r="J142" s="8" t="s">
        <v>36</v>
      </c>
      <c r="K142" s="8" t="s">
        <v>26</v>
      </c>
      <c r="L142" s="8" t="s">
        <v>499</v>
      </c>
      <c r="M142" s="8">
        <v>4900</v>
      </c>
      <c r="N142" s="8" t="s">
        <v>741</v>
      </c>
      <c r="O142" s="8" t="s">
        <v>742</v>
      </c>
      <c r="P142" s="8" t="s">
        <v>743</v>
      </c>
      <c r="Q142" s="8" t="s">
        <v>744</v>
      </c>
    </row>
    <row r="143" spans="1:17" ht="15" customHeight="1">
      <c r="A143" s="9">
        <v>142</v>
      </c>
      <c r="B143" s="9" t="s">
        <v>736</v>
      </c>
      <c r="C143" s="9" t="s">
        <v>1043</v>
      </c>
      <c r="D143" s="9" t="s">
        <v>1044</v>
      </c>
      <c r="E143" s="9" t="s">
        <v>21</v>
      </c>
      <c r="F143" s="9" t="s">
        <v>22</v>
      </c>
      <c r="G143" s="9">
        <v>339</v>
      </c>
      <c r="H143" s="9" t="s">
        <v>23</v>
      </c>
      <c r="I143" s="9" t="s">
        <v>234</v>
      </c>
      <c r="J143" s="9" t="s">
        <v>41</v>
      </c>
      <c r="K143" s="9" t="s">
        <v>26</v>
      </c>
      <c r="L143" s="9" t="s">
        <v>235</v>
      </c>
      <c r="M143" s="9">
        <v>8011</v>
      </c>
      <c r="N143" s="9" t="s">
        <v>741</v>
      </c>
      <c r="O143" s="9" t="s">
        <v>742</v>
      </c>
      <c r="P143" s="9" t="s">
        <v>743</v>
      </c>
      <c r="Q143" s="9" t="s">
        <v>744</v>
      </c>
    </row>
    <row r="144" spans="1:17" ht="15" customHeight="1">
      <c r="A144" s="8">
        <v>143</v>
      </c>
      <c r="B144" s="8" t="s">
        <v>736</v>
      </c>
      <c r="C144" s="8" t="s">
        <v>1045</v>
      </c>
      <c r="D144" s="8" t="s">
        <v>1046</v>
      </c>
      <c r="E144" s="8" t="s">
        <v>21</v>
      </c>
      <c r="F144" s="8" t="s">
        <v>22</v>
      </c>
      <c r="G144" s="8">
        <v>364</v>
      </c>
      <c r="H144" s="8" t="s">
        <v>23</v>
      </c>
      <c r="I144" s="8" t="s">
        <v>254</v>
      </c>
      <c r="J144" s="8" t="s">
        <v>41</v>
      </c>
      <c r="K144" s="8" t="s">
        <v>26</v>
      </c>
      <c r="L144" s="8" t="s">
        <v>255</v>
      </c>
      <c r="M144" s="8">
        <v>5812</v>
      </c>
      <c r="N144" s="8" t="s">
        <v>741</v>
      </c>
      <c r="O144" s="8" t="s">
        <v>742</v>
      </c>
      <c r="P144" s="8" t="s">
        <v>743</v>
      </c>
      <c r="Q144" s="8" t="s">
        <v>744</v>
      </c>
    </row>
    <row r="145" spans="1:17" ht="15" customHeight="1">
      <c r="A145" s="9">
        <v>144</v>
      </c>
      <c r="B145" s="9" t="s">
        <v>736</v>
      </c>
      <c r="C145" s="9" t="s">
        <v>1047</v>
      </c>
      <c r="D145" s="9" t="s">
        <v>1048</v>
      </c>
      <c r="E145" s="9" t="s">
        <v>21</v>
      </c>
      <c r="F145" s="9" t="s">
        <v>22</v>
      </c>
      <c r="G145" s="9">
        <v>653</v>
      </c>
      <c r="H145" s="9" t="s">
        <v>23</v>
      </c>
      <c r="I145" s="9" t="s">
        <v>363</v>
      </c>
      <c r="J145" s="9" t="s">
        <v>41</v>
      </c>
      <c r="K145" s="9" t="s">
        <v>26</v>
      </c>
      <c r="L145" s="9" t="s">
        <v>364</v>
      </c>
      <c r="M145" s="9">
        <v>5999</v>
      </c>
      <c r="N145" s="9" t="s">
        <v>741</v>
      </c>
      <c r="O145" s="9" t="s">
        <v>742</v>
      </c>
      <c r="P145" s="9" t="s">
        <v>743</v>
      </c>
      <c r="Q145" s="9" t="s">
        <v>744</v>
      </c>
    </row>
    <row r="146" spans="1:17" ht="15" customHeight="1">
      <c r="A146" s="8">
        <v>145</v>
      </c>
      <c r="B146" s="8" t="s">
        <v>736</v>
      </c>
      <c r="C146" s="8" t="s">
        <v>1049</v>
      </c>
      <c r="D146" s="8" t="s">
        <v>1050</v>
      </c>
      <c r="E146" s="8" t="s">
        <v>21</v>
      </c>
      <c r="F146" s="8" t="s">
        <v>22</v>
      </c>
      <c r="G146" s="8">
        <v>515</v>
      </c>
      <c r="H146" s="8" t="s">
        <v>23</v>
      </c>
      <c r="I146" s="8" t="s">
        <v>131</v>
      </c>
      <c r="J146" s="8" t="s">
        <v>41</v>
      </c>
      <c r="K146" s="8" t="s">
        <v>26</v>
      </c>
      <c r="L146" s="8" t="s">
        <v>132</v>
      </c>
      <c r="M146" s="8">
        <v>5411</v>
      </c>
      <c r="N146" s="8" t="s">
        <v>741</v>
      </c>
      <c r="O146" s="8" t="s">
        <v>742</v>
      </c>
      <c r="P146" s="8" t="s">
        <v>743</v>
      </c>
      <c r="Q146" s="8" t="s">
        <v>744</v>
      </c>
    </row>
    <row r="147" spans="1:17" ht="15" customHeight="1">
      <c r="A147" s="9">
        <v>146</v>
      </c>
      <c r="B147" s="9" t="s">
        <v>736</v>
      </c>
      <c r="C147" s="9" t="s">
        <v>1051</v>
      </c>
      <c r="D147" s="9" t="s">
        <v>1052</v>
      </c>
      <c r="E147" s="9" t="s">
        <v>21</v>
      </c>
      <c r="F147" s="9" t="s">
        <v>22</v>
      </c>
      <c r="G147" s="9">
        <v>652</v>
      </c>
      <c r="H147" s="9" t="s">
        <v>23</v>
      </c>
      <c r="I147" s="9" t="s">
        <v>108</v>
      </c>
      <c r="J147" s="9" t="s">
        <v>41</v>
      </c>
      <c r="K147" s="9" t="s">
        <v>26</v>
      </c>
      <c r="L147" s="9" t="s">
        <v>57</v>
      </c>
      <c r="M147" s="9">
        <v>5999</v>
      </c>
      <c r="N147" s="9" t="s">
        <v>741</v>
      </c>
      <c r="O147" s="9" t="s">
        <v>742</v>
      </c>
      <c r="P147" s="9" t="s">
        <v>743</v>
      </c>
      <c r="Q147" s="9" t="s">
        <v>744</v>
      </c>
    </row>
    <row r="148" spans="1:17" ht="15" customHeight="1">
      <c r="A148" s="8">
        <v>147</v>
      </c>
      <c r="B148" s="8" t="s">
        <v>736</v>
      </c>
      <c r="C148" s="8" t="s">
        <v>1053</v>
      </c>
      <c r="D148" s="8" t="s">
        <v>1054</v>
      </c>
      <c r="E148" s="8" t="s">
        <v>21</v>
      </c>
      <c r="F148" s="8" t="s">
        <v>22</v>
      </c>
      <c r="G148" s="8">
        <v>750</v>
      </c>
      <c r="H148" s="8" t="s">
        <v>23</v>
      </c>
      <c r="I148" s="8" t="s">
        <v>212</v>
      </c>
      <c r="J148" s="8" t="s">
        <v>25</v>
      </c>
      <c r="K148" s="8" t="s">
        <v>26</v>
      </c>
      <c r="L148" s="8" t="s">
        <v>213</v>
      </c>
      <c r="M148" s="8">
        <v>5999</v>
      </c>
      <c r="N148" s="8" t="s">
        <v>741</v>
      </c>
      <c r="O148" s="8" t="s">
        <v>742</v>
      </c>
      <c r="P148" s="8" t="s">
        <v>743</v>
      </c>
      <c r="Q148" s="8" t="s">
        <v>744</v>
      </c>
    </row>
    <row r="149" spans="1:17" ht="15" customHeight="1">
      <c r="A149" s="9">
        <v>148</v>
      </c>
      <c r="B149" s="9" t="s">
        <v>736</v>
      </c>
      <c r="C149" s="9" t="s">
        <v>1055</v>
      </c>
      <c r="D149" s="9" t="s">
        <v>1056</v>
      </c>
      <c r="E149" s="9" t="s">
        <v>21</v>
      </c>
      <c r="F149" s="9" t="s">
        <v>22</v>
      </c>
      <c r="G149" s="9">
        <v>515</v>
      </c>
      <c r="H149" s="9" t="s">
        <v>23</v>
      </c>
      <c r="I149" s="9" t="s">
        <v>379</v>
      </c>
      <c r="J149" s="9" t="s">
        <v>41</v>
      </c>
      <c r="K149" s="9" t="s">
        <v>26</v>
      </c>
      <c r="L149" s="9" t="s">
        <v>380</v>
      </c>
      <c r="M149" s="9">
        <v>5411</v>
      </c>
      <c r="N149" s="9" t="s">
        <v>741</v>
      </c>
      <c r="O149" s="9" t="s">
        <v>742</v>
      </c>
      <c r="P149" s="9" t="s">
        <v>743</v>
      </c>
      <c r="Q149" s="9" t="s">
        <v>744</v>
      </c>
    </row>
    <row r="150" spans="1:17" ht="15" customHeight="1">
      <c r="A150" s="8">
        <v>149</v>
      </c>
      <c r="B150" s="8" t="s">
        <v>736</v>
      </c>
      <c r="C150" s="8" t="s">
        <v>1057</v>
      </c>
      <c r="D150" s="8" t="s">
        <v>1058</v>
      </c>
      <c r="E150" s="8" t="s">
        <v>21</v>
      </c>
      <c r="F150" s="8" t="s">
        <v>22</v>
      </c>
      <c r="G150" s="8">
        <v>615</v>
      </c>
      <c r="H150" s="8" t="s">
        <v>23</v>
      </c>
      <c r="I150" s="8" t="s">
        <v>70</v>
      </c>
      <c r="J150" s="8" t="s">
        <v>41</v>
      </c>
      <c r="K150" s="8" t="s">
        <v>26</v>
      </c>
      <c r="L150" s="8" t="s">
        <v>71</v>
      </c>
      <c r="M150" s="8">
        <v>5541</v>
      </c>
      <c r="N150" s="8" t="s">
        <v>741</v>
      </c>
      <c r="O150" s="8" t="s">
        <v>742</v>
      </c>
      <c r="P150" s="8" t="s">
        <v>743</v>
      </c>
      <c r="Q150" s="8" t="s">
        <v>744</v>
      </c>
    </row>
    <row r="151" spans="1:17" ht="15" customHeight="1">
      <c r="A151" s="9">
        <v>150</v>
      </c>
      <c r="B151" s="9" t="s">
        <v>736</v>
      </c>
      <c r="C151" s="9" t="s">
        <v>1059</v>
      </c>
      <c r="D151" s="9" t="s">
        <v>1060</v>
      </c>
      <c r="E151" s="9" t="s">
        <v>21</v>
      </c>
      <c r="F151" s="9" t="s">
        <v>22</v>
      </c>
      <c r="G151" s="9">
        <v>405</v>
      </c>
      <c r="H151" s="9" t="s">
        <v>23</v>
      </c>
      <c r="I151" s="9" t="s">
        <v>174</v>
      </c>
      <c r="J151" s="9" t="s">
        <v>36</v>
      </c>
      <c r="K151" s="9" t="s">
        <v>26</v>
      </c>
      <c r="L151" s="9" t="s">
        <v>175</v>
      </c>
      <c r="M151" s="9">
        <v>4813</v>
      </c>
      <c r="N151" s="9" t="s">
        <v>741</v>
      </c>
      <c r="O151" s="9" t="s">
        <v>742</v>
      </c>
      <c r="P151" s="9" t="s">
        <v>743</v>
      </c>
      <c r="Q151" s="9" t="s">
        <v>744</v>
      </c>
    </row>
    <row r="152" spans="1:17" ht="15" customHeight="1">
      <c r="A152" s="8">
        <v>151</v>
      </c>
      <c r="B152" s="8" t="s">
        <v>736</v>
      </c>
      <c r="C152" s="8" t="s">
        <v>1061</v>
      </c>
      <c r="D152" s="8" t="s">
        <v>1062</v>
      </c>
      <c r="E152" s="8" t="s">
        <v>21</v>
      </c>
      <c r="F152" s="8" t="s">
        <v>22</v>
      </c>
      <c r="G152" s="8">
        <v>562</v>
      </c>
      <c r="H152" s="8" t="s">
        <v>23</v>
      </c>
      <c r="I152" s="8" t="s">
        <v>56</v>
      </c>
      <c r="J152" s="8" t="s">
        <v>41</v>
      </c>
      <c r="K152" s="8" t="s">
        <v>26</v>
      </c>
      <c r="L152" s="8" t="s">
        <v>57</v>
      </c>
      <c r="M152" s="8">
        <v>5999</v>
      </c>
      <c r="N152" s="8" t="s">
        <v>741</v>
      </c>
      <c r="O152" s="8" t="s">
        <v>742</v>
      </c>
      <c r="P152" s="8" t="s">
        <v>743</v>
      </c>
      <c r="Q152" s="8" t="s">
        <v>744</v>
      </c>
    </row>
    <row r="153" spans="1:17" ht="15" customHeight="1">
      <c r="A153" s="9">
        <v>152</v>
      </c>
      <c r="B153" s="9" t="s">
        <v>736</v>
      </c>
      <c r="C153" s="9" t="s">
        <v>1063</v>
      </c>
      <c r="D153" s="9" t="s">
        <v>1064</v>
      </c>
      <c r="E153" s="9" t="s">
        <v>94</v>
      </c>
      <c r="F153" s="9" t="s">
        <v>22</v>
      </c>
      <c r="G153" s="9">
        <v>9300</v>
      </c>
      <c r="H153" s="9" t="s">
        <v>23</v>
      </c>
      <c r="I153" s="9" t="s">
        <v>766</v>
      </c>
      <c r="J153" s="9" t="s">
        <v>96</v>
      </c>
      <c r="K153" s="9" t="s">
        <v>97</v>
      </c>
      <c r="L153" s="9" t="s">
        <v>767</v>
      </c>
      <c r="M153" s="9"/>
      <c r="N153" s="9" t="s">
        <v>767</v>
      </c>
      <c r="O153" s="9" t="s">
        <v>1065</v>
      </c>
      <c r="P153" s="9" t="s">
        <v>743</v>
      </c>
      <c r="Q153" s="9" t="s">
        <v>744</v>
      </c>
    </row>
    <row r="154" spans="1:17" ht="15" customHeight="1">
      <c r="A154" s="8">
        <v>153</v>
      </c>
      <c r="B154" s="8" t="s">
        <v>736</v>
      </c>
      <c r="C154" s="8" t="s">
        <v>1066</v>
      </c>
      <c r="D154" s="8" t="s">
        <v>1067</v>
      </c>
      <c r="E154" s="8" t="s">
        <v>21</v>
      </c>
      <c r="F154" s="8" t="s">
        <v>22</v>
      </c>
      <c r="G154" s="8">
        <v>1200</v>
      </c>
      <c r="H154" s="8" t="s">
        <v>23</v>
      </c>
      <c r="I154" s="8" t="s">
        <v>739</v>
      </c>
      <c r="J154" s="8" t="s">
        <v>36</v>
      </c>
      <c r="K154" s="8" t="s">
        <v>26</v>
      </c>
      <c r="L154" s="8" t="s">
        <v>740</v>
      </c>
      <c r="M154" s="8">
        <v>6012</v>
      </c>
      <c r="N154" s="8" t="s">
        <v>741</v>
      </c>
      <c r="O154" s="8" t="s">
        <v>742</v>
      </c>
      <c r="P154" s="8" t="s">
        <v>743</v>
      </c>
      <c r="Q154" s="8" t="s">
        <v>744</v>
      </c>
    </row>
    <row r="155" spans="1:17" ht="15" customHeight="1">
      <c r="A155" s="9">
        <v>154</v>
      </c>
      <c r="B155" s="9" t="s">
        <v>736</v>
      </c>
      <c r="C155" s="9" t="s">
        <v>1068</v>
      </c>
      <c r="D155" s="9" t="s">
        <v>1069</v>
      </c>
      <c r="E155" s="9" t="s">
        <v>21</v>
      </c>
      <c r="F155" s="9" t="s">
        <v>22</v>
      </c>
      <c r="G155" s="9">
        <v>721</v>
      </c>
      <c r="H155" s="9" t="s">
        <v>23</v>
      </c>
      <c r="I155" s="9" t="s">
        <v>340</v>
      </c>
      <c r="J155" s="9" t="s">
        <v>41</v>
      </c>
      <c r="K155" s="9" t="s">
        <v>26</v>
      </c>
      <c r="L155" s="9" t="s">
        <v>341</v>
      </c>
      <c r="M155" s="9">
        <v>5812</v>
      </c>
      <c r="N155" s="9" t="s">
        <v>741</v>
      </c>
      <c r="O155" s="9" t="s">
        <v>742</v>
      </c>
      <c r="P155" s="9" t="s">
        <v>743</v>
      </c>
      <c r="Q155" s="9" t="s">
        <v>744</v>
      </c>
    </row>
    <row r="156" spans="1:17" ht="15" customHeight="1">
      <c r="A156" s="8">
        <v>155</v>
      </c>
      <c r="B156" s="8" t="s">
        <v>736</v>
      </c>
      <c r="C156" s="8" t="s">
        <v>1070</v>
      </c>
      <c r="D156" s="8" t="s">
        <v>1071</v>
      </c>
      <c r="E156" s="8" t="s">
        <v>21</v>
      </c>
      <c r="F156" s="8" t="s">
        <v>22</v>
      </c>
      <c r="G156" s="8">
        <v>388</v>
      </c>
      <c r="H156" s="8" t="s">
        <v>23</v>
      </c>
      <c r="I156" s="8" t="s">
        <v>560</v>
      </c>
      <c r="J156" s="8" t="s">
        <v>331</v>
      </c>
      <c r="K156" s="8" t="s">
        <v>26</v>
      </c>
      <c r="L156" s="8" t="s">
        <v>561</v>
      </c>
      <c r="M156" s="8">
        <v>6011</v>
      </c>
      <c r="N156" s="8" t="s">
        <v>741</v>
      </c>
      <c r="O156" s="8" t="s">
        <v>742</v>
      </c>
      <c r="P156" s="8" t="s">
        <v>743</v>
      </c>
      <c r="Q156" s="8" t="s">
        <v>744</v>
      </c>
    </row>
    <row r="157" spans="1:17" ht="15" customHeight="1">
      <c r="A157" s="9">
        <v>156</v>
      </c>
      <c r="B157" s="9" t="s">
        <v>736</v>
      </c>
      <c r="C157" s="9" t="s">
        <v>1072</v>
      </c>
      <c r="D157" s="9" t="s">
        <v>1073</v>
      </c>
      <c r="E157" s="9" t="s">
        <v>21</v>
      </c>
      <c r="F157" s="9" t="s">
        <v>22</v>
      </c>
      <c r="G157" s="9">
        <v>541</v>
      </c>
      <c r="H157" s="9" t="s">
        <v>23</v>
      </c>
      <c r="I157" s="9" t="s">
        <v>70</v>
      </c>
      <c r="J157" s="9" t="s">
        <v>41</v>
      </c>
      <c r="K157" s="9" t="s">
        <v>26</v>
      </c>
      <c r="L157" s="9" t="s">
        <v>71</v>
      </c>
      <c r="M157" s="9">
        <v>5541</v>
      </c>
      <c r="N157" s="9" t="s">
        <v>741</v>
      </c>
      <c r="O157" s="9" t="s">
        <v>742</v>
      </c>
      <c r="P157" s="9" t="s">
        <v>743</v>
      </c>
      <c r="Q157" s="9" t="s">
        <v>744</v>
      </c>
    </row>
    <row r="158" spans="1:17" ht="15" customHeight="1">
      <c r="A158" s="8">
        <v>157</v>
      </c>
      <c r="B158" s="8" t="s">
        <v>736</v>
      </c>
      <c r="C158" s="8" t="s">
        <v>1074</v>
      </c>
      <c r="D158" s="8" t="s">
        <v>1075</v>
      </c>
      <c r="E158" s="8" t="s">
        <v>21</v>
      </c>
      <c r="F158" s="8" t="s">
        <v>22</v>
      </c>
      <c r="G158" s="8">
        <v>446</v>
      </c>
      <c r="H158" s="8" t="s">
        <v>23</v>
      </c>
      <c r="I158" s="8" t="s">
        <v>351</v>
      </c>
      <c r="J158" s="8" t="s">
        <v>36</v>
      </c>
      <c r="K158" s="8" t="s">
        <v>26</v>
      </c>
      <c r="L158" s="8" t="s">
        <v>352</v>
      </c>
      <c r="M158" s="8">
        <v>4813</v>
      </c>
      <c r="N158" s="8" t="s">
        <v>741</v>
      </c>
      <c r="O158" s="8" t="s">
        <v>742</v>
      </c>
      <c r="P158" s="8" t="s">
        <v>743</v>
      </c>
      <c r="Q158" s="8" t="s">
        <v>744</v>
      </c>
    </row>
    <row r="159" spans="1:17" ht="15" customHeight="1">
      <c r="A159" s="9">
        <v>158</v>
      </c>
      <c r="B159" s="9" t="s">
        <v>736</v>
      </c>
      <c r="C159" s="9" t="s">
        <v>1076</v>
      </c>
      <c r="D159" s="9" t="s">
        <v>1077</v>
      </c>
      <c r="E159" s="9" t="s">
        <v>21</v>
      </c>
      <c r="F159" s="9" t="s">
        <v>22</v>
      </c>
      <c r="G159" s="9">
        <v>677</v>
      </c>
      <c r="H159" s="9" t="s">
        <v>23</v>
      </c>
      <c r="I159" s="9" t="s">
        <v>186</v>
      </c>
      <c r="J159" s="9" t="s">
        <v>41</v>
      </c>
      <c r="K159" s="9" t="s">
        <v>26</v>
      </c>
      <c r="L159" s="9" t="s">
        <v>187</v>
      </c>
      <c r="M159" s="9">
        <v>5999</v>
      </c>
      <c r="N159" s="9" t="s">
        <v>741</v>
      </c>
      <c r="O159" s="9" t="s">
        <v>742</v>
      </c>
      <c r="P159" s="9" t="s">
        <v>743</v>
      </c>
      <c r="Q159" s="9" t="s">
        <v>744</v>
      </c>
    </row>
    <row r="160" spans="1:17" ht="15" customHeight="1">
      <c r="A160" s="8">
        <v>159</v>
      </c>
      <c r="B160" s="8" t="s">
        <v>736</v>
      </c>
      <c r="C160" s="8" t="s">
        <v>1078</v>
      </c>
      <c r="D160" s="8" t="s">
        <v>1079</v>
      </c>
      <c r="E160" s="8" t="s">
        <v>21</v>
      </c>
      <c r="F160" s="8" t="s">
        <v>22</v>
      </c>
      <c r="G160" s="8">
        <v>881</v>
      </c>
      <c r="H160" s="8" t="s">
        <v>23</v>
      </c>
      <c r="I160" s="8" t="s">
        <v>102</v>
      </c>
      <c r="J160" s="8" t="s">
        <v>41</v>
      </c>
      <c r="K160" s="8" t="s">
        <v>26</v>
      </c>
      <c r="L160" s="8" t="s">
        <v>103</v>
      </c>
      <c r="M160" s="8">
        <v>5411</v>
      </c>
      <c r="N160" s="8" t="s">
        <v>741</v>
      </c>
      <c r="O160" s="8" t="s">
        <v>742</v>
      </c>
      <c r="P160" s="8" t="s">
        <v>743</v>
      </c>
      <c r="Q160" s="8" t="s">
        <v>744</v>
      </c>
    </row>
    <row r="161" spans="1:17" ht="15" customHeight="1">
      <c r="A161" s="9">
        <v>160</v>
      </c>
      <c r="B161" s="9" t="s">
        <v>736</v>
      </c>
      <c r="C161" s="9" t="s">
        <v>1080</v>
      </c>
      <c r="D161" s="9" t="s">
        <v>1081</v>
      </c>
      <c r="E161" s="9" t="s">
        <v>21</v>
      </c>
      <c r="F161" s="9" t="s">
        <v>22</v>
      </c>
      <c r="G161" s="9">
        <v>881</v>
      </c>
      <c r="H161" s="9" t="s">
        <v>23</v>
      </c>
      <c r="I161" s="9" t="s">
        <v>102</v>
      </c>
      <c r="J161" s="9" t="s">
        <v>41</v>
      </c>
      <c r="K161" s="9" t="s">
        <v>26</v>
      </c>
      <c r="L161" s="9" t="s">
        <v>103</v>
      </c>
      <c r="M161" s="9">
        <v>5411</v>
      </c>
      <c r="N161" s="9" t="s">
        <v>741</v>
      </c>
      <c r="O161" s="9" t="s">
        <v>742</v>
      </c>
      <c r="P161" s="9" t="s">
        <v>743</v>
      </c>
      <c r="Q161" s="9" t="s">
        <v>744</v>
      </c>
    </row>
    <row r="162" spans="1:17" ht="15" customHeight="1">
      <c r="A162" s="8">
        <v>161</v>
      </c>
      <c r="B162" s="8" t="s">
        <v>736</v>
      </c>
      <c r="C162" s="8" t="s">
        <v>1082</v>
      </c>
      <c r="D162" s="8" t="s">
        <v>1083</v>
      </c>
      <c r="E162" s="8" t="s">
        <v>21</v>
      </c>
      <c r="F162" s="8" t="s">
        <v>22</v>
      </c>
      <c r="G162" s="8">
        <v>247</v>
      </c>
      <c r="H162" s="8" t="s">
        <v>23</v>
      </c>
      <c r="I162" s="8" t="s">
        <v>56</v>
      </c>
      <c r="J162" s="8" t="s">
        <v>41</v>
      </c>
      <c r="K162" s="8" t="s">
        <v>26</v>
      </c>
      <c r="L162" s="8" t="s">
        <v>57</v>
      </c>
      <c r="M162" s="8">
        <v>5999</v>
      </c>
      <c r="N162" s="8" t="s">
        <v>741</v>
      </c>
      <c r="O162" s="8" t="s">
        <v>742</v>
      </c>
      <c r="P162" s="8" t="s">
        <v>743</v>
      </c>
      <c r="Q162" s="8" t="s">
        <v>744</v>
      </c>
    </row>
    <row r="163" spans="1:17" ht="15" customHeight="1">
      <c r="A163" s="9">
        <v>162</v>
      </c>
      <c r="B163" s="9" t="s">
        <v>736</v>
      </c>
      <c r="C163" s="9" t="s">
        <v>1084</v>
      </c>
      <c r="D163" s="9" t="s">
        <v>1085</v>
      </c>
      <c r="E163" s="9" t="s">
        <v>21</v>
      </c>
      <c r="F163" s="9" t="s">
        <v>22</v>
      </c>
      <c r="G163" s="9">
        <v>673</v>
      </c>
      <c r="H163" s="9" t="s">
        <v>23</v>
      </c>
      <c r="I163" s="9" t="s">
        <v>498</v>
      </c>
      <c r="J163" s="9" t="s">
        <v>36</v>
      </c>
      <c r="K163" s="9" t="s">
        <v>26</v>
      </c>
      <c r="L163" s="9" t="s">
        <v>499</v>
      </c>
      <c r="M163" s="9">
        <v>4900</v>
      </c>
      <c r="N163" s="9" t="s">
        <v>741</v>
      </c>
      <c r="O163" s="9" t="s">
        <v>742</v>
      </c>
      <c r="P163" s="9" t="s">
        <v>743</v>
      </c>
      <c r="Q163" s="9" t="s">
        <v>744</v>
      </c>
    </row>
    <row r="164" spans="1:17" ht="15" customHeight="1">
      <c r="A164" s="8">
        <v>163</v>
      </c>
      <c r="B164" s="8" t="s">
        <v>736</v>
      </c>
      <c r="C164" s="8" t="s">
        <v>1086</v>
      </c>
      <c r="D164" s="8" t="s">
        <v>1087</v>
      </c>
      <c r="E164" s="8" t="s">
        <v>21</v>
      </c>
      <c r="F164" s="8" t="s">
        <v>22</v>
      </c>
      <c r="G164" s="8">
        <v>968</v>
      </c>
      <c r="H164" s="8" t="s">
        <v>23</v>
      </c>
      <c r="I164" s="8" t="s">
        <v>318</v>
      </c>
      <c r="J164" s="8" t="s">
        <v>25</v>
      </c>
      <c r="K164" s="8" t="s">
        <v>26</v>
      </c>
      <c r="L164" s="8" t="s">
        <v>319</v>
      </c>
      <c r="M164" s="8">
        <v>5999</v>
      </c>
      <c r="N164" s="8" t="s">
        <v>741</v>
      </c>
      <c r="O164" s="8" t="s">
        <v>742</v>
      </c>
      <c r="P164" s="8" t="s">
        <v>743</v>
      </c>
      <c r="Q164" s="8" t="s">
        <v>744</v>
      </c>
    </row>
    <row r="165" spans="1:17" ht="15" customHeight="1">
      <c r="A165" s="9">
        <v>164</v>
      </c>
      <c r="B165" s="9" t="s">
        <v>736</v>
      </c>
      <c r="C165" s="9" t="s">
        <v>1088</v>
      </c>
      <c r="D165" s="9" t="s">
        <v>1089</v>
      </c>
      <c r="E165" s="9" t="s">
        <v>21</v>
      </c>
      <c r="F165" s="9" t="s">
        <v>22</v>
      </c>
      <c r="G165" s="9">
        <v>677</v>
      </c>
      <c r="H165" s="9" t="s">
        <v>23</v>
      </c>
      <c r="I165" s="9" t="s">
        <v>108</v>
      </c>
      <c r="J165" s="9" t="s">
        <v>41</v>
      </c>
      <c r="K165" s="9" t="s">
        <v>26</v>
      </c>
      <c r="L165" s="9" t="s">
        <v>57</v>
      </c>
      <c r="M165" s="9">
        <v>5999</v>
      </c>
      <c r="N165" s="9" t="s">
        <v>741</v>
      </c>
      <c r="O165" s="9" t="s">
        <v>742</v>
      </c>
      <c r="P165" s="9" t="s">
        <v>743</v>
      </c>
      <c r="Q165" s="9" t="s">
        <v>744</v>
      </c>
    </row>
    <row r="166" spans="1:17" ht="15" customHeight="1">
      <c r="A166" s="8">
        <v>165</v>
      </c>
      <c r="B166" s="8" t="s">
        <v>736</v>
      </c>
      <c r="C166" s="8" t="s">
        <v>1090</v>
      </c>
      <c r="D166" s="8" t="s">
        <v>1091</v>
      </c>
      <c r="E166" s="8" t="s">
        <v>94</v>
      </c>
      <c r="F166" s="8" t="s">
        <v>22</v>
      </c>
      <c r="G166" s="8">
        <v>9500</v>
      </c>
      <c r="H166" s="8" t="s">
        <v>23</v>
      </c>
      <c r="I166" s="8" t="s">
        <v>766</v>
      </c>
      <c r="J166" s="8" t="s">
        <v>96</v>
      </c>
      <c r="K166" s="8" t="s">
        <v>97</v>
      </c>
      <c r="L166" s="8" t="s">
        <v>767</v>
      </c>
      <c r="M166" s="8"/>
      <c r="N166" s="8" t="s">
        <v>767</v>
      </c>
      <c r="O166" s="8" t="s">
        <v>1092</v>
      </c>
      <c r="P166" s="8" t="s">
        <v>743</v>
      </c>
      <c r="Q166" s="8" t="s">
        <v>744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4" style="5" customWidth="1"/>
    <col min="13" max="13" width="22" style="5" customWidth="1"/>
    <col min="14" max="14" width="24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1093</v>
      </c>
      <c r="T1" s="4"/>
      <c r="U1" s="4"/>
      <c r="V1" s="4"/>
      <c r="W1" s="4"/>
    </row>
    <row r="2" spans="1:23" ht="13.5" customHeight="1">
      <c r="A2" s="8">
        <v>1</v>
      </c>
      <c r="B2" s="8" t="s">
        <v>1094</v>
      </c>
      <c r="C2" s="8" t="s">
        <v>1095</v>
      </c>
      <c r="D2" s="8" t="s">
        <v>1096</v>
      </c>
      <c r="E2" s="8" t="s">
        <v>21</v>
      </c>
      <c r="F2" s="8" t="s">
        <v>22</v>
      </c>
      <c r="G2" s="8">
        <v>800</v>
      </c>
      <c r="H2" s="8" t="s">
        <v>23</v>
      </c>
      <c r="I2" s="8" t="s">
        <v>1097</v>
      </c>
      <c r="J2" s="8" t="s">
        <v>36</v>
      </c>
      <c r="K2" s="8" t="s">
        <v>26</v>
      </c>
      <c r="L2" s="8" t="s">
        <v>1098</v>
      </c>
      <c r="M2" s="8">
        <v>6012</v>
      </c>
      <c r="N2" s="8" t="s">
        <v>1098</v>
      </c>
      <c r="O2" s="8" t="s">
        <v>1099</v>
      </c>
      <c r="P2" s="8" t="s">
        <v>1100</v>
      </c>
      <c r="Q2" s="8" t="s">
        <v>1101</v>
      </c>
      <c r="R2" s="7"/>
      <c r="S2" s="3" t="s">
        <v>1102</v>
      </c>
      <c r="T2" s="3"/>
      <c r="U2" s="3"/>
      <c r="V2" s="3"/>
      <c r="W2" s="3"/>
    </row>
    <row r="3" spans="1:23" ht="3.75" customHeight="1">
      <c r="A3" s="9">
        <v>2</v>
      </c>
      <c r="B3" s="9" t="s">
        <v>1094</v>
      </c>
      <c r="C3" s="9" t="s">
        <v>1103</v>
      </c>
      <c r="D3" s="9" t="s">
        <v>1104</v>
      </c>
      <c r="E3" s="9" t="s">
        <v>21</v>
      </c>
      <c r="F3" s="9" t="s">
        <v>22</v>
      </c>
      <c r="G3" s="9">
        <v>324</v>
      </c>
      <c r="H3" s="9" t="s">
        <v>23</v>
      </c>
      <c r="I3" s="9" t="s">
        <v>74</v>
      </c>
      <c r="J3" s="9" t="s">
        <v>41</v>
      </c>
      <c r="K3" s="9" t="s">
        <v>26</v>
      </c>
      <c r="L3" s="9" t="s">
        <v>75</v>
      </c>
      <c r="M3" s="9">
        <v>5812</v>
      </c>
      <c r="N3" s="9" t="s">
        <v>75</v>
      </c>
      <c r="O3" s="9" t="s">
        <v>1105</v>
      </c>
      <c r="P3" s="9" t="s">
        <v>1100</v>
      </c>
      <c r="Q3" s="9" t="s">
        <v>1101</v>
      </c>
      <c r="R3" s="7"/>
    </row>
    <row r="4" spans="1:23" ht="15" customHeight="1">
      <c r="A4" s="8">
        <v>3</v>
      </c>
      <c r="B4" s="8" t="s">
        <v>1094</v>
      </c>
      <c r="C4" s="8" t="s">
        <v>1106</v>
      </c>
      <c r="D4" s="8" t="s">
        <v>1107</v>
      </c>
      <c r="E4" s="8" t="s">
        <v>21</v>
      </c>
      <c r="F4" s="8" t="s">
        <v>22</v>
      </c>
      <c r="G4" s="8">
        <v>366</v>
      </c>
      <c r="H4" s="8" t="s">
        <v>23</v>
      </c>
      <c r="I4" s="8" t="s">
        <v>102</v>
      </c>
      <c r="J4" s="8" t="s">
        <v>41</v>
      </c>
      <c r="K4" s="8" t="s">
        <v>26</v>
      </c>
      <c r="L4" s="8" t="s">
        <v>103</v>
      </c>
      <c r="M4" s="8">
        <v>5411</v>
      </c>
      <c r="N4" s="8" t="s">
        <v>103</v>
      </c>
      <c r="O4" s="8" t="s">
        <v>1108</v>
      </c>
      <c r="P4" s="8" t="s">
        <v>1100</v>
      </c>
      <c r="Q4" s="8" t="s">
        <v>1101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1094</v>
      </c>
      <c r="C5" s="9" t="s">
        <v>1109</v>
      </c>
      <c r="D5" s="9" t="s">
        <v>1110</v>
      </c>
      <c r="E5" s="9" t="s">
        <v>21</v>
      </c>
      <c r="F5" s="9" t="s">
        <v>22</v>
      </c>
      <c r="G5" s="9">
        <v>295</v>
      </c>
      <c r="H5" s="9" t="s">
        <v>23</v>
      </c>
      <c r="I5" s="9" t="s">
        <v>70</v>
      </c>
      <c r="J5" s="9" t="s">
        <v>41</v>
      </c>
      <c r="K5" s="9" t="s">
        <v>26</v>
      </c>
      <c r="L5" s="9" t="s">
        <v>71</v>
      </c>
      <c r="M5" s="9">
        <v>5541</v>
      </c>
      <c r="N5" s="9" t="s">
        <v>71</v>
      </c>
      <c r="O5" s="9" t="s">
        <v>1111</v>
      </c>
      <c r="P5" s="9" t="s">
        <v>1100</v>
      </c>
      <c r="Q5" s="9" t="s">
        <v>1101</v>
      </c>
      <c r="R5" s="7"/>
      <c r="S5" s="10" t="s">
        <v>48</v>
      </c>
      <c r="T5" s="11">
        <v>26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1094</v>
      </c>
      <c r="C6" s="8" t="s">
        <v>1112</v>
      </c>
      <c r="D6" s="8" t="s">
        <v>1113</v>
      </c>
      <c r="E6" s="8" t="s">
        <v>21</v>
      </c>
      <c r="F6" s="8" t="s">
        <v>22</v>
      </c>
      <c r="G6" s="8">
        <v>471</v>
      </c>
      <c r="H6" s="8" t="s">
        <v>23</v>
      </c>
      <c r="I6" s="8" t="s">
        <v>198</v>
      </c>
      <c r="J6" s="8" t="s">
        <v>36</v>
      </c>
      <c r="K6" s="8" t="s">
        <v>26</v>
      </c>
      <c r="L6" s="8" t="s">
        <v>199</v>
      </c>
      <c r="M6" s="8">
        <v>4900</v>
      </c>
      <c r="N6" s="8" t="s">
        <v>199</v>
      </c>
      <c r="O6" s="8" t="s">
        <v>1114</v>
      </c>
      <c r="P6" s="8" t="s">
        <v>1100</v>
      </c>
      <c r="Q6" s="8" t="s">
        <v>1101</v>
      </c>
      <c r="R6" s="7"/>
    </row>
    <row r="7" spans="1:23" ht="15" customHeight="1">
      <c r="A7" s="9">
        <v>6</v>
      </c>
      <c r="B7" s="9" t="s">
        <v>1094</v>
      </c>
      <c r="C7" s="9" t="s">
        <v>1115</v>
      </c>
      <c r="D7" s="9" t="s">
        <v>1116</v>
      </c>
      <c r="E7" s="9" t="s">
        <v>21</v>
      </c>
      <c r="F7" s="9" t="s">
        <v>22</v>
      </c>
      <c r="G7" s="9">
        <v>366</v>
      </c>
      <c r="H7" s="9" t="s">
        <v>23</v>
      </c>
      <c r="I7" s="9" t="s">
        <v>102</v>
      </c>
      <c r="J7" s="9" t="s">
        <v>41</v>
      </c>
      <c r="K7" s="9" t="s">
        <v>26</v>
      </c>
      <c r="L7" s="9" t="s">
        <v>103</v>
      </c>
      <c r="M7" s="9">
        <v>5411</v>
      </c>
      <c r="N7" s="9" t="s">
        <v>103</v>
      </c>
      <c r="O7" s="9" t="s">
        <v>1117</v>
      </c>
      <c r="P7" s="9" t="s">
        <v>1100</v>
      </c>
      <c r="Q7" s="9" t="s">
        <v>1101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1094</v>
      </c>
      <c r="C8" s="8" t="s">
        <v>1118</v>
      </c>
      <c r="D8" s="8" t="s">
        <v>1119</v>
      </c>
      <c r="E8" s="8" t="s">
        <v>21</v>
      </c>
      <c r="F8" s="8" t="s">
        <v>22</v>
      </c>
      <c r="G8" s="8">
        <v>1007</v>
      </c>
      <c r="H8" s="8" t="s">
        <v>23</v>
      </c>
      <c r="I8" s="8" t="s">
        <v>56</v>
      </c>
      <c r="J8" s="8" t="s">
        <v>41</v>
      </c>
      <c r="K8" s="8" t="s">
        <v>26</v>
      </c>
      <c r="L8" s="8" t="s">
        <v>57</v>
      </c>
      <c r="M8" s="8">
        <v>5999</v>
      </c>
      <c r="N8" s="8" t="s">
        <v>57</v>
      </c>
      <c r="O8" s="8" t="s">
        <v>1120</v>
      </c>
      <c r="P8" s="8" t="s">
        <v>1100</v>
      </c>
      <c r="Q8" s="8" t="s">
        <v>1101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1094</v>
      </c>
      <c r="C9" s="9" t="s">
        <v>1121</v>
      </c>
      <c r="D9" s="9" t="s">
        <v>1122</v>
      </c>
      <c r="E9" s="9" t="s">
        <v>21</v>
      </c>
      <c r="F9" s="9" t="s">
        <v>22</v>
      </c>
      <c r="G9" s="9">
        <v>365</v>
      </c>
      <c r="H9" s="9" t="s">
        <v>23</v>
      </c>
      <c r="I9" s="9" t="s">
        <v>379</v>
      </c>
      <c r="J9" s="9" t="s">
        <v>41</v>
      </c>
      <c r="K9" s="9" t="s">
        <v>26</v>
      </c>
      <c r="L9" s="9" t="s">
        <v>380</v>
      </c>
      <c r="M9" s="9">
        <v>5411</v>
      </c>
      <c r="N9" s="9" t="s">
        <v>380</v>
      </c>
      <c r="O9" s="9" t="s">
        <v>1123</v>
      </c>
      <c r="P9" s="9" t="s">
        <v>1100</v>
      </c>
      <c r="Q9" s="9" t="s">
        <v>1101</v>
      </c>
      <c r="R9" s="7"/>
      <c r="S9" s="15">
        <v>45809</v>
      </c>
      <c r="T9" s="16">
        <f t="shared" ref="T9:T17" si="0">IFERROR(SUMPRODUCT((LEFT($C$2:$C$100,7)=TEXT(S9,"YYYY-MM"))*($E$2:$E$100="KSAOB.Credit")*($K$2:$K$100="KSAOB.Deposit")*($G$2:$G$100)),0)</f>
        <v>3800</v>
      </c>
      <c r="U9" s="16">
        <f t="shared" ref="U9:U17" si="1">IFERROR(SUMPRODUCT((LEFT($C$2:$C$100,7)=TEXT(S9,"YYYY-MM"))*($E$2:$E$100="KSAOB.Debit")*($M$2:$M$100=6012)*($G$2:$G$100)),0)</f>
        <v>800</v>
      </c>
      <c r="V9" s="16">
        <f t="shared" ref="V9:V17" si="2">IFERROR(SUMPRODUCT((LEFT($C$2:$C$100,7)=TEXT(S9,"YYYY-MM"))*($E$2:$E$100="KSAOB.Debit")*($M$2:$M$100&lt;&gt;6012)*($G$2:$G$100)),0)</f>
        <v>3870</v>
      </c>
      <c r="W9" s="17">
        <f t="shared" ref="W9:W17" si="3">T9-U9-V9</f>
        <v>-870</v>
      </c>
    </row>
    <row r="10" spans="1:23" ht="15" customHeight="1">
      <c r="A10" s="8">
        <v>9</v>
      </c>
      <c r="B10" s="8" t="s">
        <v>1094</v>
      </c>
      <c r="C10" s="8" t="s">
        <v>1124</v>
      </c>
      <c r="D10" s="8" t="s">
        <v>1125</v>
      </c>
      <c r="E10" s="8" t="s">
        <v>21</v>
      </c>
      <c r="F10" s="8" t="s">
        <v>22</v>
      </c>
      <c r="G10" s="8">
        <v>343</v>
      </c>
      <c r="H10" s="8" t="s">
        <v>23</v>
      </c>
      <c r="I10" s="8" t="s">
        <v>159</v>
      </c>
      <c r="J10" s="8" t="s">
        <v>25</v>
      </c>
      <c r="K10" s="8" t="s">
        <v>26</v>
      </c>
      <c r="L10" s="8" t="s">
        <v>160</v>
      </c>
      <c r="M10" s="8">
        <v>5999</v>
      </c>
      <c r="N10" s="8" t="s">
        <v>160</v>
      </c>
      <c r="O10" s="8" t="s">
        <v>1126</v>
      </c>
      <c r="P10" s="8" t="s">
        <v>1100</v>
      </c>
      <c r="Q10" s="8" t="s">
        <v>1101</v>
      </c>
      <c r="R10" s="7"/>
      <c r="S10" s="18">
        <v>45839</v>
      </c>
      <c r="T10" s="19">
        <f t="shared" si="0"/>
        <v>4500</v>
      </c>
      <c r="U10" s="19">
        <f t="shared" si="1"/>
        <v>800</v>
      </c>
      <c r="V10" s="19">
        <f t="shared" si="2"/>
        <v>4150</v>
      </c>
      <c r="W10" s="20">
        <f t="shared" si="3"/>
        <v>-450</v>
      </c>
    </row>
    <row r="11" spans="1:23" ht="15" customHeight="1">
      <c r="A11" s="9">
        <v>10</v>
      </c>
      <c r="B11" s="9" t="s">
        <v>1094</v>
      </c>
      <c r="C11" s="9" t="s">
        <v>1127</v>
      </c>
      <c r="D11" s="9" t="s">
        <v>1128</v>
      </c>
      <c r="E11" s="9" t="s">
        <v>21</v>
      </c>
      <c r="F11" s="9" t="s">
        <v>22</v>
      </c>
      <c r="G11" s="9">
        <v>333</v>
      </c>
      <c r="H11" s="9" t="s">
        <v>23</v>
      </c>
      <c r="I11" s="9" t="s">
        <v>86</v>
      </c>
      <c r="J11" s="9" t="s">
        <v>36</v>
      </c>
      <c r="K11" s="9" t="s">
        <v>26</v>
      </c>
      <c r="L11" s="9" t="s">
        <v>87</v>
      </c>
      <c r="M11" s="9">
        <v>4813</v>
      </c>
      <c r="N11" s="9" t="s">
        <v>87</v>
      </c>
      <c r="O11" s="9" t="s">
        <v>1129</v>
      </c>
      <c r="P11" s="9" t="s">
        <v>1100</v>
      </c>
      <c r="Q11" s="9" t="s">
        <v>1101</v>
      </c>
      <c r="R11" s="7"/>
      <c r="S11" s="15">
        <v>45870</v>
      </c>
      <c r="T11" s="16">
        <f t="shared" si="0"/>
        <v>4100</v>
      </c>
      <c r="U11" s="16">
        <f t="shared" si="1"/>
        <v>800</v>
      </c>
      <c r="V11" s="16">
        <f t="shared" si="2"/>
        <v>3800</v>
      </c>
      <c r="W11" s="17">
        <f t="shared" si="3"/>
        <v>-500</v>
      </c>
    </row>
    <row r="12" spans="1:23" ht="15" customHeight="1">
      <c r="A12" s="8">
        <v>11</v>
      </c>
      <c r="B12" s="8" t="s">
        <v>1094</v>
      </c>
      <c r="C12" s="8" t="s">
        <v>1130</v>
      </c>
      <c r="D12" s="8" t="s">
        <v>1131</v>
      </c>
      <c r="E12" s="8" t="s">
        <v>94</v>
      </c>
      <c r="F12" s="8" t="s">
        <v>22</v>
      </c>
      <c r="G12" s="8">
        <v>3800</v>
      </c>
      <c r="H12" s="8" t="s">
        <v>23</v>
      </c>
      <c r="I12" s="8" t="s">
        <v>1132</v>
      </c>
      <c r="J12" s="8" t="s">
        <v>96</v>
      </c>
      <c r="K12" s="8" t="s">
        <v>97</v>
      </c>
      <c r="L12" s="8" t="s">
        <v>1133</v>
      </c>
      <c r="M12" s="8"/>
      <c r="N12" s="8" t="s">
        <v>1133</v>
      </c>
      <c r="O12" s="8" t="s">
        <v>1134</v>
      </c>
      <c r="P12" s="8" t="s">
        <v>1100</v>
      </c>
      <c r="Q12" s="8" t="s">
        <v>1101</v>
      </c>
      <c r="R12" s="7"/>
      <c r="S12" s="18">
        <v>45901</v>
      </c>
      <c r="T12" s="19">
        <f t="shared" si="0"/>
        <v>3900</v>
      </c>
      <c r="U12" s="19">
        <f t="shared" si="1"/>
        <v>800</v>
      </c>
      <c r="V12" s="19">
        <f t="shared" si="2"/>
        <v>3600</v>
      </c>
      <c r="W12" s="20">
        <f t="shared" si="3"/>
        <v>-500</v>
      </c>
    </row>
    <row r="13" spans="1:23" ht="15" customHeight="1">
      <c r="A13" s="9">
        <v>12</v>
      </c>
      <c r="B13" s="9" t="s">
        <v>1094</v>
      </c>
      <c r="C13" s="9" t="s">
        <v>1135</v>
      </c>
      <c r="D13" s="9" t="s">
        <v>1136</v>
      </c>
      <c r="E13" s="9" t="s">
        <v>21</v>
      </c>
      <c r="F13" s="9" t="s">
        <v>22</v>
      </c>
      <c r="G13" s="9">
        <v>800</v>
      </c>
      <c r="H13" s="9" t="s">
        <v>23</v>
      </c>
      <c r="I13" s="9" t="s">
        <v>1097</v>
      </c>
      <c r="J13" s="9" t="s">
        <v>36</v>
      </c>
      <c r="K13" s="9" t="s">
        <v>26</v>
      </c>
      <c r="L13" s="9" t="s">
        <v>1098</v>
      </c>
      <c r="M13" s="9">
        <v>6012</v>
      </c>
      <c r="N13" s="9" t="s">
        <v>1098</v>
      </c>
      <c r="O13" s="9" t="s">
        <v>1137</v>
      </c>
      <c r="P13" s="9" t="s">
        <v>1100</v>
      </c>
      <c r="Q13" s="9" t="s">
        <v>1101</v>
      </c>
      <c r="R13" s="7"/>
      <c r="S13" s="15">
        <v>45931</v>
      </c>
      <c r="T13" s="16">
        <f t="shared" si="0"/>
        <v>4400</v>
      </c>
      <c r="U13" s="16">
        <f t="shared" si="1"/>
        <v>800</v>
      </c>
      <c r="V13" s="16">
        <f t="shared" si="2"/>
        <v>4000</v>
      </c>
      <c r="W13" s="17">
        <f t="shared" si="3"/>
        <v>-400</v>
      </c>
    </row>
    <row r="14" spans="1:23" ht="15" customHeight="1">
      <c r="A14" s="8">
        <v>13</v>
      </c>
      <c r="B14" s="8" t="s">
        <v>1094</v>
      </c>
      <c r="C14" s="8" t="s">
        <v>1138</v>
      </c>
      <c r="D14" s="8" t="s">
        <v>1139</v>
      </c>
      <c r="E14" s="8" t="s">
        <v>21</v>
      </c>
      <c r="F14" s="8" t="s">
        <v>22</v>
      </c>
      <c r="G14" s="8">
        <v>268</v>
      </c>
      <c r="H14" s="8" t="s">
        <v>23</v>
      </c>
      <c r="I14" s="8" t="s">
        <v>123</v>
      </c>
      <c r="J14" s="8" t="s">
        <v>41</v>
      </c>
      <c r="K14" s="8" t="s">
        <v>26</v>
      </c>
      <c r="L14" s="8" t="s">
        <v>124</v>
      </c>
      <c r="M14" s="8">
        <v>5541</v>
      </c>
      <c r="N14" s="8" t="s">
        <v>124</v>
      </c>
      <c r="O14" s="8" t="s">
        <v>1140</v>
      </c>
      <c r="P14" s="8" t="s">
        <v>1100</v>
      </c>
      <c r="Q14" s="8" t="s">
        <v>1101</v>
      </c>
      <c r="R14" s="7"/>
      <c r="S14" s="18">
        <v>45962</v>
      </c>
      <c r="T14" s="19">
        <f t="shared" si="0"/>
        <v>4200</v>
      </c>
      <c r="U14" s="19">
        <f t="shared" si="1"/>
        <v>800</v>
      </c>
      <c r="V14" s="19">
        <f t="shared" si="2"/>
        <v>3900</v>
      </c>
      <c r="W14" s="20">
        <f t="shared" si="3"/>
        <v>-500</v>
      </c>
    </row>
    <row r="15" spans="1:23" ht="15" customHeight="1">
      <c r="A15" s="9">
        <v>14</v>
      </c>
      <c r="B15" s="9" t="s">
        <v>1094</v>
      </c>
      <c r="C15" s="9" t="s">
        <v>1141</v>
      </c>
      <c r="D15" s="9" t="s">
        <v>1142</v>
      </c>
      <c r="E15" s="9" t="s">
        <v>21</v>
      </c>
      <c r="F15" s="9" t="s">
        <v>22</v>
      </c>
      <c r="G15" s="9">
        <v>615</v>
      </c>
      <c r="H15" s="9" t="s">
        <v>23</v>
      </c>
      <c r="I15" s="9" t="s">
        <v>180</v>
      </c>
      <c r="J15" s="9" t="s">
        <v>41</v>
      </c>
      <c r="K15" s="9" t="s">
        <v>26</v>
      </c>
      <c r="L15" s="9" t="s">
        <v>181</v>
      </c>
      <c r="M15" s="9">
        <v>5411</v>
      </c>
      <c r="N15" s="9" t="s">
        <v>181</v>
      </c>
      <c r="O15" s="9" t="s">
        <v>1143</v>
      </c>
      <c r="P15" s="9" t="s">
        <v>1100</v>
      </c>
      <c r="Q15" s="9" t="s">
        <v>1101</v>
      </c>
      <c r="R15" s="7"/>
      <c r="S15" s="15">
        <v>45992</v>
      </c>
      <c r="T15" s="16">
        <f t="shared" si="0"/>
        <v>3800</v>
      </c>
      <c r="U15" s="16">
        <f t="shared" si="1"/>
        <v>800</v>
      </c>
      <c r="V15" s="16">
        <f t="shared" si="2"/>
        <v>3500</v>
      </c>
      <c r="W15" s="17">
        <f t="shared" si="3"/>
        <v>-500</v>
      </c>
    </row>
    <row r="16" spans="1:23" ht="15" customHeight="1">
      <c r="A16" s="8">
        <v>15</v>
      </c>
      <c r="B16" s="8" t="s">
        <v>1094</v>
      </c>
      <c r="C16" s="8" t="s">
        <v>1144</v>
      </c>
      <c r="D16" s="8" t="s">
        <v>1145</v>
      </c>
      <c r="E16" s="8" t="s">
        <v>21</v>
      </c>
      <c r="F16" s="8" t="s">
        <v>22</v>
      </c>
      <c r="G16" s="8">
        <v>380</v>
      </c>
      <c r="H16" s="8" t="s">
        <v>23</v>
      </c>
      <c r="I16" s="8" t="s">
        <v>159</v>
      </c>
      <c r="J16" s="8" t="s">
        <v>25</v>
      </c>
      <c r="K16" s="8" t="s">
        <v>26</v>
      </c>
      <c r="L16" s="8" t="s">
        <v>160</v>
      </c>
      <c r="M16" s="8">
        <v>5999</v>
      </c>
      <c r="N16" s="8" t="s">
        <v>160</v>
      </c>
      <c r="O16" s="8" t="s">
        <v>1146</v>
      </c>
      <c r="P16" s="8" t="s">
        <v>1100</v>
      </c>
      <c r="Q16" s="8" t="s">
        <v>1101</v>
      </c>
      <c r="R16" s="7"/>
      <c r="S16" s="18">
        <v>46023</v>
      </c>
      <c r="T16" s="19">
        <f t="shared" si="0"/>
        <v>4600</v>
      </c>
      <c r="U16" s="19">
        <f t="shared" si="1"/>
        <v>800</v>
      </c>
      <c r="V16" s="19">
        <f t="shared" si="2"/>
        <v>4100</v>
      </c>
      <c r="W16" s="20">
        <f t="shared" si="3"/>
        <v>-300</v>
      </c>
    </row>
    <row r="17" spans="1:23" ht="15" customHeight="1">
      <c r="A17" s="9">
        <v>16</v>
      </c>
      <c r="B17" s="9" t="s">
        <v>1094</v>
      </c>
      <c r="C17" s="9" t="s">
        <v>1147</v>
      </c>
      <c r="D17" s="9" t="s">
        <v>1148</v>
      </c>
      <c r="E17" s="9" t="s">
        <v>21</v>
      </c>
      <c r="F17" s="9" t="s">
        <v>22</v>
      </c>
      <c r="G17" s="9">
        <v>614</v>
      </c>
      <c r="H17" s="9" t="s">
        <v>23</v>
      </c>
      <c r="I17" s="9" t="s">
        <v>180</v>
      </c>
      <c r="J17" s="9" t="s">
        <v>41</v>
      </c>
      <c r="K17" s="9" t="s">
        <v>26</v>
      </c>
      <c r="L17" s="9" t="s">
        <v>181</v>
      </c>
      <c r="M17" s="9">
        <v>5411</v>
      </c>
      <c r="N17" s="9" t="s">
        <v>181</v>
      </c>
      <c r="O17" s="9" t="s">
        <v>1149</v>
      </c>
      <c r="P17" s="9" t="s">
        <v>1100</v>
      </c>
      <c r="Q17" s="9" t="s">
        <v>1101</v>
      </c>
      <c r="R17" s="7"/>
      <c r="S17" s="15">
        <v>46054</v>
      </c>
      <c r="T17" s="16">
        <f t="shared" si="0"/>
        <v>4100</v>
      </c>
      <c r="U17" s="16">
        <f t="shared" si="1"/>
        <v>800</v>
      </c>
      <c r="V17" s="16">
        <f t="shared" si="2"/>
        <v>3700</v>
      </c>
      <c r="W17" s="17">
        <f t="shared" si="3"/>
        <v>-400</v>
      </c>
    </row>
    <row r="18" spans="1:23" ht="15" customHeight="1">
      <c r="A18" s="8">
        <v>17</v>
      </c>
      <c r="B18" s="8" t="s">
        <v>1094</v>
      </c>
      <c r="C18" s="8" t="s">
        <v>1150</v>
      </c>
      <c r="D18" s="8" t="s">
        <v>1151</v>
      </c>
      <c r="E18" s="8" t="s">
        <v>21</v>
      </c>
      <c r="F18" s="8" t="s">
        <v>22</v>
      </c>
      <c r="G18" s="8">
        <v>569</v>
      </c>
      <c r="H18" s="8" t="s">
        <v>23</v>
      </c>
      <c r="I18" s="8" t="s">
        <v>498</v>
      </c>
      <c r="J18" s="8" t="s">
        <v>36</v>
      </c>
      <c r="K18" s="8" t="s">
        <v>26</v>
      </c>
      <c r="L18" s="8" t="s">
        <v>499</v>
      </c>
      <c r="M18" s="8">
        <v>4900</v>
      </c>
      <c r="N18" s="8" t="s">
        <v>499</v>
      </c>
      <c r="O18" s="8" t="s">
        <v>1152</v>
      </c>
      <c r="P18" s="8" t="s">
        <v>1100</v>
      </c>
      <c r="Q18" s="8" t="s">
        <v>1101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1094</v>
      </c>
      <c r="C19" s="9" t="s">
        <v>1153</v>
      </c>
      <c r="D19" s="9" t="s">
        <v>1154</v>
      </c>
      <c r="E19" s="9" t="s">
        <v>21</v>
      </c>
      <c r="F19" s="9" t="s">
        <v>22</v>
      </c>
      <c r="G19" s="9">
        <v>1007</v>
      </c>
      <c r="H19" s="9" t="s">
        <v>23</v>
      </c>
      <c r="I19" s="9" t="s">
        <v>56</v>
      </c>
      <c r="J19" s="9" t="s">
        <v>41</v>
      </c>
      <c r="K19" s="9" t="s">
        <v>26</v>
      </c>
      <c r="L19" s="9" t="s">
        <v>57</v>
      </c>
      <c r="M19" s="9">
        <v>5999</v>
      </c>
      <c r="N19" s="9" t="s">
        <v>57</v>
      </c>
      <c r="O19" s="9" t="s">
        <v>1155</v>
      </c>
      <c r="P19" s="9" t="s">
        <v>1100</v>
      </c>
      <c r="Q19" s="9" t="s">
        <v>1101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1094</v>
      </c>
      <c r="C20" s="8" t="s">
        <v>1156</v>
      </c>
      <c r="D20" s="8" t="s">
        <v>1157</v>
      </c>
      <c r="E20" s="8" t="s">
        <v>21</v>
      </c>
      <c r="F20" s="8" t="s">
        <v>22</v>
      </c>
      <c r="G20" s="8">
        <v>375</v>
      </c>
      <c r="H20" s="8" t="s">
        <v>23</v>
      </c>
      <c r="I20" s="8" t="s">
        <v>174</v>
      </c>
      <c r="J20" s="8" t="s">
        <v>36</v>
      </c>
      <c r="K20" s="8" t="s">
        <v>26</v>
      </c>
      <c r="L20" s="8" t="s">
        <v>175</v>
      </c>
      <c r="M20" s="8">
        <v>4813</v>
      </c>
      <c r="N20" s="8" t="s">
        <v>175</v>
      </c>
      <c r="O20" s="8" t="s">
        <v>1158</v>
      </c>
      <c r="P20" s="8" t="s">
        <v>1100</v>
      </c>
      <c r="Q20" s="8" t="s">
        <v>1101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1094</v>
      </c>
      <c r="C21" s="9" t="s">
        <v>1159</v>
      </c>
      <c r="D21" s="9" t="s">
        <v>1160</v>
      </c>
      <c r="E21" s="9" t="s">
        <v>94</v>
      </c>
      <c r="F21" s="9" t="s">
        <v>22</v>
      </c>
      <c r="G21" s="9">
        <v>4500</v>
      </c>
      <c r="H21" s="9" t="s">
        <v>23</v>
      </c>
      <c r="I21" s="9" t="s">
        <v>1132</v>
      </c>
      <c r="J21" s="9" t="s">
        <v>96</v>
      </c>
      <c r="K21" s="9" t="s">
        <v>97</v>
      </c>
      <c r="L21" s="9" t="s">
        <v>1133</v>
      </c>
      <c r="M21" s="9"/>
      <c r="N21" s="9" t="s">
        <v>1133</v>
      </c>
      <c r="O21" s="9" t="s">
        <v>1161</v>
      </c>
      <c r="P21" s="9" t="s">
        <v>1100</v>
      </c>
      <c r="Q21" s="9" t="s">
        <v>1101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1094</v>
      </c>
      <c r="C22" s="8" t="s">
        <v>1162</v>
      </c>
      <c r="D22" s="8" t="s">
        <v>1163</v>
      </c>
      <c r="E22" s="8" t="s">
        <v>21</v>
      </c>
      <c r="F22" s="8" t="s">
        <v>22</v>
      </c>
      <c r="G22" s="8">
        <v>161</v>
      </c>
      <c r="H22" s="8" t="s">
        <v>23</v>
      </c>
      <c r="I22" s="8" t="s">
        <v>340</v>
      </c>
      <c r="J22" s="8" t="s">
        <v>41</v>
      </c>
      <c r="K22" s="8" t="s">
        <v>26</v>
      </c>
      <c r="L22" s="8" t="s">
        <v>341</v>
      </c>
      <c r="M22" s="8">
        <v>5812</v>
      </c>
      <c r="N22" s="8" t="s">
        <v>341</v>
      </c>
      <c r="O22" s="8" t="s">
        <v>1164</v>
      </c>
      <c r="P22" s="8" t="s">
        <v>1100</v>
      </c>
      <c r="Q22" s="8" t="s">
        <v>1101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1094</v>
      </c>
      <c r="C23" s="9" t="s">
        <v>1165</v>
      </c>
      <c r="D23" s="9" t="s">
        <v>1166</v>
      </c>
      <c r="E23" s="9" t="s">
        <v>21</v>
      </c>
      <c r="F23" s="9" t="s">
        <v>22</v>
      </c>
      <c r="G23" s="9">
        <v>161</v>
      </c>
      <c r="H23" s="9" t="s">
        <v>23</v>
      </c>
      <c r="I23" s="9" t="s">
        <v>138</v>
      </c>
      <c r="J23" s="9" t="s">
        <v>41</v>
      </c>
      <c r="K23" s="9" t="s">
        <v>26</v>
      </c>
      <c r="L23" s="9" t="s">
        <v>139</v>
      </c>
      <c r="M23" s="9">
        <v>5812</v>
      </c>
      <c r="N23" s="9" t="s">
        <v>139</v>
      </c>
      <c r="O23" s="9" t="s">
        <v>1167</v>
      </c>
      <c r="P23" s="9" t="s">
        <v>1100</v>
      </c>
      <c r="Q23" s="9" t="s">
        <v>1101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1094</v>
      </c>
      <c r="C24" s="8" t="s">
        <v>1168</v>
      </c>
      <c r="D24" s="8" t="s">
        <v>1169</v>
      </c>
      <c r="E24" s="8" t="s">
        <v>21</v>
      </c>
      <c r="F24" s="8" t="s">
        <v>22</v>
      </c>
      <c r="G24" s="8">
        <v>800</v>
      </c>
      <c r="H24" s="8" t="s">
        <v>23</v>
      </c>
      <c r="I24" s="8" t="s">
        <v>1097</v>
      </c>
      <c r="J24" s="8" t="s">
        <v>36</v>
      </c>
      <c r="K24" s="8" t="s">
        <v>26</v>
      </c>
      <c r="L24" s="8" t="s">
        <v>1098</v>
      </c>
      <c r="M24" s="8">
        <v>6012</v>
      </c>
      <c r="N24" s="8" t="s">
        <v>1098</v>
      </c>
      <c r="O24" s="8" t="s">
        <v>1170</v>
      </c>
      <c r="P24" s="8" t="s">
        <v>1100</v>
      </c>
      <c r="Q24" s="8" t="s">
        <v>1101</v>
      </c>
      <c r="R24" s="7"/>
      <c r="S24" s="22" t="s">
        <v>133</v>
      </c>
      <c r="T24" s="23">
        <f>IFERROR(AVERAGEIF(T9:T17,"&gt;"&amp;0),0)</f>
        <v>4155.5555555555557</v>
      </c>
      <c r="U24" s="23">
        <f>IFERROR(AVERAGEIF(U9:U17,"&gt;"&amp;0),0)</f>
        <v>800</v>
      </c>
      <c r="V24" s="23">
        <f>IFERROR(AVERAGEIF(V9:V17,"&gt;"&amp;0),0)</f>
        <v>3846.6666666666665</v>
      </c>
      <c r="W24" s="24">
        <f>T24-U24-V24</f>
        <v>-491.11111111111086</v>
      </c>
    </row>
    <row r="25" spans="1:23" ht="3.75" customHeight="1">
      <c r="A25" s="9">
        <v>24</v>
      </c>
      <c r="B25" s="9" t="s">
        <v>1094</v>
      </c>
      <c r="C25" s="9" t="s">
        <v>1171</v>
      </c>
      <c r="D25" s="9" t="s">
        <v>1172</v>
      </c>
      <c r="E25" s="9" t="s">
        <v>21</v>
      </c>
      <c r="F25" s="9" t="s">
        <v>22</v>
      </c>
      <c r="G25" s="9">
        <v>338</v>
      </c>
      <c r="H25" s="9" t="s">
        <v>23</v>
      </c>
      <c r="I25" s="9" t="s">
        <v>254</v>
      </c>
      <c r="J25" s="9" t="s">
        <v>41</v>
      </c>
      <c r="K25" s="9" t="s">
        <v>26</v>
      </c>
      <c r="L25" s="9" t="s">
        <v>255</v>
      </c>
      <c r="M25" s="9">
        <v>5812</v>
      </c>
      <c r="N25" s="9" t="s">
        <v>255</v>
      </c>
      <c r="O25" s="9" t="s">
        <v>1173</v>
      </c>
      <c r="P25" s="9" t="s">
        <v>1100</v>
      </c>
      <c r="Q25" s="9" t="s">
        <v>1101</v>
      </c>
      <c r="R25" s="7"/>
    </row>
    <row r="26" spans="1:23" ht="15" customHeight="1">
      <c r="A26" s="8">
        <v>25</v>
      </c>
      <c r="B26" s="8" t="s">
        <v>1094</v>
      </c>
      <c r="C26" s="8" t="s">
        <v>1174</v>
      </c>
      <c r="D26" s="8" t="s">
        <v>1175</v>
      </c>
      <c r="E26" s="8" t="s">
        <v>21</v>
      </c>
      <c r="F26" s="8" t="s">
        <v>22</v>
      </c>
      <c r="G26" s="8">
        <v>1158</v>
      </c>
      <c r="H26" s="8" t="s">
        <v>23</v>
      </c>
      <c r="I26" s="8" t="s">
        <v>56</v>
      </c>
      <c r="J26" s="8" t="s">
        <v>41</v>
      </c>
      <c r="K26" s="8" t="s">
        <v>26</v>
      </c>
      <c r="L26" s="8" t="s">
        <v>57</v>
      </c>
      <c r="M26" s="8">
        <v>5999</v>
      </c>
      <c r="N26" s="8" t="s">
        <v>57</v>
      </c>
      <c r="O26" s="8" t="s">
        <v>1176</v>
      </c>
      <c r="P26" s="8" t="s">
        <v>1100</v>
      </c>
      <c r="Q26" s="8" t="s">
        <v>1101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1094</v>
      </c>
      <c r="C27" s="9" t="s">
        <v>1177</v>
      </c>
      <c r="D27" s="9" t="s">
        <v>1178</v>
      </c>
      <c r="E27" s="9" t="s">
        <v>21</v>
      </c>
      <c r="F27" s="9" t="s">
        <v>22</v>
      </c>
      <c r="G27" s="9">
        <v>254</v>
      </c>
      <c r="H27" s="9" t="s">
        <v>23</v>
      </c>
      <c r="I27" s="9" t="s">
        <v>123</v>
      </c>
      <c r="J27" s="9" t="s">
        <v>41</v>
      </c>
      <c r="K27" s="9" t="s">
        <v>26</v>
      </c>
      <c r="L27" s="9" t="s">
        <v>124</v>
      </c>
      <c r="M27" s="9">
        <v>5541</v>
      </c>
      <c r="N27" s="9" t="s">
        <v>124</v>
      </c>
      <c r="O27" s="9" t="s">
        <v>1179</v>
      </c>
      <c r="P27" s="9" t="s">
        <v>1100</v>
      </c>
      <c r="Q27" s="9" t="s">
        <v>1101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1094</v>
      </c>
      <c r="C28" s="8" t="s">
        <v>1180</v>
      </c>
      <c r="D28" s="8" t="s">
        <v>1181</v>
      </c>
      <c r="E28" s="8" t="s">
        <v>21</v>
      </c>
      <c r="F28" s="8" t="s">
        <v>22</v>
      </c>
      <c r="G28" s="8">
        <v>385</v>
      </c>
      <c r="H28" s="8" t="s">
        <v>23</v>
      </c>
      <c r="I28" s="8" t="s">
        <v>391</v>
      </c>
      <c r="J28" s="8" t="s">
        <v>331</v>
      </c>
      <c r="K28" s="8" t="s">
        <v>26</v>
      </c>
      <c r="L28" s="8" t="s">
        <v>392</v>
      </c>
      <c r="M28" s="8">
        <v>6011</v>
      </c>
      <c r="N28" s="8" t="s">
        <v>392</v>
      </c>
      <c r="O28" s="8" t="s">
        <v>1182</v>
      </c>
      <c r="P28" s="8" t="s">
        <v>1100</v>
      </c>
      <c r="Q28" s="8" t="s">
        <v>1101</v>
      </c>
      <c r="R28" s="7"/>
      <c r="S28" s="25" t="s">
        <v>154</v>
      </c>
      <c r="T28" s="26">
        <f>IFERROR(MEDIAN(T9:T17),0)</f>
        <v>4100</v>
      </c>
      <c r="U28" s="27" t="s">
        <v>155</v>
      </c>
      <c r="V28" s="28" t="s">
        <v>155</v>
      </c>
      <c r="W28" s="29" t="s">
        <v>1183</v>
      </c>
    </row>
    <row r="29" spans="1:23" ht="15.75" customHeight="1">
      <c r="A29" s="9">
        <v>28</v>
      </c>
      <c r="B29" s="9" t="s">
        <v>1094</v>
      </c>
      <c r="C29" s="9" t="s">
        <v>1184</v>
      </c>
      <c r="D29" s="9" t="s">
        <v>1185</v>
      </c>
      <c r="E29" s="9" t="s">
        <v>21</v>
      </c>
      <c r="F29" s="9" t="s">
        <v>22</v>
      </c>
      <c r="G29" s="9">
        <v>335</v>
      </c>
      <c r="H29" s="9" t="s">
        <v>23</v>
      </c>
      <c r="I29" s="9" t="s">
        <v>244</v>
      </c>
      <c r="J29" s="9" t="s">
        <v>41</v>
      </c>
      <c r="K29" s="9" t="s">
        <v>26</v>
      </c>
      <c r="L29" s="9" t="s">
        <v>245</v>
      </c>
      <c r="M29" s="9">
        <v>5411</v>
      </c>
      <c r="N29" s="9" t="s">
        <v>245</v>
      </c>
      <c r="O29" s="9" t="s">
        <v>1186</v>
      </c>
      <c r="P29" s="9" t="s">
        <v>1100</v>
      </c>
      <c r="Q29" s="9" t="s">
        <v>1101</v>
      </c>
      <c r="R29" s="7"/>
      <c r="S29" s="30" t="s">
        <v>161</v>
      </c>
      <c r="T29" s="31">
        <f>T28*1.3</f>
        <v>5330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1094</v>
      </c>
      <c r="C30" s="8" t="s">
        <v>1187</v>
      </c>
      <c r="D30" s="8" t="s">
        <v>1188</v>
      </c>
      <c r="E30" s="8" t="s">
        <v>21</v>
      </c>
      <c r="F30" s="8" t="s">
        <v>22</v>
      </c>
      <c r="G30" s="8">
        <v>334</v>
      </c>
      <c r="H30" s="8" t="s">
        <v>23</v>
      </c>
      <c r="I30" s="8" t="s">
        <v>82</v>
      </c>
      <c r="J30" s="8" t="s">
        <v>41</v>
      </c>
      <c r="K30" s="8" t="s">
        <v>26</v>
      </c>
      <c r="L30" s="8" t="s">
        <v>83</v>
      </c>
      <c r="M30" s="8">
        <v>5411</v>
      </c>
      <c r="N30" s="8" t="s">
        <v>83</v>
      </c>
      <c r="O30" s="8" t="s">
        <v>1189</v>
      </c>
      <c r="P30" s="8" t="s">
        <v>1100</v>
      </c>
      <c r="Q30" s="8" t="s">
        <v>1101</v>
      </c>
      <c r="R30" s="7"/>
      <c r="S30" s="25" t="s">
        <v>166</v>
      </c>
      <c r="T30" s="26">
        <f>IFERROR(MEDIAN(MIN(T15,T29),MIN(T16,T29),MIN(T17,T29)),0)</f>
        <v>4100</v>
      </c>
      <c r="U30" s="27" t="s">
        <v>155</v>
      </c>
      <c r="V30" s="28" t="s">
        <v>155</v>
      </c>
      <c r="W30" s="29" t="s">
        <v>1190</v>
      </c>
    </row>
    <row r="31" spans="1:23" ht="15.75" customHeight="1">
      <c r="A31" s="9">
        <v>30</v>
      </c>
      <c r="B31" s="9" t="s">
        <v>1094</v>
      </c>
      <c r="C31" s="9" t="s">
        <v>1191</v>
      </c>
      <c r="D31" s="9" t="s">
        <v>1192</v>
      </c>
      <c r="E31" s="9" t="s">
        <v>94</v>
      </c>
      <c r="F31" s="9" t="s">
        <v>22</v>
      </c>
      <c r="G31" s="9">
        <v>4100</v>
      </c>
      <c r="H31" s="9" t="s">
        <v>23</v>
      </c>
      <c r="I31" s="9" t="s">
        <v>1132</v>
      </c>
      <c r="J31" s="9" t="s">
        <v>96</v>
      </c>
      <c r="K31" s="9" t="s">
        <v>97</v>
      </c>
      <c r="L31" s="9" t="s">
        <v>1133</v>
      </c>
      <c r="M31" s="9"/>
      <c r="N31" s="9" t="s">
        <v>1133</v>
      </c>
      <c r="O31" s="9" t="s">
        <v>1193</v>
      </c>
      <c r="P31" s="9" t="s">
        <v>1100</v>
      </c>
      <c r="Q31" s="9" t="s">
        <v>1101</v>
      </c>
      <c r="R31" s="7"/>
      <c r="S31" s="30" t="s">
        <v>170</v>
      </c>
      <c r="T31" s="31">
        <f>T17</f>
        <v>4100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1094</v>
      </c>
      <c r="C32" s="8" t="s">
        <v>1194</v>
      </c>
      <c r="D32" s="8" t="s">
        <v>1195</v>
      </c>
      <c r="E32" s="8" t="s">
        <v>21</v>
      </c>
      <c r="F32" s="8" t="s">
        <v>22</v>
      </c>
      <c r="G32" s="8">
        <v>264</v>
      </c>
      <c r="H32" s="8" t="s">
        <v>23</v>
      </c>
      <c r="I32" s="8" t="s">
        <v>174</v>
      </c>
      <c r="J32" s="8" t="s">
        <v>36</v>
      </c>
      <c r="K32" s="8" t="s">
        <v>26</v>
      </c>
      <c r="L32" s="8" t="s">
        <v>175</v>
      </c>
      <c r="M32" s="8">
        <v>4813</v>
      </c>
      <c r="N32" s="8" t="s">
        <v>175</v>
      </c>
      <c r="O32" s="8" t="s">
        <v>1196</v>
      </c>
      <c r="P32" s="8" t="s">
        <v>1100</v>
      </c>
      <c r="Q32" s="8" t="s">
        <v>1101</v>
      </c>
      <c r="R32" s="7"/>
      <c r="S32" s="25" t="s">
        <v>176</v>
      </c>
      <c r="T32" s="26">
        <f>U17</f>
        <v>800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1094</v>
      </c>
      <c r="C33" s="9" t="s">
        <v>1197</v>
      </c>
      <c r="D33" s="9" t="s">
        <v>1198</v>
      </c>
      <c r="E33" s="9" t="s">
        <v>21</v>
      </c>
      <c r="F33" s="9" t="s">
        <v>22</v>
      </c>
      <c r="G33" s="9">
        <v>397</v>
      </c>
      <c r="H33" s="9" t="s">
        <v>23</v>
      </c>
      <c r="I33" s="9" t="s">
        <v>498</v>
      </c>
      <c r="J33" s="9" t="s">
        <v>36</v>
      </c>
      <c r="K33" s="9" t="s">
        <v>26</v>
      </c>
      <c r="L33" s="9" t="s">
        <v>499</v>
      </c>
      <c r="M33" s="9">
        <v>4900</v>
      </c>
      <c r="N33" s="9" t="s">
        <v>499</v>
      </c>
      <c r="O33" s="9" t="s">
        <v>1199</v>
      </c>
      <c r="P33" s="9" t="s">
        <v>1100</v>
      </c>
      <c r="Q33" s="9" t="s">
        <v>1101</v>
      </c>
      <c r="R33" s="7"/>
      <c r="S33" s="30" t="s">
        <v>182</v>
      </c>
      <c r="T33" s="31">
        <f>T24</f>
        <v>4155.5555555555557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1094</v>
      </c>
      <c r="C34" s="8" t="s">
        <v>1200</v>
      </c>
      <c r="D34" s="8" t="s">
        <v>1201</v>
      </c>
      <c r="E34" s="8" t="s">
        <v>21</v>
      </c>
      <c r="F34" s="8" t="s">
        <v>22</v>
      </c>
      <c r="G34" s="8">
        <v>335</v>
      </c>
      <c r="H34" s="8" t="s">
        <v>23</v>
      </c>
      <c r="I34" s="8" t="s">
        <v>82</v>
      </c>
      <c r="J34" s="8" t="s">
        <v>41</v>
      </c>
      <c r="K34" s="8" t="s">
        <v>26</v>
      </c>
      <c r="L34" s="8" t="s">
        <v>83</v>
      </c>
      <c r="M34" s="8">
        <v>5411</v>
      </c>
      <c r="N34" s="8" t="s">
        <v>83</v>
      </c>
      <c r="O34" s="8" t="s">
        <v>1202</v>
      </c>
      <c r="P34" s="8" t="s">
        <v>1100</v>
      </c>
      <c r="Q34" s="8" t="s">
        <v>1101</v>
      </c>
      <c r="R34" s="7"/>
      <c r="S34" s="25" t="s">
        <v>188</v>
      </c>
      <c r="T34" s="26">
        <f>V24</f>
        <v>3846.6666666666665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1094</v>
      </c>
      <c r="C35" s="9" t="s">
        <v>1203</v>
      </c>
      <c r="D35" s="9" t="s">
        <v>1204</v>
      </c>
      <c r="E35" s="9" t="s">
        <v>21</v>
      </c>
      <c r="F35" s="9" t="s">
        <v>22</v>
      </c>
      <c r="G35" s="9">
        <v>578</v>
      </c>
      <c r="H35" s="9" t="s">
        <v>23</v>
      </c>
      <c r="I35" s="9" t="s">
        <v>180</v>
      </c>
      <c r="J35" s="9" t="s">
        <v>41</v>
      </c>
      <c r="K35" s="9" t="s">
        <v>26</v>
      </c>
      <c r="L35" s="9" t="s">
        <v>181</v>
      </c>
      <c r="M35" s="9">
        <v>5411</v>
      </c>
      <c r="N35" s="9" t="s">
        <v>181</v>
      </c>
      <c r="O35" s="9" t="s">
        <v>1205</v>
      </c>
      <c r="P35" s="9" t="s">
        <v>1100</v>
      </c>
      <c r="Q35" s="9" t="s">
        <v>1101</v>
      </c>
      <c r="R35" s="7"/>
      <c r="S35" s="30" t="s">
        <v>193</v>
      </c>
      <c r="T35" s="35">
        <f>IFERROR((T33-T34)/T33,0)</f>
        <v>7.4331550802139101E-2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1094</v>
      </c>
      <c r="C36" s="8" t="s">
        <v>1206</v>
      </c>
      <c r="D36" s="8" t="s">
        <v>1207</v>
      </c>
      <c r="E36" s="8" t="s">
        <v>21</v>
      </c>
      <c r="F36" s="8" t="s">
        <v>22</v>
      </c>
      <c r="G36" s="8">
        <v>800</v>
      </c>
      <c r="H36" s="8" t="s">
        <v>23</v>
      </c>
      <c r="I36" s="8" t="s">
        <v>1097</v>
      </c>
      <c r="J36" s="8" t="s">
        <v>36</v>
      </c>
      <c r="K36" s="8" t="s">
        <v>26</v>
      </c>
      <c r="L36" s="8" t="s">
        <v>1098</v>
      </c>
      <c r="M36" s="8">
        <v>6012</v>
      </c>
      <c r="N36" s="8" t="s">
        <v>1098</v>
      </c>
      <c r="O36" s="8" t="s">
        <v>1208</v>
      </c>
      <c r="P36" s="8" t="s">
        <v>1100</v>
      </c>
      <c r="Q36" s="8" t="s">
        <v>1101</v>
      </c>
      <c r="R36" s="7"/>
      <c r="S36" s="25" t="s">
        <v>200</v>
      </c>
      <c r="T36" s="37">
        <f>T33-T34</f>
        <v>308.88888888888914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1094</v>
      </c>
      <c r="C37" s="9" t="s">
        <v>1209</v>
      </c>
      <c r="D37" s="9" t="s">
        <v>1210</v>
      </c>
      <c r="E37" s="9" t="s">
        <v>21</v>
      </c>
      <c r="F37" s="9" t="s">
        <v>22</v>
      </c>
      <c r="G37" s="9">
        <v>250</v>
      </c>
      <c r="H37" s="9" t="s">
        <v>23</v>
      </c>
      <c r="I37" s="9" t="s">
        <v>111</v>
      </c>
      <c r="J37" s="9" t="s">
        <v>41</v>
      </c>
      <c r="K37" s="9" t="s">
        <v>26</v>
      </c>
      <c r="L37" s="9" t="s">
        <v>112</v>
      </c>
      <c r="M37" s="9">
        <v>5541</v>
      </c>
      <c r="N37" s="9" t="s">
        <v>112</v>
      </c>
      <c r="O37" s="9" t="s">
        <v>1211</v>
      </c>
      <c r="P37" s="9" t="s">
        <v>1100</v>
      </c>
      <c r="Q37" s="9" t="s">
        <v>1101</v>
      </c>
      <c r="R37" s="7"/>
      <c r="S37" s="30" t="s">
        <v>205</v>
      </c>
      <c r="T37" s="35">
        <f>IFERROR(U24/T30,0)</f>
        <v>0.1951219512195122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1094</v>
      </c>
      <c r="C38" s="8" t="s">
        <v>1212</v>
      </c>
      <c r="D38" s="8" t="s">
        <v>1213</v>
      </c>
      <c r="E38" s="8" t="s">
        <v>21</v>
      </c>
      <c r="F38" s="8" t="s">
        <v>22</v>
      </c>
      <c r="G38" s="8">
        <v>483</v>
      </c>
      <c r="H38" s="8" t="s">
        <v>23</v>
      </c>
      <c r="I38" s="8" t="s">
        <v>498</v>
      </c>
      <c r="J38" s="8" t="s">
        <v>36</v>
      </c>
      <c r="K38" s="8" t="s">
        <v>26</v>
      </c>
      <c r="L38" s="8" t="s">
        <v>499</v>
      </c>
      <c r="M38" s="8">
        <v>4900</v>
      </c>
      <c r="N38" s="8" t="s">
        <v>499</v>
      </c>
      <c r="O38" s="8" t="s">
        <v>1214</v>
      </c>
      <c r="P38" s="8" t="s">
        <v>1100</v>
      </c>
      <c r="Q38" s="8" t="s">
        <v>1101</v>
      </c>
      <c r="R38" s="7"/>
    </row>
    <row r="39" spans="1:23" ht="15" customHeight="1">
      <c r="A39" s="9">
        <v>38</v>
      </c>
      <c r="B39" s="9" t="s">
        <v>1094</v>
      </c>
      <c r="C39" s="9" t="s">
        <v>1215</v>
      </c>
      <c r="D39" s="9" t="s">
        <v>1216</v>
      </c>
      <c r="E39" s="9" t="s">
        <v>21</v>
      </c>
      <c r="F39" s="9" t="s">
        <v>22</v>
      </c>
      <c r="G39" s="9">
        <v>385</v>
      </c>
      <c r="H39" s="9" t="s">
        <v>23</v>
      </c>
      <c r="I39" s="9" t="s">
        <v>866</v>
      </c>
      <c r="J39" s="9" t="s">
        <v>25</v>
      </c>
      <c r="K39" s="9" t="s">
        <v>26</v>
      </c>
      <c r="L39" s="9" t="s">
        <v>867</v>
      </c>
      <c r="M39" s="9">
        <v>5999</v>
      </c>
      <c r="N39" s="9" t="s">
        <v>867</v>
      </c>
      <c r="O39" s="9" t="s">
        <v>1217</v>
      </c>
      <c r="P39" s="9" t="s">
        <v>1100</v>
      </c>
      <c r="Q39" s="9" t="s">
        <v>1101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1094</v>
      </c>
      <c r="C40" s="8" t="s">
        <v>1218</v>
      </c>
      <c r="D40" s="8" t="s">
        <v>1219</v>
      </c>
      <c r="E40" s="8" t="s">
        <v>21</v>
      </c>
      <c r="F40" s="8" t="s">
        <v>22</v>
      </c>
      <c r="G40" s="8">
        <v>378</v>
      </c>
      <c r="H40" s="8" t="s">
        <v>23</v>
      </c>
      <c r="I40" s="8" t="s">
        <v>330</v>
      </c>
      <c r="J40" s="8" t="s">
        <v>331</v>
      </c>
      <c r="K40" s="8" t="s">
        <v>26</v>
      </c>
      <c r="L40" s="8" t="s">
        <v>332</v>
      </c>
      <c r="M40" s="8">
        <v>6011</v>
      </c>
      <c r="N40" s="8" t="s">
        <v>332</v>
      </c>
      <c r="O40" s="8" t="s">
        <v>1220</v>
      </c>
      <c r="P40" s="8" t="s">
        <v>1100</v>
      </c>
      <c r="Q40" s="8" t="s">
        <v>1101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1094</v>
      </c>
      <c r="C41" s="9" t="s">
        <v>1221</v>
      </c>
      <c r="D41" s="9" t="s">
        <v>1222</v>
      </c>
      <c r="E41" s="9" t="s">
        <v>21</v>
      </c>
      <c r="F41" s="9" t="s">
        <v>22</v>
      </c>
      <c r="G41" s="9">
        <v>424</v>
      </c>
      <c r="H41" s="9" t="s">
        <v>23</v>
      </c>
      <c r="I41" s="9" t="s">
        <v>108</v>
      </c>
      <c r="J41" s="9" t="s">
        <v>41</v>
      </c>
      <c r="K41" s="9" t="s">
        <v>26</v>
      </c>
      <c r="L41" s="9" t="s">
        <v>57</v>
      </c>
      <c r="M41" s="9">
        <v>5999</v>
      </c>
      <c r="N41" s="9" t="s">
        <v>57</v>
      </c>
      <c r="O41" s="9" t="s">
        <v>1223</v>
      </c>
      <c r="P41" s="9" t="s">
        <v>1100</v>
      </c>
      <c r="Q41" s="9" t="s">
        <v>1101</v>
      </c>
      <c r="R41" s="7"/>
      <c r="S41" s="39" t="s">
        <v>226</v>
      </c>
      <c r="T41" s="40">
        <f>T5</f>
        <v>26</v>
      </c>
      <c r="U41" s="41">
        <f>IF(T41&lt;18,0,IF(T41&lt;=25,30,IF(T41&lt;=35,80,IF(T41&lt;=50,150,IF(T41&lt;=60,100,0)))))</f>
        <v>80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1094</v>
      </c>
      <c r="C42" s="8" t="s">
        <v>1224</v>
      </c>
      <c r="D42" s="8" t="s">
        <v>1225</v>
      </c>
      <c r="E42" s="8" t="s">
        <v>21</v>
      </c>
      <c r="F42" s="8" t="s">
        <v>22</v>
      </c>
      <c r="G42" s="8">
        <v>578</v>
      </c>
      <c r="H42" s="8" t="s">
        <v>23</v>
      </c>
      <c r="I42" s="8" t="s">
        <v>379</v>
      </c>
      <c r="J42" s="8" t="s">
        <v>41</v>
      </c>
      <c r="K42" s="8" t="s">
        <v>26</v>
      </c>
      <c r="L42" s="8" t="s">
        <v>380</v>
      </c>
      <c r="M42" s="8">
        <v>5411</v>
      </c>
      <c r="N42" s="8" t="s">
        <v>380</v>
      </c>
      <c r="O42" s="8" t="s">
        <v>1226</v>
      </c>
      <c r="P42" s="8" t="s">
        <v>1100</v>
      </c>
      <c r="Q42" s="8" t="s">
        <v>1101</v>
      </c>
      <c r="R42" s="7"/>
      <c r="S42" s="43" t="s">
        <v>230</v>
      </c>
      <c r="T42" s="44">
        <f>T30</f>
        <v>4100</v>
      </c>
      <c r="U42" s="41">
        <f>IF(T42&lt;=5000,0,IF(T42&lt;=10000,50,IF(T42&lt;=15000,100,150)))</f>
        <v>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1094</v>
      </c>
      <c r="C43" s="9" t="s">
        <v>1227</v>
      </c>
      <c r="D43" s="9" t="s">
        <v>1228</v>
      </c>
      <c r="E43" s="9" t="s">
        <v>21</v>
      </c>
      <c r="F43" s="9" t="s">
        <v>22</v>
      </c>
      <c r="G43" s="9">
        <v>257</v>
      </c>
      <c r="H43" s="9" t="s">
        <v>23</v>
      </c>
      <c r="I43" s="9" t="s">
        <v>86</v>
      </c>
      <c r="J43" s="9" t="s">
        <v>36</v>
      </c>
      <c r="K43" s="9" t="s">
        <v>26</v>
      </c>
      <c r="L43" s="9" t="s">
        <v>87</v>
      </c>
      <c r="M43" s="9">
        <v>4813</v>
      </c>
      <c r="N43" s="9" t="s">
        <v>87</v>
      </c>
      <c r="O43" s="9" t="s">
        <v>1229</v>
      </c>
      <c r="P43" s="9" t="s">
        <v>1100</v>
      </c>
      <c r="Q43" s="9" t="s">
        <v>1101</v>
      </c>
      <c r="R43" s="7"/>
      <c r="S43" s="39" t="s">
        <v>236</v>
      </c>
      <c r="T43" s="45">
        <f>T32</f>
        <v>800</v>
      </c>
      <c r="U43" s="41">
        <f>IF(T43=0,150,IF(T43&lt;=1500,150,IF(T43&lt;=3000,130,IF(T43&lt;=4500,110,IF(T43&lt;=9000,80,IF(T43&lt;=15000,40,0))))))</f>
        <v>150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1094</v>
      </c>
      <c r="C44" s="8" t="s">
        <v>1230</v>
      </c>
      <c r="D44" s="8" t="s">
        <v>1231</v>
      </c>
      <c r="E44" s="8" t="s">
        <v>94</v>
      </c>
      <c r="F44" s="8" t="s">
        <v>22</v>
      </c>
      <c r="G44" s="8">
        <v>3900</v>
      </c>
      <c r="H44" s="8" t="s">
        <v>23</v>
      </c>
      <c r="I44" s="8" t="s">
        <v>1132</v>
      </c>
      <c r="J44" s="8" t="s">
        <v>96</v>
      </c>
      <c r="K44" s="8" t="s">
        <v>97</v>
      </c>
      <c r="L44" s="8" t="s">
        <v>1133</v>
      </c>
      <c r="M44" s="8"/>
      <c r="N44" s="8" t="s">
        <v>1133</v>
      </c>
      <c r="O44" s="8" t="s">
        <v>1232</v>
      </c>
      <c r="P44" s="8" t="s">
        <v>1100</v>
      </c>
      <c r="Q44" s="8" t="s">
        <v>1101</v>
      </c>
      <c r="R44" s="7"/>
      <c r="S44" s="43" t="s">
        <v>240</v>
      </c>
      <c r="T44" s="46">
        <f>T35</f>
        <v>7.4331550802139101E-2</v>
      </c>
      <c r="U44" s="41">
        <f>IF(T44&lt;=0,0,IF(T44&lt;=0.1,50,IF(T44&lt;=0.2,100,IF(T44&lt;=0.3,130,150))))</f>
        <v>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1094</v>
      </c>
      <c r="C45" s="9" t="s">
        <v>1233</v>
      </c>
      <c r="D45" s="9" t="s">
        <v>1234</v>
      </c>
      <c r="E45" s="9" t="s">
        <v>21</v>
      </c>
      <c r="F45" s="9" t="s">
        <v>22</v>
      </c>
      <c r="G45" s="9">
        <v>267</v>
      </c>
      <c r="H45" s="9" t="s">
        <v>23</v>
      </c>
      <c r="I45" s="9" t="s">
        <v>254</v>
      </c>
      <c r="J45" s="9" t="s">
        <v>41</v>
      </c>
      <c r="K45" s="9" t="s">
        <v>26</v>
      </c>
      <c r="L45" s="9" t="s">
        <v>255</v>
      </c>
      <c r="M45" s="9">
        <v>5812</v>
      </c>
      <c r="N45" s="9" t="s">
        <v>255</v>
      </c>
      <c r="O45" s="9" t="s">
        <v>1235</v>
      </c>
      <c r="P45" s="9" t="s">
        <v>1100</v>
      </c>
      <c r="Q45" s="9" t="s">
        <v>1101</v>
      </c>
      <c r="R45" s="7"/>
      <c r="S45" s="39" t="s">
        <v>246</v>
      </c>
      <c r="T45" s="45">
        <f>T31</f>
        <v>4100</v>
      </c>
      <c r="U45" s="41">
        <f>IF(T45&lt;=5000,30,IF(T45&lt;=15000,90,150))</f>
        <v>30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1094</v>
      </c>
      <c r="C46" s="8" t="s">
        <v>1236</v>
      </c>
      <c r="D46" s="8" t="s">
        <v>1237</v>
      </c>
      <c r="E46" s="8" t="s">
        <v>21</v>
      </c>
      <c r="F46" s="8" t="s">
        <v>22</v>
      </c>
      <c r="G46" s="8">
        <v>400</v>
      </c>
      <c r="H46" s="8" t="s">
        <v>23</v>
      </c>
      <c r="I46" s="8" t="s">
        <v>82</v>
      </c>
      <c r="J46" s="8" t="s">
        <v>41</v>
      </c>
      <c r="K46" s="8" t="s">
        <v>26</v>
      </c>
      <c r="L46" s="8" t="s">
        <v>83</v>
      </c>
      <c r="M46" s="8">
        <v>5411</v>
      </c>
      <c r="N46" s="8" t="s">
        <v>83</v>
      </c>
      <c r="O46" s="8" t="s">
        <v>1238</v>
      </c>
      <c r="P46" s="8" t="s">
        <v>1100</v>
      </c>
      <c r="Q46" s="8" t="s">
        <v>1101</v>
      </c>
      <c r="R46" s="7"/>
      <c r="S46" s="43" t="s">
        <v>250</v>
      </c>
      <c r="T46" s="47">
        <f>T36</f>
        <v>308.88888888888914</v>
      </c>
      <c r="U46" s="41">
        <f>IF(T46&lt;0,0,IF(T46&lt;=1000,50,IF(T46&lt;=3000,100,150)))</f>
        <v>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1094</v>
      </c>
      <c r="C47" s="9" t="s">
        <v>1239</v>
      </c>
      <c r="D47" s="9" t="s">
        <v>1240</v>
      </c>
      <c r="E47" s="9" t="s">
        <v>21</v>
      </c>
      <c r="F47" s="9" t="s">
        <v>22</v>
      </c>
      <c r="G47" s="9">
        <v>800</v>
      </c>
      <c r="H47" s="9" t="s">
        <v>23</v>
      </c>
      <c r="I47" s="9" t="s">
        <v>1097</v>
      </c>
      <c r="J47" s="9" t="s">
        <v>36</v>
      </c>
      <c r="K47" s="9" t="s">
        <v>26</v>
      </c>
      <c r="L47" s="9" t="s">
        <v>1098</v>
      </c>
      <c r="M47" s="9">
        <v>6012</v>
      </c>
      <c r="N47" s="9" t="s">
        <v>1098</v>
      </c>
      <c r="O47" s="9" t="s">
        <v>1241</v>
      </c>
      <c r="P47" s="9" t="s">
        <v>1100</v>
      </c>
      <c r="Q47" s="9" t="s">
        <v>1101</v>
      </c>
      <c r="R47" s="7"/>
      <c r="S47" s="39" t="s">
        <v>256</v>
      </c>
      <c r="T47" s="48">
        <f>T37</f>
        <v>0.1951219512195122</v>
      </c>
      <c r="U47" s="41">
        <f>IF(T47&lt;=0.1,100,IF(T47&lt;=0.25,70,IF(T47&lt;=0.4,40,IF(T47&lt;=0.6,20,0))))</f>
        <v>70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1094</v>
      </c>
      <c r="C48" s="8" t="s">
        <v>1242</v>
      </c>
      <c r="D48" s="8" t="s">
        <v>1243</v>
      </c>
      <c r="E48" s="8" t="s">
        <v>21</v>
      </c>
      <c r="F48" s="8" t="s">
        <v>22</v>
      </c>
      <c r="G48" s="8">
        <v>346</v>
      </c>
      <c r="H48" s="8" t="s">
        <v>23</v>
      </c>
      <c r="I48" s="8" t="s">
        <v>254</v>
      </c>
      <c r="J48" s="8" t="s">
        <v>41</v>
      </c>
      <c r="K48" s="8" t="s">
        <v>26</v>
      </c>
      <c r="L48" s="8" t="s">
        <v>255</v>
      </c>
      <c r="M48" s="8">
        <v>5812</v>
      </c>
      <c r="N48" s="8" t="s">
        <v>255</v>
      </c>
      <c r="O48" s="8" t="s">
        <v>1244</v>
      </c>
      <c r="P48" s="8" t="s">
        <v>1100</v>
      </c>
      <c r="Q48" s="8" t="s">
        <v>1101</v>
      </c>
      <c r="R48" s="7"/>
    </row>
    <row r="49" spans="1:23" ht="27.75" customHeight="1">
      <c r="A49" s="9">
        <v>48</v>
      </c>
      <c r="B49" s="9" t="s">
        <v>1094</v>
      </c>
      <c r="C49" s="9" t="s">
        <v>1245</v>
      </c>
      <c r="D49" s="9" t="s">
        <v>1246</v>
      </c>
      <c r="E49" s="9" t="s">
        <v>21</v>
      </c>
      <c r="F49" s="9" t="s">
        <v>22</v>
      </c>
      <c r="G49" s="9">
        <v>582</v>
      </c>
      <c r="H49" s="9" t="s">
        <v>23</v>
      </c>
      <c r="I49" s="9" t="s">
        <v>363</v>
      </c>
      <c r="J49" s="9" t="s">
        <v>41</v>
      </c>
      <c r="K49" s="9" t="s">
        <v>26</v>
      </c>
      <c r="L49" s="9" t="s">
        <v>364</v>
      </c>
      <c r="M49" s="9">
        <v>5999</v>
      </c>
      <c r="N49" s="9" t="s">
        <v>364</v>
      </c>
      <c r="O49" s="9" t="s">
        <v>1247</v>
      </c>
      <c r="P49" s="9" t="s">
        <v>1100</v>
      </c>
      <c r="Q49" s="9" t="s">
        <v>1101</v>
      </c>
      <c r="R49" s="7"/>
      <c r="S49" s="49" t="s">
        <v>264</v>
      </c>
      <c r="T49" s="50">
        <f>U41+U42+U43+U44+U45+U46+U47</f>
        <v>430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1094</v>
      </c>
      <c r="C50" s="8" t="s">
        <v>1248</v>
      </c>
      <c r="D50" s="8" t="s">
        <v>1249</v>
      </c>
      <c r="E50" s="8" t="s">
        <v>21</v>
      </c>
      <c r="F50" s="8" t="s">
        <v>22</v>
      </c>
      <c r="G50" s="8">
        <v>400</v>
      </c>
      <c r="H50" s="8" t="s">
        <v>23</v>
      </c>
      <c r="I50" s="8" t="s">
        <v>244</v>
      </c>
      <c r="J50" s="8" t="s">
        <v>41</v>
      </c>
      <c r="K50" s="8" t="s">
        <v>26</v>
      </c>
      <c r="L50" s="8" t="s">
        <v>245</v>
      </c>
      <c r="M50" s="8">
        <v>5411</v>
      </c>
      <c r="N50" s="8" t="s">
        <v>245</v>
      </c>
      <c r="O50" s="8" t="s">
        <v>1250</v>
      </c>
      <c r="P50" s="8" t="s">
        <v>1100</v>
      </c>
      <c r="Q50" s="8" t="s">
        <v>1101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B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1094</v>
      </c>
      <c r="C51" s="9" t="s">
        <v>1251</v>
      </c>
      <c r="D51" s="9" t="s">
        <v>1252</v>
      </c>
      <c r="E51" s="9" t="s">
        <v>21</v>
      </c>
      <c r="F51" s="9" t="s">
        <v>22</v>
      </c>
      <c r="G51" s="9">
        <v>402</v>
      </c>
      <c r="H51" s="9" t="s">
        <v>23</v>
      </c>
      <c r="I51" s="9" t="s">
        <v>593</v>
      </c>
      <c r="J51" s="9" t="s">
        <v>331</v>
      </c>
      <c r="K51" s="9" t="s">
        <v>26</v>
      </c>
      <c r="L51" s="9" t="s">
        <v>594</v>
      </c>
      <c r="M51" s="9">
        <v>6011</v>
      </c>
      <c r="N51" s="9" t="s">
        <v>594</v>
      </c>
      <c r="O51" s="9" t="s">
        <v>1253</v>
      </c>
      <c r="P51" s="9" t="s">
        <v>1100</v>
      </c>
      <c r="Q51" s="9" t="s">
        <v>1101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Below Average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1094</v>
      </c>
      <c r="C52" s="8" t="s">
        <v>1254</v>
      </c>
      <c r="D52" s="8" t="s">
        <v>1255</v>
      </c>
      <c r="E52" s="8" t="s">
        <v>21</v>
      </c>
      <c r="F52" s="8" t="s">
        <v>22</v>
      </c>
      <c r="G52" s="8">
        <v>425</v>
      </c>
      <c r="H52" s="8" t="s">
        <v>23</v>
      </c>
      <c r="I52" s="8" t="s">
        <v>318</v>
      </c>
      <c r="J52" s="8" t="s">
        <v>25</v>
      </c>
      <c r="K52" s="8" t="s">
        <v>26</v>
      </c>
      <c r="L52" s="8" t="s">
        <v>319</v>
      </c>
      <c r="M52" s="8">
        <v>5999</v>
      </c>
      <c r="N52" s="8" t="s">
        <v>319</v>
      </c>
      <c r="O52" s="8" t="s">
        <v>1256</v>
      </c>
      <c r="P52" s="8" t="s">
        <v>1100</v>
      </c>
      <c r="Q52" s="8" t="s">
        <v>1101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Low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1094</v>
      </c>
      <c r="C53" s="9" t="s">
        <v>1257</v>
      </c>
      <c r="D53" s="9" t="s">
        <v>1258</v>
      </c>
      <c r="E53" s="9" t="s">
        <v>21</v>
      </c>
      <c r="F53" s="9" t="s">
        <v>22</v>
      </c>
      <c r="G53" s="9">
        <v>271</v>
      </c>
      <c r="H53" s="9" t="s">
        <v>23</v>
      </c>
      <c r="I53" s="9" t="s">
        <v>70</v>
      </c>
      <c r="J53" s="9" t="s">
        <v>41</v>
      </c>
      <c r="K53" s="9" t="s">
        <v>26</v>
      </c>
      <c r="L53" s="9" t="s">
        <v>71</v>
      </c>
      <c r="M53" s="9">
        <v>5541</v>
      </c>
      <c r="N53" s="9" t="s">
        <v>71</v>
      </c>
      <c r="O53" s="9" t="s">
        <v>1259</v>
      </c>
      <c r="P53" s="9" t="s">
        <v>1100</v>
      </c>
      <c r="Q53" s="9" t="s">
        <v>1101</v>
      </c>
      <c r="R53" s="7"/>
    </row>
    <row r="54" spans="1:23" ht="15.75" customHeight="1">
      <c r="A54" s="8">
        <v>53</v>
      </c>
      <c r="B54" s="8" t="s">
        <v>1094</v>
      </c>
      <c r="C54" s="8" t="s">
        <v>1260</v>
      </c>
      <c r="D54" s="8" t="s">
        <v>1261</v>
      </c>
      <c r="E54" s="8" t="s">
        <v>21</v>
      </c>
      <c r="F54" s="8" t="s">
        <v>22</v>
      </c>
      <c r="G54" s="8">
        <v>409</v>
      </c>
      <c r="H54" s="8" t="s">
        <v>23</v>
      </c>
      <c r="I54" s="8" t="s">
        <v>90</v>
      </c>
      <c r="J54" s="8" t="s">
        <v>36</v>
      </c>
      <c r="K54" s="8" t="s">
        <v>26</v>
      </c>
      <c r="L54" s="8" t="s">
        <v>91</v>
      </c>
      <c r="M54" s="8">
        <v>4900</v>
      </c>
      <c r="N54" s="8" t="s">
        <v>91</v>
      </c>
      <c r="O54" s="8" t="s">
        <v>1262</v>
      </c>
      <c r="P54" s="8" t="s">
        <v>1100</v>
      </c>
      <c r="Q54" s="8" t="s">
        <v>1101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1094</v>
      </c>
      <c r="C55" s="9" t="s">
        <v>1263</v>
      </c>
      <c r="D55" s="9" t="s">
        <v>1264</v>
      </c>
      <c r="E55" s="9" t="s">
        <v>94</v>
      </c>
      <c r="F55" s="9" t="s">
        <v>22</v>
      </c>
      <c r="G55" s="9">
        <v>4400</v>
      </c>
      <c r="H55" s="9" t="s">
        <v>23</v>
      </c>
      <c r="I55" s="9" t="s">
        <v>1132</v>
      </c>
      <c r="J55" s="9" t="s">
        <v>96</v>
      </c>
      <c r="K55" s="9" t="s">
        <v>97</v>
      </c>
      <c r="L55" s="9" t="s">
        <v>1133</v>
      </c>
      <c r="M55" s="9"/>
      <c r="N55" s="9" t="s">
        <v>1133</v>
      </c>
      <c r="O55" s="9" t="s">
        <v>1265</v>
      </c>
      <c r="P55" s="9" t="s">
        <v>1100</v>
      </c>
      <c r="Q55" s="9" t="s">
        <v>1101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1094</v>
      </c>
      <c r="C56" s="8" t="s">
        <v>1266</v>
      </c>
      <c r="D56" s="8" t="s">
        <v>1267</v>
      </c>
      <c r="E56" s="8" t="s">
        <v>21</v>
      </c>
      <c r="F56" s="8" t="s">
        <v>22</v>
      </c>
      <c r="G56" s="8">
        <v>400</v>
      </c>
      <c r="H56" s="8" t="s">
        <v>23</v>
      </c>
      <c r="I56" s="8" t="s">
        <v>131</v>
      </c>
      <c r="J56" s="8" t="s">
        <v>41</v>
      </c>
      <c r="K56" s="8" t="s">
        <v>26</v>
      </c>
      <c r="L56" s="8" t="s">
        <v>132</v>
      </c>
      <c r="M56" s="8">
        <v>5411</v>
      </c>
      <c r="N56" s="8" t="s">
        <v>132</v>
      </c>
      <c r="O56" s="8" t="s">
        <v>1268</v>
      </c>
      <c r="P56" s="8" t="s">
        <v>1100</v>
      </c>
      <c r="Q56" s="8" t="s">
        <v>1101</v>
      </c>
      <c r="R56" s="7"/>
      <c r="S56" s="61" t="s">
        <v>294</v>
      </c>
      <c r="T56" s="62">
        <f>IFERROR(U24/T24,0)</f>
        <v>0.19251336898395721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1094</v>
      </c>
      <c r="C57" s="9" t="s">
        <v>1269</v>
      </c>
      <c r="D57" s="9" t="s">
        <v>1270</v>
      </c>
      <c r="E57" s="9" t="s">
        <v>21</v>
      </c>
      <c r="F57" s="9" t="s">
        <v>22</v>
      </c>
      <c r="G57" s="9">
        <v>365</v>
      </c>
      <c r="H57" s="9" t="s">
        <v>23</v>
      </c>
      <c r="I57" s="9" t="s">
        <v>86</v>
      </c>
      <c r="J57" s="9" t="s">
        <v>36</v>
      </c>
      <c r="K57" s="9" t="s">
        <v>26</v>
      </c>
      <c r="L57" s="9" t="s">
        <v>87</v>
      </c>
      <c r="M57" s="9">
        <v>4813</v>
      </c>
      <c r="N57" s="9" t="s">
        <v>87</v>
      </c>
      <c r="O57" s="9" t="s">
        <v>1271</v>
      </c>
      <c r="P57" s="9" t="s">
        <v>1100</v>
      </c>
      <c r="Q57" s="9" t="s">
        <v>1101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1094</v>
      </c>
      <c r="C58" s="8" t="s">
        <v>1272</v>
      </c>
      <c r="D58" s="8" t="s">
        <v>1273</v>
      </c>
      <c r="E58" s="8" t="s">
        <v>21</v>
      </c>
      <c r="F58" s="8" t="s">
        <v>22</v>
      </c>
      <c r="G58" s="8">
        <v>800</v>
      </c>
      <c r="H58" s="8" t="s">
        <v>23</v>
      </c>
      <c r="I58" s="8" t="s">
        <v>1097</v>
      </c>
      <c r="J58" s="8" t="s">
        <v>36</v>
      </c>
      <c r="K58" s="8" t="s">
        <v>26</v>
      </c>
      <c r="L58" s="8" t="s">
        <v>1098</v>
      </c>
      <c r="M58" s="8">
        <v>6012</v>
      </c>
      <c r="N58" s="8" t="s">
        <v>1098</v>
      </c>
      <c r="O58" s="8" t="s">
        <v>1274</v>
      </c>
      <c r="P58" s="8" t="s">
        <v>1100</v>
      </c>
      <c r="Q58" s="8" t="s">
        <v>1101</v>
      </c>
      <c r="R58" s="7"/>
      <c r="S58" s="61" t="s">
        <v>303</v>
      </c>
      <c r="T58" s="62">
        <f>T35</f>
        <v>7.4331550802139101E-2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A59" s="9">
        <v>58</v>
      </c>
      <c r="B59" s="9" t="s">
        <v>1094</v>
      </c>
      <c r="C59" s="9" t="s">
        <v>1275</v>
      </c>
      <c r="D59" s="9" t="s">
        <v>1276</v>
      </c>
      <c r="E59" s="9" t="s">
        <v>21</v>
      </c>
      <c r="F59" s="9" t="s">
        <v>22</v>
      </c>
      <c r="G59" s="9">
        <v>161</v>
      </c>
      <c r="H59" s="9" t="s">
        <v>23</v>
      </c>
      <c r="I59" s="9" t="s">
        <v>254</v>
      </c>
      <c r="J59" s="9" t="s">
        <v>41</v>
      </c>
      <c r="K59" s="9" t="s">
        <v>26</v>
      </c>
      <c r="L59" s="9" t="s">
        <v>255</v>
      </c>
      <c r="M59" s="9">
        <v>5812</v>
      </c>
      <c r="N59" s="9" t="s">
        <v>255</v>
      </c>
      <c r="O59" s="9" t="s">
        <v>1277</v>
      </c>
      <c r="P59" s="9" t="s">
        <v>1100</v>
      </c>
      <c r="Q59" s="9" t="s">
        <v>1101</v>
      </c>
      <c r="R59" s="7"/>
      <c r="S59" s="68" t="s">
        <v>308</v>
      </c>
      <c r="T59" s="69">
        <f>T36</f>
        <v>308.88888888888914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1094</v>
      </c>
      <c r="C60" s="8" t="s">
        <v>1278</v>
      </c>
      <c r="D60" s="8" t="s">
        <v>1279</v>
      </c>
      <c r="E60" s="8" t="s">
        <v>21</v>
      </c>
      <c r="F60" s="8" t="s">
        <v>22</v>
      </c>
      <c r="G60" s="8">
        <v>160</v>
      </c>
      <c r="H60" s="8" t="s">
        <v>23</v>
      </c>
      <c r="I60" s="8" t="s">
        <v>254</v>
      </c>
      <c r="J60" s="8" t="s">
        <v>41</v>
      </c>
      <c r="K60" s="8" t="s">
        <v>26</v>
      </c>
      <c r="L60" s="8" t="s">
        <v>255</v>
      </c>
      <c r="M60" s="8">
        <v>5812</v>
      </c>
      <c r="N60" s="8" t="s">
        <v>255</v>
      </c>
      <c r="O60" s="8" t="s">
        <v>1280</v>
      </c>
      <c r="P60" s="8" t="s">
        <v>1100</v>
      </c>
      <c r="Q60" s="8" t="s">
        <v>1101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1094</v>
      </c>
      <c r="C61" s="9" t="s">
        <v>1281</v>
      </c>
      <c r="D61" s="9" t="s">
        <v>1282</v>
      </c>
      <c r="E61" s="9" t="s">
        <v>21</v>
      </c>
      <c r="F61" s="9" t="s">
        <v>22</v>
      </c>
      <c r="G61" s="9">
        <v>340</v>
      </c>
      <c r="H61" s="9" t="s">
        <v>23</v>
      </c>
      <c r="I61" s="9" t="s">
        <v>866</v>
      </c>
      <c r="J61" s="9" t="s">
        <v>25</v>
      </c>
      <c r="K61" s="9" t="s">
        <v>26</v>
      </c>
      <c r="L61" s="9" t="s">
        <v>867</v>
      </c>
      <c r="M61" s="9">
        <v>5999</v>
      </c>
      <c r="N61" s="9" t="s">
        <v>867</v>
      </c>
      <c r="O61" s="9" t="s">
        <v>1283</v>
      </c>
      <c r="P61" s="9" t="s">
        <v>1100</v>
      </c>
      <c r="Q61" s="9" t="s">
        <v>1101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1094</v>
      </c>
      <c r="C62" s="8" t="s">
        <v>1284</v>
      </c>
      <c r="D62" s="8" t="s">
        <v>1285</v>
      </c>
      <c r="E62" s="8" t="s">
        <v>21</v>
      </c>
      <c r="F62" s="8" t="s">
        <v>22</v>
      </c>
      <c r="G62" s="8">
        <v>290</v>
      </c>
      <c r="H62" s="8" t="s">
        <v>23</v>
      </c>
      <c r="I62" s="8" t="s">
        <v>86</v>
      </c>
      <c r="J62" s="8" t="s">
        <v>36</v>
      </c>
      <c r="K62" s="8" t="s">
        <v>26</v>
      </c>
      <c r="L62" s="8" t="s">
        <v>87</v>
      </c>
      <c r="M62" s="8">
        <v>4813</v>
      </c>
      <c r="N62" s="8" t="s">
        <v>87</v>
      </c>
      <c r="O62" s="8" t="s">
        <v>1286</v>
      </c>
      <c r="P62" s="8" t="s">
        <v>1100</v>
      </c>
      <c r="Q62" s="8" t="s">
        <v>1101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1094</v>
      </c>
      <c r="C63" s="9" t="s">
        <v>1287</v>
      </c>
      <c r="D63" s="9" t="s">
        <v>1288</v>
      </c>
      <c r="E63" s="9" t="s">
        <v>21</v>
      </c>
      <c r="F63" s="9" t="s">
        <v>22</v>
      </c>
      <c r="G63" s="9">
        <v>587</v>
      </c>
      <c r="H63" s="9" t="s">
        <v>23</v>
      </c>
      <c r="I63" s="9" t="s">
        <v>82</v>
      </c>
      <c r="J63" s="9" t="s">
        <v>41</v>
      </c>
      <c r="K63" s="9" t="s">
        <v>26</v>
      </c>
      <c r="L63" s="9" t="s">
        <v>83</v>
      </c>
      <c r="M63" s="9">
        <v>5411</v>
      </c>
      <c r="N63" s="9" t="s">
        <v>83</v>
      </c>
      <c r="O63" s="9" t="s">
        <v>1289</v>
      </c>
      <c r="P63" s="9" t="s">
        <v>1100</v>
      </c>
      <c r="Q63" s="9" t="s">
        <v>1101</v>
      </c>
      <c r="R63" s="7"/>
      <c r="S63" s="68" t="s">
        <v>333</v>
      </c>
      <c r="T63" s="74">
        <f>IFERROR((MIN(1,SUMPRODUCT((LEFT($C$2:$C$100,7)=TEXT(S9,"YYYY-MM"))*($E$2:$E$100="KSAOB.Credit")*($K$2:$K$100="KSAOB.Deposit")))+MIN(1,SUMPRODUCT((LEFT($C$2:$C$100,7)=TEXT(S10,"YYYY-MM"))*($E$2:$E$100="KSAOB.Credit")*($K$2:$K$100="KSAOB.Deposit")))+MIN(1,SUMPRODUCT((LEFT($C$2:$C$100,7)=TEXT(S11,"YYYY-MM"))*($E$2:$E$100="KSAOB.Credit")*($K$2:$K$100="KSAOB.Deposit")))+MIN(1,SUMPRODUCT((LEFT($C$2:$C$100,7)=TEXT(S12,"YYYY-MM"))*($E$2:$E$100="KSAOB.Credit")*($K$2:$K$100="KSAOB.Deposit")))+MIN(1,SUMPRODUCT((LEFT($C$2:$C$100,7)=TEXT(S13,"YYYY-MM"))*($E$2:$E$100="KSAOB.Credit")*($K$2:$K$100="KSAOB.Deposit")))+MIN(1,SUMPRODUCT((LEFT($C$2:$C$100,7)=TEXT(S14,"YYYY-MM"))*($E$2:$E$100="KSAOB.Credit")*($K$2:$K$100="KSAOB.Deposit")))+MIN(1,SUMPRODUCT((LEFT($C$2:$C$100,7)=TEXT(S15,"YYYY-MM"))*($E$2:$E$100="KSAOB.Credit")*($K$2:$K$100="KSAOB.Deposit")))+MIN(1,SUMPRODUCT((LEFT($C$2:$C$100,7)=TEXT(S16,"YYYY-MM"))*($E$2:$E$100="KSAOB.Credit")*($K$2:$K$100="KSAOB.Deposit")))+MIN(1,SUMPRODUCT((LEFT($C$2:$C$100,7)=TEXT(S17,"YYYY-MM"))*($E$2:$E$100="KSAOB.Credit")*($K$2:$K$100="KSAOB.Deposit"))))/9,0)</f>
        <v>1</v>
      </c>
      <c r="U63" s="32" t="s">
        <v>334</v>
      </c>
      <c r="V63" s="36" t="str">
        <f>IF(T63&gt;=0.9,"✅ Meets","⚠️ Below")</f>
        <v>✅ Meets</v>
      </c>
      <c r="W63" s="34" t="s">
        <v>1290</v>
      </c>
    </row>
    <row r="64" spans="1:23" ht="15" customHeight="1">
      <c r="A64" s="8">
        <v>63</v>
      </c>
      <c r="B64" s="8" t="s">
        <v>1094</v>
      </c>
      <c r="C64" s="8" t="s">
        <v>1291</v>
      </c>
      <c r="D64" s="8" t="s">
        <v>1292</v>
      </c>
      <c r="E64" s="8" t="s">
        <v>21</v>
      </c>
      <c r="F64" s="8" t="s">
        <v>22</v>
      </c>
      <c r="G64" s="8">
        <v>588</v>
      </c>
      <c r="H64" s="8" t="s">
        <v>23</v>
      </c>
      <c r="I64" s="8" t="s">
        <v>102</v>
      </c>
      <c r="J64" s="8" t="s">
        <v>41</v>
      </c>
      <c r="K64" s="8" t="s">
        <v>26</v>
      </c>
      <c r="L64" s="8" t="s">
        <v>103</v>
      </c>
      <c r="M64" s="8">
        <v>5411</v>
      </c>
      <c r="N64" s="8" t="s">
        <v>103</v>
      </c>
      <c r="O64" s="8" t="s">
        <v>1293</v>
      </c>
      <c r="P64" s="8" t="s">
        <v>1100</v>
      </c>
      <c r="Q64" s="8" t="s">
        <v>1101</v>
      </c>
      <c r="R64" s="7"/>
    </row>
    <row r="65" spans="1:17" ht="15" customHeight="1">
      <c r="A65" s="9">
        <v>64</v>
      </c>
      <c r="B65" s="9" t="s">
        <v>1094</v>
      </c>
      <c r="C65" s="9" t="s">
        <v>1294</v>
      </c>
      <c r="D65" s="9" t="s">
        <v>1295</v>
      </c>
      <c r="E65" s="9" t="s">
        <v>21</v>
      </c>
      <c r="F65" s="9" t="s">
        <v>22</v>
      </c>
      <c r="G65" s="9">
        <v>263</v>
      </c>
      <c r="H65" s="9" t="s">
        <v>23</v>
      </c>
      <c r="I65" s="9" t="s">
        <v>70</v>
      </c>
      <c r="J65" s="9" t="s">
        <v>41</v>
      </c>
      <c r="K65" s="9" t="s">
        <v>26</v>
      </c>
      <c r="L65" s="9" t="s">
        <v>71</v>
      </c>
      <c r="M65" s="9">
        <v>5541</v>
      </c>
      <c r="N65" s="9" t="s">
        <v>71</v>
      </c>
      <c r="O65" s="9" t="s">
        <v>1296</v>
      </c>
      <c r="P65" s="9" t="s">
        <v>1100</v>
      </c>
      <c r="Q65" s="9" t="s">
        <v>1101</v>
      </c>
    </row>
    <row r="66" spans="1:17" ht="15" customHeight="1">
      <c r="A66" s="8">
        <v>65</v>
      </c>
      <c r="B66" s="8" t="s">
        <v>1094</v>
      </c>
      <c r="C66" s="8" t="s">
        <v>1297</v>
      </c>
      <c r="D66" s="8" t="s">
        <v>1298</v>
      </c>
      <c r="E66" s="8" t="s">
        <v>21</v>
      </c>
      <c r="F66" s="8" t="s">
        <v>22</v>
      </c>
      <c r="G66" s="8">
        <v>467</v>
      </c>
      <c r="H66" s="8" t="s">
        <v>23</v>
      </c>
      <c r="I66" s="8" t="s">
        <v>498</v>
      </c>
      <c r="J66" s="8" t="s">
        <v>36</v>
      </c>
      <c r="K66" s="8" t="s">
        <v>26</v>
      </c>
      <c r="L66" s="8" t="s">
        <v>499</v>
      </c>
      <c r="M66" s="8">
        <v>4900</v>
      </c>
      <c r="N66" s="8" t="s">
        <v>499</v>
      </c>
      <c r="O66" s="8" t="s">
        <v>1299</v>
      </c>
      <c r="P66" s="8" t="s">
        <v>1100</v>
      </c>
      <c r="Q66" s="8" t="s">
        <v>1101</v>
      </c>
    </row>
    <row r="67" spans="1:17" ht="15" customHeight="1">
      <c r="A67" s="9">
        <v>66</v>
      </c>
      <c r="B67" s="9" t="s">
        <v>1094</v>
      </c>
      <c r="C67" s="9" t="s">
        <v>1300</v>
      </c>
      <c r="D67" s="9" t="s">
        <v>1301</v>
      </c>
      <c r="E67" s="9" t="s">
        <v>94</v>
      </c>
      <c r="F67" s="9" t="s">
        <v>22</v>
      </c>
      <c r="G67" s="9">
        <v>4200</v>
      </c>
      <c r="H67" s="9" t="s">
        <v>23</v>
      </c>
      <c r="I67" s="9" t="s">
        <v>1132</v>
      </c>
      <c r="J67" s="9" t="s">
        <v>96</v>
      </c>
      <c r="K67" s="9" t="s">
        <v>97</v>
      </c>
      <c r="L67" s="9" t="s">
        <v>1133</v>
      </c>
      <c r="M67" s="9"/>
      <c r="N67" s="9" t="s">
        <v>1133</v>
      </c>
      <c r="O67" s="9" t="s">
        <v>1302</v>
      </c>
      <c r="P67" s="9" t="s">
        <v>1100</v>
      </c>
      <c r="Q67" s="9" t="s">
        <v>1101</v>
      </c>
    </row>
    <row r="68" spans="1:17" ht="15" customHeight="1">
      <c r="A68" s="8">
        <v>67</v>
      </c>
      <c r="B68" s="8" t="s">
        <v>1094</v>
      </c>
      <c r="C68" s="8" t="s">
        <v>1303</v>
      </c>
      <c r="D68" s="8" t="s">
        <v>1304</v>
      </c>
      <c r="E68" s="8" t="s">
        <v>21</v>
      </c>
      <c r="F68" s="8" t="s">
        <v>22</v>
      </c>
      <c r="G68" s="8">
        <v>1044</v>
      </c>
      <c r="H68" s="8" t="s">
        <v>23</v>
      </c>
      <c r="I68" s="8" t="s">
        <v>56</v>
      </c>
      <c r="J68" s="8" t="s">
        <v>41</v>
      </c>
      <c r="K68" s="8" t="s">
        <v>26</v>
      </c>
      <c r="L68" s="8" t="s">
        <v>57</v>
      </c>
      <c r="M68" s="8">
        <v>5999</v>
      </c>
      <c r="N68" s="8" t="s">
        <v>57</v>
      </c>
      <c r="O68" s="8" t="s">
        <v>1305</v>
      </c>
      <c r="P68" s="8" t="s">
        <v>1100</v>
      </c>
      <c r="Q68" s="8" t="s">
        <v>1101</v>
      </c>
    </row>
    <row r="69" spans="1:17" ht="15" customHeight="1">
      <c r="A69" s="9">
        <v>68</v>
      </c>
      <c r="B69" s="9" t="s">
        <v>1094</v>
      </c>
      <c r="C69" s="9" t="s">
        <v>1306</v>
      </c>
      <c r="D69" s="9" t="s">
        <v>1307</v>
      </c>
      <c r="E69" s="9" t="s">
        <v>21</v>
      </c>
      <c r="F69" s="9" t="s">
        <v>22</v>
      </c>
      <c r="G69" s="9">
        <v>376</v>
      </c>
      <c r="H69" s="9" t="s">
        <v>23</v>
      </c>
      <c r="I69" s="9" t="s">
        <v>391</v>
      </c>
      <c r="J69" s="9" t="s">
        <v>331</v>
      </c>
      <c r="K69" s="9" t="s">
        <v>26</v>
      </c>
      <c r="L69" s="9" t="s">
        <v>392</v>
      </c>
      <c r="M69" s="9">
        <v>6011</v>
      </c>
      <c r="N69" s="9" t="s">
        <v>392</v>
      </c>
      <c r="O69" s="9" t="s">
        <v>1308</v>
      </c>
      <c r="P69" s="9" t="s">
        <v>1100</v>
      </c>
      <c r="Q69" s="9" t="s">
        <v>1101</v>
      </c>
    </row>
    <row r="70" spans="1:17" ht="15" customHeight="1">
      <c r="A70" s="8">
        <v>69</v>
      </c>
      <c r="B70" s="8" t="s">
        <v>1094</v>
      </c>
      <c r="C70" s="8" t="s">
        <v>1309</v>
      </c>
      <c r="D70" s="8" t="s">
        <v>1310</v>
      </c>
      <c r="E70" s="8" t="s">
        <v>21</v>
      </c>
      <c r="F70" s="8" t="s">
        <v>22</v>
      </c>
      <c r="G70" s="8">
        <v>800</v>
      </c>
      <c r="H70" s="8" t="s">
        <v>23</v>
      </c>
      <c r="I70" s="8" t="s">
        <v>1097</v>
      </c>
      <c r="J70" s="8" t="s">
        <v>36</v>
      </c>
      <c r="K70" s="8" t="s">
        <v>26</v>
      </c>
      <c r="L70" s="8" t="s">
        <v>1098</v>
      </c>
      <c r="M70" s="8">
        <v>6012</v>
      </c>
      <c r="N70" s="8" t="s">
        <v>1098</v>
      </c>
      <c r="O70" s="8" t="s">
        <v>1311</v>
      </c>
      <c r="P70" s="8" t="s">
        <v>1100</v>
      </c>
      <c r="Q70" s="8" t="s">
        <v>1101</v>
      </c>
    </row>
    <row r="71" spans="1:17" ht="15" customHeight="1">
      <c r="A71" s="9">
        <v>70</v>
      </c>
      <c r="B71" s="9" t="s">
        <v>1094</v>
      </c>
      <c r="C71" s="9" t="s">
        <v>1312</v>
      </c>
      <c r="D71" s="9" t="s">
        <v>1313</v>
      </c>
      <c r="E71" s="9" t="s">
        <v>21</v>
      </c>
      <c r="F71" s="9" t="s">
        <v>22</v>
      </c>
      <c r="G71" s="9">
        <v>132</v>
      </c>
      <c r="H71" s="9" t="s">
        <v>23</v>
      </c>
      <c r="I71" s="9" t="s">
        <v>254</v>
      </c>
      <c r="J71" s="9" t="s">
        <v>41</v>
      </c>
      <c r="K71" s="9" t="s">
        <v>26</v>
      </c>
      <c r="L71" s="9" t="s">
        <v>255</v>
      </c>
      <c r="M71" s="9">
        <v>5812</v>
      </c>
      <c r="N71" s="9" t="s">
        <v>255</v>
      </c>
      <c r="O71" s="9" t="s">
        <v>1314</v>
      </c>
      <c r="P71" s="9" t="s">
        <v>1100</v>
      </c>
      <c r="Q71" s="9" t="s">
        <v>1101</v>
      </c>
    </row>
    <row r="72" spans="1:17" ht="15" customHeight="1">
      <c r="A72" s="8">
        <v>71</v>
      </c>
      <c r="B72" s="8" t="s">
        <v>1094</v>
      </c>
      <c r="C72" s="8" t="s">
        <v>1315</v>
      </c>
      <c r="D72" s="8" t="s">
        <v>1316</v>
      </c>
      <c r="E72" s="8" t="s">
        <v>21</v>
      </c>
      <c r="F72" s="8" t="s">
        <v>22</v>
      </c>
      <c r="G72" s="8">
        <v>535</v>
      </c>
      <c r="H72" s="8" t="s">
        <v>23</v>
      </c>
      <c r="I72" s="8" t="s">
        <v>56</v>
      </c>
      <c r="J72" s="8" t="s">
        <v>41</v>
      </c>
      <c r="K72" s="8" t="s">
        <v>26</v>
      </c>
      <c r="L72" s="8" t="s">
        <v>57</v>
      </c>
      <c r="M72" s="8">
        <v>5999</v>
      </c>
      <c r="N72" s="8" t="s">
        <v>57</v>
      </c>
      <c r="O72" s="8" t="s">
        <v>1317</v>
      </c>
      <c r="P72" s="8" t="s">
        <v>1100</v>
      </c>
      <c r="Q72" s="8" t="s">
        <v>1101</v>
      </c>
    </row>
    <row r="73" spans="1:17" ht="15" customHeight="1">
      <c r="A73" s="9">
        <v>72</v>
      </c>
      <c r="B73" s="9" t="s">
        <v>1094</v>
      </c>
      <c r="C73" s="9" t="s">
        <v>1318</v>
      </c>
      <c r="D73" s="9" t="s">
        <v>1319</v>
      </c>
      <c r="E73" s="9" t="s">
        <v>21</v>
      </c>
      <c r="F73" s="9" t="s">
        <v>22</v>
      </c>
      <c r="G73" s="9">
        <v>286</v>
      </c>
      <c r="H73" s="9" t="s">
        <v>23</v>
      </c>
      <c r="I73" s="9" t="s">
        <v>174</v>
      </c>
      <c r="J73" s="9" t="s">
        <v>36</v>
      </c>
      <c r="K73" s="9" t="s">
        <v>26</v>
      </c>
      <c r="L73" s="9" t="s">
        <v>175</v>
      </c>
      <c r="M73" s="9">
        <v>4813</v>
      </c>
      <c r="N73" s="9" t="s">
        <v>175</v>
      </c>
      <c r="O73" s="9" t="s">
        <v>1320</v>
      </c>
      <c r="P73" s="9" t="s">
        <v>1100</v>
      </c>
      <c r="Q73" s="9" t="s">
        <v>1101</v>
      </c>
    </row>
    <row r="74" spans="1:17" ht="15" customHeight="1">
      <c r="A74" s="8">
        <v>73</v>
      </c>
      <c r="B74" s="8" t="s">
        <v>1094</v>
      </c>
      <c r="C74" s="8" t="s">
        <v>1321</v>
      </c>
      <c r="D74" s="8" t="s">
        <v>1322</v>
      </c>
      <c r="E74" s="8" t="s">
        <v>21</v>
      </c>
      <c r="F74" s="8" t="s">
        <v>22</v>
      </c>
      <c r="G74" s="8">
        <v>326</v>
      </c>
      <c r="H74" s="8" t="s">
        <v>23</v>
      </c>
      <c r="I74" s="8" t="s">
        <v>102</v>
      </c>
      <c r="J74" s="8" t="s">
        <v>41</v>
      </c>
      <c r="K74" s="8" t="s">
        <v>26</v>
      </c>
      <c r="L74" s="8" t="s">
        <v>103</v>
      </c>
      <c r="M74" s="8">
        <v>5411</v>
      </c>
      <c r="N74" s="8" t="s">
        <v>103</v>
      </c>
      <c r="O74" s="8" t="s">
        <v>1323</v>
      </c>
      <c r="P74" s="8" t="s">
        <v>1100</v>
      </c>
      <c r="Q74" s="8" t="s">
        <v>1101</v>
      </c>
    </row>
    <row r="75" spans="1:17" ht="15" customHeight="1">
      <c r="A75" s="9">
        <v>74</v>
      </c>
      <c r="B75" s="9" t="s">
        <v>1094</v>
      </c>
      <c r="C75" s="9" t="s">
        <v>1324</v>
      </c>
      <c r="D75" s="9" t="s">
        <v>1325</v>
      </c>
      <c r="E75" s="9" t="s">
        <v>21</v>
      </c>
      <c r="F75" s="9" t="s">
        <v>22</v>
      </c>
      <c r="G75" s="9">
        <v>215</v>
      </c>
      <c r="H75" s="9" t="s">
        <v>23</v>
      </c>
      <c r="I75" s="9" t="s">
        <v>111</v>
      </c>
      <c r="J75" s="9" t="s">
        <v>41</v>
      </c>
      <c r="K75" s="9" t="s">
        <v>26</v>
      </c>
      <c r="L75" s="9" t="s">
        <v>112</v>
      </c>
      <c r="M75" s="9">
        <v>5541</v>
      </c>
      <c r="N75" s="9" t="s">
        <v>112</v>
      </c>
      <c r="O75" s="9" t="s">
        <v>1326</v>
      </c>
      <c r="P75" s="9" t="s">
        <v>1100</v>
      </c>
      <c r="Q75" s="9" t="s">
        <v>1101</v>
      </c>
    </row>
    <row r="76" spans="1:17" ht="15" customHeight="1">
      <c r="A76" s="8">
        <v>75</v>
      </c>
      <c r="B76" s="8" t="s">
        <v>1094</v>
      </c>
      <c r="C76" s="8" t="s">
        <v>1327</v>
      </c>
      <c r="D76" s="8" t="s">
        <v>1328</v>
      </c>
      <c r="E76" s="8" t="s">
        <v>21</v>
      </c>
      <c r="F76" s="8" t="s">
        <v>22</v>
      </c>
      <c r="G76" s="8">
        <v>326</v>
      </c>
      <c r="H76" s="8" t="s">
        <v>23</v>
      </c>
      <c r="I76" s="8" t="s">
        <v>379</v>
      </c>
      <c r="J76" s="8" t="s">
        <v>41</v>
      </c>
      <c r="K76" s="8" t="s">
        <v>26</v>
      </c>
      <c r="L76" s="8" t="s">
        <v>380</v>
      </c>
      <c r="M76" s="8">
        <v>5411</v>
      </c>
      <c r="N76" s="8" t="s">
        <v>380</v>
      </c>
      <c r="O76" s="8" t="s">
        <v>1329</v>
      </c>
      <c r="P76" s="8" t="s">
        <v>1100</v>
      </c>
      <c r="Q76" s="8" t="s">
        <v>1101</v>
      </c>
    </row>
    <row r="77" spans="1:17" ht="15" customHeight="1">
      <c r="A77" s="9">
        <v>76</v>
      </c>
      <c r="B77" s="9" t="s">
        <v>1094</v>
      </c>
      <c r="C77" s="9" t="s">
        <v>1330</v>
      </c>
      <c r="D77" s="9" t="s">
        <v>1331</v>
      </c>
      <c r="E77" s="9" t="s">
        <v>21</v>
      </c>
      <c r="F77" s="9" t="s">
        <v>22</v>
      </c>
      <c r="G77" s="9">
        <v>381</v>
      </c>
      <c r="H77" s="9" t="s">
        <v>23</v>
      </c>
      <c r="I77" s="9" t="s">
        <v>212</v>
      </c>
      <c r="J77" s="9" t="s">
        <v>25</v>
      </c>
      <c r="K77" s="9" t="s">
        <v>26</v>
      </c>
      <c r="L77" s="9" t="s">
        <v>213</v>
      </c>
      <c r="M77" s="9">
        <v>5999</v>
      </c>
      <c r="N77" s="9" t="s">
        <v>213</v>
      </c>
      <c r="O77" s="9" t="s">
        <v>1332</v>
      </c>
      <c r="P77" s="9" t="s">
        <v>1100</v>
      </c>
      <c r="Q77" s="9" t="s">
        <v>1101</v>
      </c>
    </row>
    <row r="78" spans="1:17" ht="15" customHeight="1">
      <c r="A78" s="8">
        <v>77</v>
      </c>
      <c r="B78" s="8" t="s">
        <v>1094</v>
      </c>
      <c r="C78" s="8" t="s">
        <v>1333</v>
      </c>
      <c r="D78" s="8" t="s">
        <v>1334</v>
      </c>
      <c r="E78" s="8" t="s">
        <v>21</v>
      </c>
      <c r="F78" s="8" t="s">
        <v>22</v>
      </c>
      <c r="G78" s="8">
        <v>465</v>
      </c>
      <c r="H78" s="8" t="s">
        <v>23</v>
      </c>
      <c r="I78" s="8" t="s">
        <v>198</v>
      </c>
      <c r="J78" s="8" t="s">
        <v>36</v>
      </c>
      <c r="K78" s="8" t="s">
        <v>26</v>
      </c>
      <c r="L78" s="8" t="s">
        <v>199</v>
      </c>
      <c r="M78" s="8">
        <v>4900</v>
      </c>
      <c r="N78" s="8" t="s">
        <v>199</v>
      </c>
      <c r="O78" s="8" t="s">
        <v>1335</v>
      </c>
      <c r="P78" s="8" t="s">
        <v>1100</v>
      </c>
      <c r="Q78" s="8" t="s">
        <v>1101</v>
      </c>
    </row>
    <row r="79" spans="1:17" ht="15" customHeight="1">
      <c r="A79" s="9">
        <v>78</v>
      </c>
      <c r="B79" s="9" t="s">
        <v>1094</v>
      </c>
      <c r="C79" s="9" t="s">
        <v>1336</v>
      </c>
      <c r="D79" s="9" t="s">
        <v>1337</v>
      </c>
      <c r="E79" s="9" t="s">
        <v>21</v>
      </c>
      <c r="F79" s="9" t="s">
        <v>22</v>
      </c>
      <c r="G79" s="9">
        <v>326</v>
      </c>
      <c r="H79" s="9" t="s">
        <v>23</v>
      </c>
      <c r="I79" s="9" t="s">
        <v>244</v>
      </c>
      <c r="J79" s="9" t="s">
        <v>41</v>
      </c>
      <c r="K79" s="9" t="s">
        <v>26</v>
      </c>
      <c r="L79" s="9" t="s">
        <v>245</v>
      </c>
      <c r="M79" s="9">
        <v>5411</v>
      </c>
      <c r="N79" s="9" t="s">
        <v>245</v>
      </c>
      <c r="O79" s="9" t="s">
        <v>1338</v>
      </c>
      <c r="P79" s="9" t="s">
        <v>1100</v>
      </c>
      <c r="Q79" s="9" t="s">
        <v>1101</v>
      </c>
    </row>
    <row r="80" spans="1:17" ht="15" customHeight="1">
      <c r="A80" s="8">
        <v>79</v>
      </c>
      <c r="B80" s="8" t="s">
        <v>1094</v>
      </c>
      <c r="C80" s="8" t="s">
        <v>1339</v>
      </c>
      <c r="D80" s="8" t="s">
        <v>1340</v>
      </c>
      <c r="E80" s="8" t="s">
        <v>21</v>
      </c>
      <c r="F80" s="8" t="s">
        <v>22</v>
      </c>
      <c r="G80" s="8">
        <v>132</v>
      </c>
      <c r="H80" s="8" t="s">
        <v>23</v>
      </c>
      <c r="I80" s="8" t="s">
        <v>74</v>
      </c>
      <c r="J80" s="8" t="s">
        <v>41</v>
      </c>
      <c r="K80" s="8" t="s">
        <v>26</v>
      </c>
      <c r="L80" s="8" t="s">
        <v>75</v>
      </c>
      <c r="M80" s="8">
        <v>5812</v>
      </c>
      <c r="N80" s="8" t="s">
        <v>75</v>
      </c>
      <c r="O80" s="8" t="s">
        <v>1341</v>
      </c>
      <c r="P80" s="8" t="s">
        <v>1100</v>
      </c>
      <c r="Q80" s="8" t="s">
        <v>1101</v>
      </c>
    </row>
    <row r="81" spans="1:17" ht="15" customHeight="1">
      <c r="A81" s="9">
        <v>80</v>
      </c>
      <c r="B81" s="9" t="s">
        <v>1094</v>
      </c>
      <c r="C81" s="9" t="s">
        <v>1342</v>
      </c>
      <c r="D81" s="9" t="s">
        <v>1343</v>
      </c>
      <c r="E81" s="9" t="s">
        <v>94</v>
      </c>
      <c r="F81" s="9" t="s">
        <v>22</v>
      </c>
      <c r="G81" s="9">
        <v>3800</v>
      </c>
      <c r="H81" s="9" t="s">
        <v>23</v>
      </c>
      <c r="I81" s="9" t="s">
        <v>1132</v>
      </c>
      <c r="J81" s="9" t="s">
        <v>96</v>
      </c>
      <c r="K81" s="9" t="s">
        <v>97</v>
      </c>
      <c r="L81" s="9" t="s">
        <v>1133</v>
      </c>
      <c r="M81" s="9"/>
      <c r="N81" s="9" t="s">
        <v>1133</v>
      </c>
      <c r="O81" s="9" t="s">
        <v>1344</v>
      </c>
      <c r="P81" s="9" t="s">
        <v>1100</v>
      </c>
      <c r="Q81" s="9" t="s">
        <v>1101</v>
      </c>
    </row>
    <row r="82" spans="1:17" ht="15" customHeight="1">
      <c r="A82" s="8">
        <v>81</v>
      </c>
      <c r="B82" s="8" t="s">
        <v>1094</v>
      </c>
      <c r="C82" s="8" t="s">
        <v>1345</v>
      </c>
      <c r="D82" s="8" t="s">
        <v>1346</v>
      </c>
      <c r="E82" s="8" t="s">
        <v>21</v>
      </c>
      <c r="F82" s="8" t="s">
        <v>22</v>
      </c>
      <c r="G82" s="8">
        <v>800</v>
      </c>
      <c r="H82" s="8" t="s">
        <v>23</v>
      </c>
      <c r="I82" s="8" t="s">
        <v>1097</v>
      </c>
      <c r="J82" s="8" t="s">
        <v>36</v>
      </c>
      <c r="K82" s="8" t="s">
        <v>26</v>
      </c>
      <c r="L82" s="8" t="s">
        <v>1098</v>
      </c>
      <c r="M82" s="8">
        <v>6012</v>
      </c>
      <c r="N82" s="8" t="s">
        <v>1098</v>
      </c>
      <c r="O82" s="8" t="s">
        <v>1347</v>
      </c>
      <c r="P82" s="8" t="s">
        <v>1100</v>
      </c>
      <c r="Q82" s="8" t="s">
        <v>1101</v>
      </c>
    </row>
    <row r="83" spans="1:17" ht="15" customHeight="1">
      <c r="A83" s="9">
        <v>82</v>
      </c>
      <c r="B83" s="9" t="s">
        <v>1094</v>
      </c>
      <c r="C83" s="9" t="s">
        <v>1348</v>
      </c>
      <c r="D83" s="9" t="s">
        <v>1349</v>
      </c>
      <c r="E83" s="9" t="s">
        <v>21</v>
      </c>
      <c r="F83" s="9" t="s">
        <v>22</v>
      </c>
      <c r="G83" s="9">
        <v>584</v>
      </c>
      <c r="H83" s="9" t="s">
        <v>23</v>
      </c>
      <c r="I83" s="9" t="s">
        <v>244</v>
      </c>
      <c r="J83" s="9" t="s">
        <v>41</v>
      </c>
      <c r="K83" s="9" t="s">
        <v>26</v>
      </c>
      <c r="L83" s="9" t="s">
        <v>245</v>
      </c>
      <c r="M83" s="9">
        <v>5411</v>
      </c>
      <c r="N83" s="9" t="s">
        <v>245</v>
      </c>
      <c r="O83" s="9" t="s">
        <v>1350</v>
      </c>
      <c r="P83" s="9" t="s">
        <v>1100</v>
      </c>
      <c r="Q83" s="9" t="s">
        <v>1101</v>
      </c>
    </row>
    <row r="84" spans="1:17" ht="15" customHeight="1">
      <c r="A84" s="8">
        <v>83</v>
      </c>
      <c r="B84" s="8" t="s">
        <v>1094</v>
      </c>
      <c r="C84" s="8" t="s">
        <v>1351</v>
      </c>
      <c r="D84" s="8" t="s">
        <v>1352</v>
      </c>
      <c r="E84" s="8" t="s">
        <v>21</v>
      </c>
      <c r="F84" s="8" t="s">
        <v>22</v>
      </c>
      <c r="G84" s="8">
        <v>725</v>
      </c>
      <c r="H84" s="8" t="s">
        <v>23</v>
      </c>
      <c r="I84" s="8" t="s">
        <v>108</v>
      </c>
      <c r="J84" s="8" t="s">
        <v>41</v>
      </c>
      <c r="K84" s="8" t="s">
        <v>26</v>
      </c>
      <c r="L84" s="8" t="s">
        <v>57</v>
      </c>
      <c r="M84" s="8">
        <v>5999</v>
      </c>
      <c r="N84" s="8" t="s">
        <v>57</v>
      </c>
      <c r="O84" s="8" t="s">
        <v>1353</v>
      </c>
      <c r="P84" s="8" t="s">
        <v>1100</v>
      </c>
      <c r="Q84" s="8" t="s">
        <v>1101</v>
      </c>
    </row>
    <row r="85" spans="1:17" ht="15" customHeight="1">
      <c r="A85" s="9">
        <v>84</v>
      </c>
      <c r="B85" s="9" t="s">
        <v>1094</v>
      </c>
      <c r="C85" s="9" t="s">
        <v>1354</v>
      </c>
      <c r="D85" s="9" t="s">
        <v>1355</v>
      </c>
      <c r="E85" s="9" t="s">
        <v>21</v>
      </c>
      <c r="F85" s="9" t="s">
        <v>22</v>
      </c>
      <c r="G85" s="9">
        <v>445</v>
      </c>
      <c r="H85" s="9" t="s">
        <v>23</v>
      </c>
      <c r="I85" s="9" t="s">
        <v>866</v>
      </c>
      <c r="J85" s="9" t="s">
        <v>25</v>
      </c>
      <c r="K85" s="9" t="s">
        <v>26</v>
      </c>
      <c r="L85" s="9" t="s">
        <v>867</v>
      </c>
      <c r="M85" s="9">
        <v>5999</v>
      </c>
      <c r="N85" s="9" t="s">
        <v>867</v>
      </c>
      <c r="O85" s="9" t="s">
        <v>1356</v>
      </c>
      <c r="P85" s="9" t="s">
        <v>1100</v>
      </c>
      <c r="Q85" s="9" t="s">
        <v>1101</v>
      </c>
    </row>
    <row r="86" spans="1:17" ht="15" customHeight="1">
      <c r="A86" s="8">
        <v>85</v>
      </c>
      <c r="B86" s="8" t="s">
        <v>1094</v>
      </c>
      <c r="C86" s="8" t="s">
        <v>1357</v>
      </c>
      <c r="D86" s="8" t="s">
        <v>1358</v>
      </c>
      <c r="E86" s="8" t="s">
        <v>21</v>
      </c>
      <c r="F86" s="8" t="s">
        <v>22</v>
      </c>
      <c r="G86" s="8">
        <v>658</v>
      </c>
      <c r="H86" s="8" t="s">
        <v>23</v>
      </c>
      <c r="I86" s="8" t="s">
        <v>56</v>
      </c>
      <c r="J86" s="8" t="s">
        <v>41</v>
      </c>
      <c r="K86" s="8" t="s">
        <v>26</v>
      </c>
      <c r="L86" s="8" t="s">
        <v>57</v>
      </c>
      <c r="M86" s="8">
        <v>5999</v>
      </c>
      <c r="N86" s="8" t="s">
        <v>57</v>
      </c>
      <c r="O86" s="8" t="s">
        <v>1359</v>
      </c>
      <c r="P86" s="8" t="s">
        <v>1100</v>
      </c>
      <c r="Q86" s="8" t="s">
        <v>1101</v>
      </c>
    </row>
    <row r="87" spans="1:17" ht="15" customHeight="1">
      <c r="A87" s="9">
        <v>86</v>
      </c>
      <c r="B87" s="9" t="s">
        <v>1094</v>
      </c>
      <c r="C87" s="9" t="s">
        <v>1360</v>
      </c>
      <c r="D87" s="9" t="s">
        <v>1361</v>
      </c>
      <c r="E87" s="9" t="s">
        <v>21</v>
      </c>
      <c r="F87" s="9" t="s">
        <v>22</v>
      </c>
      <c r="G87" s="9">
        <v>329</v>
      </c>
      <c r="H87" s="9" t="s">
        <v>23</v>
      </c>
      <c r="I87" s="9" t="s">
        <v>174</v>
      </c>
      <c r="J87" s="9" t="s">
        <v>36</v>
      </c>
      <c r="K87" s="9" t="s">
        <v>26</v>
      </c>
      <c r="L87" s="9" t="s">
        <v>175</v>
      </c>
      <c r="M87" s="9">
        <v>4813</v>
      </c>
      <c r="N87" s="9" t="s">
        <v>175</v>
      </c>
      <c r="O87" s="9" t="s">
        <v>1362</v>
      </c>
      <c r="P87" s="9" t="s">
        <v>1100</v>
      </c>
      <c r="Q87" s="9" t="s">
        <v>1101</v>
      </c>
    </row>
    <row r="88" spans="1:17" ht="15" customHeight="1">
      <c r="A88" s="8">
        <v>87</v>
      </c>
      <c r="B88" s="8" t="s">
        <v>1094</v>
      </c>
      <c r="C88" s="8" t="s">
        <v>1363</v>
      </c>
      <c r="D88" s="8" t="s">
        <v>1364</v>
      </c>
      <c r="E88" s="8" t="s">
        <v>21</v>
      </c>
      <c r="F88" s="8" t="s">
        <v>22</v>
      </c>
      <c r="G88" s="8">
        <v>327</v>
      </c>
      <c r="H88" s="8" t="s">
        <v>23</v>
      </c>
      <c r="I88" s="8" t="s">
        <v>340</v>
      </c>
      <c r="J88" s="8" t="s">
        <v>41</v>
      </c>
      <c r="K88" s="8" t="s">
        <v>26</v>
      </c>
      <c r="L88" s="8" t="s">
        <v>341</v>
      </c>
      <c r="M88" s="8">
        <v>5812</v>
      </c>
      <c r="N88" s="8" t="s">
        <v>341</v>
      </c>
      <c r="O88" s="8" t="s">
        <v>1365</v>
      </c>
      <c r="P88" s="8" t="s">
        <v>1100</v>
      </c>
      <c r="Q88" s="8" t="s">
        <v>1101</v>
      </c>
    </row>
    <row r="89" spans="1:17" ht="15" customHeight="1">
      <c r="A89" s="9">
        <v>88</v>
      </c>
      <c r="B89" s="9" t="s">
        <v>1094</v>
      </c>
      <c r="C89" s="9" t="s">
        <v>1366</v>
      </c>
      <c r="D89" s="9" t="s">
        <v>1367</v>
      </c>
      <c r="E89" s="9" t="s">
        <v>94</v>
      </c>
      <c r="F89" s="9" t="s">
        <v>22</v>
      </c>
      <c r="G89" s="9">
        <v>4600</v>
      </c>
      <c r="H89" s="9" t="s">
        <v>23</v>
      </c>
      <c r="I89" s="9" t="s">
        <v>1132</v>
      </c>
      <c r="J89" s="9" t="s">
        <v>96</v>
      </c>
      <c r="K89" s="9" t="s">
        <v>97</v>
      </c>
      <c r="L89" s="9" t="s">
        <v>1133</v>
      </c>
      <c r="M89" s="9"/>
      <c r="N89" s="9" t="s">
        <v>1133</v>
      </c>
      <c r="O89" s="9" t="s">
        <v>1368</v>
      </c>
      <c r="P89" s="9" t="s">
        <v>1100</v>
      </c>
      <c r="Q89" s="9" t="s">
        <v>1101</v>
      </c>
    </row>
    <row r="90" spans="1:17" ht="15" customHeight="1">
      <c r="A90" s="8">
        <v>89</v>
      </c>
      <c r="B90" s="8" t="s">
        <v>1094</v>
      </c>
      <c r="C90" s="8" t="s">
        <v>1369</v>
      </c>
      <c r="D90" s="8" t="s">
        <v>1370</v>
      </c>
      <c r="E90" s="8" t="s">
        <v>21</v>
      </c>
      <c r="F90" s="8" t="s">
        <v>22</v>
      </c>
      <c r="G90" s="8">
        <v>448</v>
      </c>
      <c r="H90" s="8" t="s">
        <v>23</v>
      </c>
      <c r="I90" s="8" t="s">
        <v>90</v>
      </c>
      <c r="J90" s="8" t="s">
        <v>36</v>
      </c>
      <c r="K90" s="8" t="s">
        <v>26</v>
      </c>
      <c r="L90" s="8" t="s">
        <v>91</v>
      </c>
      <c r="M90" s="8">
        <v>4900</v>
      </c>
      <c r="N90" s="8" t="s">
        <v>91</v>
      </c>
      <c r="O90" s="8" t="s">
        <v>1371</v>
      </c>
      <c r="P90" s="8" t="s">
        <v>1100</v>
      </c>
      <c r="Q90" s="8" t="s">
        <v>1101</v>
      </c>
    </row>
    <row r="91" spans="1:17" ht="15" customHeight="1">
      <c r="A91" s="9">
        <v>90</v>
      </c>
      <c r="B91" s="9" t="s">
        <v>1094</v>
      </c>
      <c r="C91" s="9" t="s">
        <v>1372</v>
      </c>
      <c r="D91" s="9" t="s">
        <v>1373</v>
      </c>
      <c r="E91" s="9" t="s">
        <v>21</v>
      </c>
      <c r="F91" s="9" t="s">
        <v>22</v>
      </c>
      <c r="G91" s="9">
        <v>584</v>
      </c>
      <c r="H91" s="9" t="s">
        <v>23</v>
      </c>
      <c r="I91" s="9" t="s">
        <v>82</v>
      </c>
      <c r="J91" s="9" t="s">
        <v>41</v>
      </c>
      <c r="K91" s="9" t="s">
        <v>26</v>
      </c>
      <c r="L91" s="9" t="s">
        <v>83</v>
      </c>
      <c r="M91" s="9">
        <v>5411</v>
      </c>
      <c r="N91" s="9" t="s">
        <v>83</v>
      </c>
      <c r="O91" s="9" t="s">
        <v>1374</v>
      </c>
      <c r="P91" s="9" t="s">
        <v>1100</v>
      </c>
      <c r="Q91" s="9" t="s">
        <v>1101</v>
      </c>
    </row>
    <row r="92" spans="1:17" ht="15" customHeight="1">
      <c r="A92" s="8">
        <v>91</v>
      </c>
      <c r="B92" s="8" t="s">
        <v>1094</v>
      </c>
      <c r="C92" s="8" t="s">
        <v>1375</v>
      </c>
      <c r="D92" s="8" t="s">
        <v>1376</v>
      </c>
      <c r="E92" s="8" t="s">
        <v>21</v>
      </c>
      <c r="F92" s="8" t="s">
        <v>22</v>
      </c>
      <c r="G92" s="8">
        <v>800</v>
      </c>
      <c r="H92" s="8" t="s">
        <v>23</v>
      </c>
      <c r="I92" s="8" t="s">
        <v>1097</v>
      </c>
      <c r="J92" s="8" t="s">
        <v>36</v>
      </c>
      <c r="K92" s="8" t="s">
        <v>26</v>
      </c>
      <c r="L92" s="8" t="s">
        <v>1098</v>
      </c>
      <c r="M92" s="8">
        <v>6012</v>
      </c>
      <c r="N92" s="8" t="s">
        <v>1098</v>
      </c>
      <c r="O92" s="8" t="s">
        <v>1377</v>
      </c>
      <c r="P92" s="8" t="s">
        <v>1100</v>
      </c>
      <c r="Q92" s="8" t="s">
        <v>1101</v>
      </c>
    </row>
    <row r="93" spans="1:17" ht="15" customHeight="1">
      <c r="A93" s="9">
        <v>92</v>
      </c>
      <c r="B93" s="9" t="s">
        <v>1094</v>
      </c>
      <c r="C93" s="9" t="s">
        <v>1378</v>
      </c>
      <c r="D93" s="9" t="s">
        <v>1379</v>
      </c>
      <c r="E93" s="9" t="s">
        <v>21</v>
      </c>
      <c r="F93" s="9" t="s">
        <v>22</v>
      </c>
      <c r="G93" s="9">
        <v>405</v>
      </c>
      <c r="H93" s="9" t="s">
        <v>23</v>
      </c>
      <c r="I93" s="9" t="s">
        <v>498</v>
      </c>
      <c r="J93" s="9" t="s">
        <v>36</v>
      </c>
      <c r="K93" s="9" t="s">
        <v>26</v>
      </c>
      <c r="L93" s="9" t="s">
        <v>499</v>
      </c>
      <c r="M93" s="9">
        <v>4900</v>
      </c>
      <c r="N93" s="9" t="s">
        <v>499</v>
      </c>
      <c r="O93" s="9" t="s">
        <v>1380</v>
      </c>
      <c r="P93" s="9" t="s">
        <v>1100</v>
      </c>
      <c r="Q93" s="9" t="s">
        <v>1101</v>
      </c>
    </row>
    <row r="94" spans="1:17" ht="15" customHeight="1">
      <c r="A94" s="8">
        <v>93</v>
      </c>
      <c r="B94" s="8" t="s">
        <v>1094</v>
      </c>
      <c r="C94" s="8" t="s">
        <v>1381</v>
      </c>
      <c r="D94" s="8" t="s">
        <v>1382</v>
      </c>
      <c r="E94" s="8" t="s">
        <v>21</v>
      </c>
      <c r="F94" s="8" t="s">
        <v>22</v>
      </c>
      <c r="G94" s="8">
        <v>1390</v>
      </c>
      <c r="H94" s="8" t="s">
        <v>23</v>
      </c>
      <c r="I94" s="8" t="s">
        <v>56</v>
      </c>
      <c r="J94" s="8" t="s">
        <v>41</v>
      </c>
      <c r="K94" s="8" t="s">
        <v>26</v>
      </c>
      <c r="L94" s="8" t="s">
        <v>57</v>
      </c>
      <c r="M94" s="8">
        <v>5999</v>
      </c>
      <c r="N94" s="8" t="s">
        <v>57</v>
      </c>
      <c r="O94" s="8" t="s">
        <v>1383</v>
      </c>
      <c r="P94" s="8" t="s">
        <v>1100</v>
      </c>
      <c r="Q94" s="8" t="s">
        <v>1101</v>
      </c>
    </row>
    <row r="95" spans="1:17" ht="15" customHeight="1">
      <c r="A95" s="9">
        <v>94</v>
      </c>
      <c r="B95" s="9" t="s">
        <v>1094</v>
      </c>
      <c r="C95" s="9" t="s">
        <v>1384</v>
      </c>
      <c r="D95" s="9" t="s">
        <v>1385</v>
      </c>
      <c r="E95" s="9" t="s">
        <v>21</v>
      </c>
      <c r="F95" s="9" t="s">
        <v>22</v>
      </c>
      <c r="G95" s="9">
        <v>236</v>
      </c>
      <c r="H95" s="9" t="s">
        <v>23</v>
      </c>
      <c r="I95" s="9" t="s">
        <v>123</v>
      </c>
      <c r="J95" s="9" t="s">
        <v>41</v>
      </c>
      <c r="K95" s="9" t="s">
        <v>26</v>
      </c>
      <c r="L95" s="9" t="s">
        <v>124</v>
      </c>
      <c r="M95" s="9">
        <v>5541</v>
      </c>
      <c r="N95" s="9" t="s">
        <v>124</v>
      </c>
      <c r="O95" s="9" t="s">
        <v>1386</v>
      </c>
      <c r="P95" s="9" t="s">
        <v>1100</v>
      </c>
      <c r="Q95" s="9" t="s">
        <v>1101</v>
      </c>
    </row>
    <row r="96" spans="1:17" ht="15" customHeight="1">
      <c r="A96" s="8">
        <v>95</v>
      </c>
      <c r="B96" s="8" t="s">
        <v>1094</v>
      </c>
      <c r="C96" s="8" t="s">
        <v>1387</v>
      </c>
      <c r="D96" s="8" t="s">
        <v>1388</v>
      </c>
      <c r="E96" s="8" t="s">
        <v>21</v>
      </c>
      <c r="F96" s="8" t="s">
        <v>22</v>
      </c>
      <c r="G96" s="8">
        <v>264</v>
      </c>
      <c r="H96" s="8" t="s">
        <v>23</v>
      </c>
      <c r="I96" s="8" t="s">
        <v>217</v>
      </c>
      <c r="J96" s="8" t="s">
        <v>41</v>
      </c>
      <c r="K96" s="8" t="s">
        <v>26</v>
      </c>
      <c r="L96" s="8" t="s">
        <v>218</v>
      </c>
      <c r="M96" s="8">
        <v>5812</v>
      </c>
      <c r="N96" s="8" t="s">
        <v>218</v>
      </c>
      <c r="O96" s="8" t="s">
        <v>1389</v>
      </c>
      <c r="P96" s="8" t="s">
        <v>1100</v>
      </c>
      <c r="Q96" s="8" t="s">
        <v>1101</v>
      </c>
    </row>
    <row r="97" spans="1:17" ht="15" customHeight="1">
      <c r="A97" s="9">
        <v>96</v>
      </c>
      <c r="B97" s="9" t="s">
        <v>1094</v>
      </c>
      <c r="C97" s="9" t="s">
        <v>1390</v>
      </c>
      <c r="D97" s="9" t="s">
        <v>1391</v>
      </c>
      <c r="E97" s="9" t="s">
        <v>21</v>
      </c>
      <c r="F97" s="9" t="s">
        <v>22</v>
      </c>
      <c r="G97" s="9">
        <v>257</v>
      </c>
      <c r="H97" s="9" t="s">
        <v>23</v>
      </c>
      <c r="I97" s="9" t="s">
        <v>351</v>
      </c>
      <c r="J97" s="9" t="s">
        <v>36</v>
      </c>
      <c r="K97" s="9" t="s">
        <v>26</v>
      </c>
      <c r="L97" s="9" t="s">
        <v>352</v>
      </c>
      <c r="M97" s="9">
        <v>4813</v>
      </c>
      <c r="N97" s="9" t="s">
        <v>352</v>
      </c>
      <c r="O97" s="9" t="s">
        <v>1392</v>
      </c>
      <c r="P97" s="9" t="s">
        <v>1100</v>
      </c>
      <c r="Q97" s="9" t="s">
        <v>1101</v>
      </c>
    </row>
    <row r="98" spans="1:17" ht="15" customHeight="1">
      <c r="A98" s="8">
        <v>97</v>
      </c>
      <c r="B98" s="8" t="s">
        <v>1094</v>
      </c>
      <c r="C98" s="8" t="s">
        <v>1393</v>
      </c>
      <c r="D98" s="8" t="s">
        <v>1394</v>
      </c>
      <c r="E98" s="8" t="s">
        <v>21</v>
      </c>
      <c r="F98" s="8" t="s">
        <v>22</v>
      </c>
      <c r="G98" s="8">
        <v>574</v>
      </c>
      <c r="H98" s="8" t="s">
        <v>23</v>
      </c>
      <c r="I98" s="8" t="s">
        <v>244</v>
      </c>
      <c r="J98" s="8" t="s">
        <v>41</v>
      </c>
      <c r="K98" s="8" t="s">
        <v>26</v>
      </c>
      <c r="L98" s="8" t="s">
        <v>245</v>
      </c>
      <c r="M98" s="8">
        <v>5411</v>
      </c>
      <c r="N98" s="8" t="s">
        <v>245</v>
      </c>
      <c r="O98" s="8" t="s">
        <v>1395</v>
      </c>
      <c r="P98" s="8" t="s">
        <v>1100</v>
      </c>
      <c r="Q98" s="8" t="s">
        <v>1101</v>
      </c>
    </row>
    <row r="99" spans="1:17" ht="15" customHeight="1">
      <c r="A99" s="9">
        <v>98</v>
      </c>
      <c r="B99" s="9" t="s">
        <v>1094</v>
      </c>
      <c r="C99" s="9" t="s">
        <v>1396</v>
      </c>
      <c r="D99" s="9" t="s">
        <v>1397</v>
      </c>
      <c r="E99" s="9" t="s">
        <v>94</v>
      </c>
      <c r="F99" s="9" t="s">
        <v>22</v>
      </c>
      <c r="G99" s="9">
        <v>4100</v>
      </c>
      <c r="H99" s="9" t="s">
        <v>23</v>
      </c>
      <c r="I99" s="9" t="s">
        <v>1132</v>
      </c>
      <c r="J99" s="9" t="s">
        <v>96</v>
      </c>
      <c r="K99" s="9" t="s">
        <v>97</v>
      </c>
      <c r="L99" s="9" t="s">
        <v>1133</v>
      </c>
      <c r="M99" s="9"/>
      <c r="N99" s="9" t="s">
        <v>1133</v>
      </c>
      <c r="O99" s="9" t="s">
        <v>1398</v>
      </c>
      <c r="P99" s="9" t="s">
        <v>1100</v>
      </c>
      <c r="Q99" s="9" t="s">
        <v>1101</v>
      </c>
    </row>
    <row r="100" spans="1:17" ht="15" customHeight="1">
      <c r="A100" s="8">
        <v>99</v>
      </c>
      <c r="B100" s="8" t="s">
        <v>1094</v>
      </c>
      <c r="C100" s="8" t="s">
        <v>1399</v>
      </c>
      <c r="D100" s="8" t="s">
        <v>1400</v>
      </c>
      <c r="E100" s="8" t="s">
        <v>21</v>
      </c>
      <c r="F100" s="8" t="s">
        <v>22</v>
      </c>
      <c r="G100" s="8">
        <v>574</v>
      </c>
      <c r="H100" s="8" t="s">
        <v>23</v>
      </c>
      <c r="I100" s="8" t="s">
        <v>379</v>
      </c>
      <c r="J100" s="8" t="s">
        <v>41</v>
      </c>
      <c r="K100" s="8" t="s">
        <v>26</v>
      </c>
      <c r="L100" s="8" t="s">
        <v>380</v>
      </c>
      <c r="M100" s="8">
        <v>5411</v>
      </c>
      <c r="N100" s="8" t="s">
        <v>380</v>
      </c>
      <c r="O100" s="8" t="s">
        <v>1401</v>
      </c>
      <c r="P100" s="8" t="s">
        <v>1100</v>
      </c>
      <c r="Q100" s="8" t="s">
        <v>1101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3" style="5" customWidth="1"/>
    <col min="13" max="13" width="22" style="5" customWidth="1"/>
    <col min="14" max="14" width="23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1402</v>
      </c>
      <c r="T1" s="4"/>
      <c r="U1" s="4"/>
      <c r="V1" s="4"/>
      <c r="W1" s="4"/>
    </row>
    <row r="2" spans="1:23" ht="13.5" customHeight="1">
      <c r="A2" s="8">
        <v>1</v>
      </c>
      <c r="B2" s="8" t="s">
        <v>1403</v>
      </c>
      <c r="C2" s="8" t="s">
        <v>1404</v>
      </c>
      <c r="D2" s="8" t="s">
        <v>1405</v>
      </c>
      <c r="E2" s="8" t="s">
        <v>21</v>
      </c>
      <c r="F2" s="8" t="s">
        <v>22</v>
      </c>
      <c r="G2" s="8">
        <v>1000</v>
      </c>
      <c r="H2" s="8" t="s">
        <v>23</v>
      </c>
      <c r="I2" s="8" t="s">
        <v>1406</v>
      </c>
      <c r="J2" s="8" t="s">
        <v>36</v>
      </c>
      <c r="K2" s="8" t="s">
        <v>26</v>
      </c>
      <c r="L2" s="8" t="s">
        <v>1407</v>
      </c>
      <c r="M2" s="8">
        <v>6012</v>
      </c>
      <c r="N2" s="8" t="s">
        <v>1407</v>
      </c>
      <c r="O2" s="8" t="s">
        <v>1408</v>
      </c>
      <c r="P2" s="8" t="s">
        <v>1409</v>
      </c>
      <c r="Q2" s="8" t="s">
        <v>1410</v>
      </c>
      <c r="R2" s="7"/>
      <c r="S2" s="3" t="s">
        <v>1411</v>
      </c>
      <c r="T2" s="3"/>
      <c r="U2" s="3"/>
      <c r="V2" s="3"/>
      <c r="W2" s="3"/>
    </row>
    <row r="3" spans="1:23" ht="3.75" customHeight="1">
      <c r="A3" s="9">
        <v>2</v>
      </c>
      <c r="B3" s="9" t="s">
        <v>1403</v>
      </c>
      <c r="C3" s="9" t="s">
        <v>1412</v>
      </c>
      <c r="D3" s="9" t="s">
        <v>1413</v>
      </c>
      <c r="E3" s="9" t="s">
        <v>21</v>
      </c>
      <c r="F3" s="9" t="s">
        <v>22</v>
      </c>
      <c r="G3" s="9">
        <v>247</v>
      </c>
      <c r="H3" s="9" t="s">
        <v>23</v>
      </c>
      <c r="I3" s="9" t="s">
        <v>351</v>
      </c>
      <c r="J3" s="9" t="s">
        <v>36</v>
      </c>
      <c r="K3" s="9" t="s">
        <v>26</v>
      </c>
      <c r="L3" s="9" t="s">
        <v>352</v>
      </c>
      <c r="M3" s="9">
        <v>4813</v>
      </c>
      <c r="N3" s="9" t="s">
        <v>352</v>
      </c>
      <c r="O3" s="9" t="s">
        <v>1414</v>
      </c>
      <c r="P3" s="9" t="s">
        <v>1409</v>
      </c>
      <c r="Q3" s="9" t="s">
        <v>1410</v>
      </c>
      <c r="R3" s="7"/>
    </row>
    <row r="4" spans="1:23" ht="15" customHeight="1">
      <c r="A4" s="8">
        <v>3</v>
      </c>
      <c r="B4" s="8" t="s">
        <v>1403</v>
      </c>
      <c r="C4" s="8" t="s">
        <v>1415</v>
      </c>
      <c r="D4" s="8" t="s">
        <v>1416</v>
      </c>
      <c r="E4" s="8" t="s">
        <v>21</v>
      </c>
      <c r="F4" s="8" t="s">
        <v>22</v>
      </c>
      <c r="G4" s="8">
        <v>315</v>
      </c>
      <c r="H4" s="8" t="s">
        <v>23</v>
      </c>
      <c r="I4" s="8" t="s">
        <v>391</v>
      </c>
      <c r="J4" s="8" t="s">
        <v>331</v>
      </c>
      <c r="K4" s="8" t="s">
        <v>26</v>
      </c>
      <c r="L4" s="8" t="s">
        <v>392</v>
      </c>
      <c r="M4" s="8">
        <v>6011</v>
      </c>
      <c r="N4" s="8" t="s">
        <v>392</v>
      </c>
      <c r="O4" s="8" t="s">
        <v>1417</v>
      </c>
      <c r="P4" s="8" t="s">
        <v>1409</v>
      </c>
      <c r="Q4" s="8" t="s">
        <v>1410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1403</v>
      </c>
      <c r="C5" s="9" t="s">
        <v>1418</v>
      </c>
      <c r="D5" s="9" t="s">
        <v>1419</v>
      </c>
      <c r="E5" s="9" t="s">
        <v>21</v>
      </c>
      <c r="F5" s="9" t="s">
        <v>22</v>
      </c>
      <c r="G5" s="9">
        <v>565</v>
      </c>
      <c r="H5" s="9" t="s">
        <v>23</v>
      </c>
      <c r="I5" s="9" t="s">
        <v>186</v>
      </c>
      <c r="J5" s="9" t="s">
        <v>41</v>
      </c>
      <c r="K5" s="9" t="s">
        <v>26</v>
      </c>
      <c r="L5" s="9" t="s">
        <v>187</v>
      </c>
      <c r="M5" s="9">
        <v>5999</v>
      </c>
      <c r="N5" s="9" t="s">
        <v>187</v>
      </c>
      <c r="O5" s="9" t="s">
        <v>1420</v>
      </c>
      <c r="P5" s="9" t="s">
        <v>1409</v>
      </c>
      <c r="Q5" s="9" t="s">
        <v>1410</v>
      </c>
      <c r="R5" s="7"/>
      <c r="S5" s="10" t="s">
        <v>48</v>
      </c>
      <c r="T5" s="11">
        <v>22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1403</v>
      </c>
      <c r="C6" s="8" t="s">
        <v>1421</v>
      </c>
      <c r="D6" s="8" t="s">
        <v>1422</v>
      </c>
      <c r="E6" s="8" t="s">
        <v>21</v>
      </c>
      <c r="F6" s="8" t="s">
        <v>22</v>
      </c>
      <c r="G6" s="8">
        <v>440</v>
      </c>
      <c r="H6" s="8" t="s">
        <v>23</v>
      </c>
      <c r="I6" s="8" t="s">
        <v>498</v>
      </c>
      <c r="J6" s="8" t="s">
        <v>36</v>
      </c>
      <c r="K6" s="8" t="s">
        <v>26</v>
      </c>
      <c r="L6" s="8" t="s">
        <v>499</v>
      </c>
      <c r="M6" s="8">
        <v>4900</v>
      </c>
      <c r="N6" s="8" t="s">
        <v>499</v>
      </c>
      <c r="O6" s="8" t="s">
        <v>1423</v>
      </c>
      <c r="P6" s="8" t="s">
        <v>1409</v>
      </c>
      <c r="Q6" s="8" t="s">
        <v>1410</v>
      </c>
      <c r="R6" s="7"/>
    </row>
    <row r="7" spans="1:23" ht="15" customHeight="1">
      <c r="A7" s="9">
        <v>6</v>
      </c>
      <c r="B7" s="9" t="s">
        <v>1403</v>
      </c>
      <c r="C7" s="9" t="s">
        <v>1424</v>
      </c>
      <c r="D7" s="9" t="s">
        <v>1425</v>
      </c>
      <c r="E7" s="9" t="s">
        <v>21</v>
      </c>
      <c r="F7" s="9" t="s">
        <v>22</v>
      </c>
      <c r="G7" s="9">
        <v>911</v>
      </c>
      <c r="H7" s="9" t="s">
        <v>23</v>
      </c>
      <c r="I7" s="9" t="s">
        <v>131</v>
      </c>
      <c r="J7" s="9" t="s">
        <v>41</v>
      </c>
      <c r="K7" s="9" t="s">
        <v>26</v>
      </c>
      <c r="L7" s="9" t="s">
        <v>132</v>
      </c>
      <c r="M7" s="9">
        <v>5411</v>
      </c>
      <c r="N7" s="9" t="s">
        <v>132</v>
      </c>
      <c r="O7" s="9" t="s">
        <v>1426</v>
      </c>
      <c r="P7" s="9" t="s">
        <v>1409</v>
      </c>
      <c r="Q7" s="9" t="s">
        <v>1410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1403</v>
      </c>
      <c r="C8" s="8" t="s">
        <v>1427</v>
      </c>
      <c r="D8" s="8" t="s">
        <v>1428</v>
      </c>
      <c r="E8" s="8" t="s">
        <v>21</v>
      </c>
      <c r="F8" s="8" t="s">
        <v>22</v>
      </c>
      <c r="G8" s="8">
        <v>139</v>
      </c>
      <c r="H8" s="8" t="s">
        <v>23</v>
      </c>
      <c r="I8" s="8" t="s">
        <v>363</v>
      </c>
      <c r="J8" s="8" t="s">
        <v>41</v>
      </c>
      <c r="K8" s="8" t="s">
        <v>26</v>
      </c>
      <c r="L8" s="8" t="s">
        <v>364</v>
      </c>
      <c r="M8" s="8">
        <v>5999</v>
      </c>
      <c r="N8" s="8" t="s">
        <v>364</v>
      </c>
      <c r="O8" s="8" t="s">
        <v>1429</v>
      </c>
      <c r="P8" s="8" t="s">
        <v>1409</v>
      </c>
      <c r="Q8" s="8" t="s">
        <v>1410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1403</v>
      </c>
      <c r="C9" s="9" t="s">
        <v>1430</v>
      </c>
      <c r="D9" s="9" t="s">
        <v>1431</v>
      </c>
      <c r="E9" s="9" t="s">
        <v>94</v>
      </c>
      <c r="F9" s="9" t="s">
        <v>22</v>
      </c>
      <c r="G9" s="9">
        <v>2900</v>
      </c>
      <c r="H9" s="9" t="s">
        <v>23</v>
      </c>
      <c r="I9" s="9" t="s">
        <v>1432</v>
      </c>
      <c r="J9" s="9" t="s">
        <v>96</v>
      </c>
      <c r="K9" s="9" t="s">
        <v>97</v>
      </c>
      <c r="L9" s="9" t="s">
        <v>1433</v>
      </c>
      <c r="M9" s="9"/>
      <c r="N9" s="9" t="s">
        <v>1433</v>
      </c>
      <c r="O9" s="9" t="s">
        <v>1434</v>
      </c>
      <c r="P9" s="9" t="s">
        <v>1409</v>
      </c>
      <c r="Q9" s="9" t="s">
        <v>1410</v>
      </c>
      <c r="R9" s="7"/>
      <c r="S9" s="15">
        <v>45901</v>
      </c>
      <c r="T9" s="16">
        <f t="shared" ref="T9:T14" si="0">IFERROR(SUMPRODUCT((LEFT($C$2:$C$54,7)=TEXT(S9,"YYYY-MM"))*($E$2:$E$54="KSAOB.Credit")*($K$2:$K$54="KSAOB.Deposit")*($G$2:$G$54)),0)</f>
        <v>2900</v>
      </c>
      <c r="U9" s="16">
        <f t="shared" ref="U9:U14" si="1">IFERROR(SUMPRODUCT((LEFT($C$2:$C$54,7)=TEXT(S9,"YYYY-MM"))*($E$2:$E$54="KSAOB.Debit")*($M$2:$M$54=6012)*($G$2:$G$54)),0)</f>
        <v>1000</v>
      </c>
      <c r="V9" s="16">
        <f t="shared" ref="V9:V14" si="2">IFERROR(SUMPRODUCT((LEFT($C$2:$C$54,7)=TEXT(S9,"YYYY-MM"))*($E$2:$E$54="KSAOB.Debit")*($M$2:$M$54&lt;&gt;6012)*($G$2:$G$54)),0)</f>
        <v>2757</v>
      </c>
      <c r="W9" s="17">
        <f t="shared" ref="W9:W14" si="3">T9-U9-V9</f>
        <v>-857</v>
      </c>
    </row>
    <row r="10" spans="1:23" ht="15" customHeight="1">
      <c r="A10" s="8">
        <v>9</v>
      </c>
      <c r="B10" s="8" t="s">
        <v>1403</v>
      </c>
      <c r="C10" s="8" t="s">
        <v>1435</v>
      </c>
      <c r="D10" s="8" t="s">
        <v>1436</v>
      </c>
      <c r="E10" s="8" t="s">
        <v>21</v>
      </c>
      <c r="F10" s="8" t="s">
        <v>22</v>
      </c>
      <c r="G10" s="8">
        <v>140</v>
      </c>
      <c r="H10" s="8" t="s">
        <v>23</v>
      </c>
      <c r="I10" s="8" t="s">
        <v>363</v>
      </c>
      <c r="J10" s="8" t="s">
        <v>41</v>
      </c>
      <c r="K10" s="8" t="s">
        <v>26</v>
      </c>
      <c r="L10" s="8" t="s">
        <v>364</v>
      </c>
      <c r="M10" s="8">
        <v>5999</v>
      </c>
      <c r="N10" s="8" t="s">
        <v>364</v>
      </c>
      <c r="O10" s="8" t="s">
        <v>1437</v>
      </c>
      <c r="P10" s="8" t="s">
        <v>1409</v>
      </c>
      <c r="Q10" s="8" t="s">
        <v>1410</v>
      </c>
      <c r="R10" s="7"/>
      <c r="S10" s="18">
        <v>45931</v>
      </c>
      <c r="T10" s="19">
        <f t="shared" si="0"/>
        <v>3200</v>
      </c>
      <c r="U10" s="19">
        <f t="shared" si="1"/>
        <v>1000</v>
      </c>
      <c r="V10" s="19">
        <f t="shared" si="2"/>
        <v>2900</v>
      </c>
      <c r="W10" s="20">
        <f t="shared" si="3"/>
        <v>-700</v>
      </c>
    </row>
    <row r="11" spans="1:23" ht="15" customHeight="1">
      <c r="A11" s="9">
        <v>10</v>
      </c>
      <c r="B11" s="9" t="s">
        <v>1403</v>
      </c>
      <c r="C11" s="9" t="s">
        <v>1438</v>
      </c>
      <c r="D11" s="9" t="s">
        <v>1439</v>
      </c>
      <c r="E11" s="9" t="s">
        <v>21</v>
      </c>
      <c r="F11" s="9" t="s">
        <v>22</v>
      </c>
      <c r="G11" s="9">
        <v>1000</v>
      </c>
      <c r="H11" s="9" t="s">
        <v>23</v>
      </c>
      <c r="I11" s="9" t="s">
        <v>1406</v>
      </c>
      <c r="J11" s="9" t="s">
        <v>36</v>
      </c>
      <c r="K11" s="9" t="s">
        <v>26</v>
      </c>
      <c r="L11" s="9" t="s">
        <v>1407</v>
      </c>
      <c r="M11" s="9">
        <v>6012</v>
      </c>
      <c r="N11" s="9" t="s">
        <v>1407</v>
      </c>
      <c r="O11" s="9" t="s">
        <v>1440</v>
      </c>
      <c r="P11" s="9" t="s">
        <v>1409</v>
      </c>
      <c r="Q11" s="9" t="s">
        <v>1410</v>
      </c>
      <c r="R11" s="7"/>
      <c r="S11" s="15">
        <v>45962</v>
      </c>
      <c r="T11" s="16">
        <f t="shared" si="0"/>
        <v>2800</v>
      </c>
      <c r="U11" s="16">
        <f t="shared" si="1"/>
        <v>1000</v>
      </c>
      <c r="V11" s="16">
        <f t="shared" si="2"/>
        <v>2600</v>
      </c>
      <c r="W11" s="17">
        <f t="shared" si="3"/>
        <v>-800</v>
      </c>
    </row>
    <row r="12" spans="1:23" ht="15" customHeight="1">
      <c r="A12" s="8">
        <v>11</v>
      </c>
      <c r="B12" s="8" t="s">
        <v>1403</v>
      </c>
      <c r="C12" s="8" t="s">
        <v>1441</v>
      </c>
      <c r="D12" s="8" t="s">
        <v>1442</v>
      </c>
      <c r="E12" s="8" t="s">
        <v>21</v>
      </c>
      <c r="F12" s="8" t="s">
        <v>22</v>
      </c>
      <c r="G12" s="8">
        <v>263</v>
      </c>
      <c r="H12" s="8" t="s">
        <v>23</v>
      </c>
      <c r="I12" s="8" t="s">
        <v>363</v>
      </c>
      <c r="J12" s="8" t="s">
        <v>41</v>
      </c>
      <c r="K12" s="8" t="s">
        <v>26</v>
      </c>
      <c r="L12" s="8" t="s">
        <v>364</v>
      </c>
      <c r="M12" s="8">
        <v>5999</v>
      </c>
      <c r="N12" s="8" t="s">
        <v>364</v>
      </c>
      <c r="O12" s="8" t="s">
        <v>1443</v>
      </c>
      <c r="P12" s="8" t="s">
        <v>1409</v>
      </c>
      <c r="Q12" s="8" t="s">
        <v>1410</v>
      </c>
      <c r="R12" s="7"/>
      <c r="S12" s="18">
        <v>45992</v>
      </c>
      <c r="T12" s="19">
        <f t="shared" si="0"/>
        <v>3100</v>
      </c>
      <c r="U12" s="19">
        <f t="shared" si="1"/>
        <v>1000</v>
      </c>
      <c r="V12" s="19">
        <f t="shared" si="2"/>
        <v>2800</v>
      </c>
      <c r="W12" s="20">
        <f t="shared" si="3"/>
        <v>-700</v>
      </c>
    </row>
    <row r="13" spans="1:23" ht="15" customHeight="1">
      <c r="A13" s="9">
        <v>12</v>
      </c>
      <c r="B13" s="9" t="s">
        <v>1403</v>
      </c>
      <c r="C13" s="9" t="s">
        <v>1444</v>
      </c>
      <c r="D13" s="9" t="s">
        <v>1445</v>
      </c>
      <c r="E13" s="9" t="s">
        <v>21</v>
      </c>
      <c r="F13" s="9" t="s">
        <v>22</v>
      </c>
      <c r="G13" s="9">
        <v>473</v>
      </c>
      <c r="H13" s="9" t="s">
        <v>23</v>
      </c>
      <c r="I13" s="9" t="s">
        <v>244</v>
      </c>
      <c r="J13" s="9" t="s">
        <v>41</v>
      </c>
      <c r="K13" s="9" t="s">
        <v>26</v>
      </c>
      <c r="L13" s="9" t="s">
        <v>245</v>
      </c>
      <c r="M13" s="9">
        <v>5411</v>
      </c>
      <c r="N13" s="9" t="s">
        <v>245</v>
      </c>
      <c r="O13" s="9" t="s">
        <v>1446</v>
      </c>
      <c r="P13" s="9" t="s">
        <v>1409</v>
      </c>
      <c r="Q13" s="9" t="s">
        <v>1410</v>
      </c>
      <c r="R13" s="7"/>
      <c r="S13" s="15">
        <v>46023</v>
      </c>
      <c r="T13" s="16">
        <f t="shared" si="0"/>
        <v>3200</v>
      </c>
      <c r="U13" s="16">
        <f t="shared" si="1"/>
        <v>1000</v>
      </c>
      <c r="V13" s="16">
        <f t="shared" si="2"/>
        <v>2900</v>
      </c>
      <c r="W13" s="17">
        <f t="shared" si="3"/>
        <v>-700</v>
      </c>
    </row>
    <row r="14" spans="1:23" ht="15" customHeight="1">
      <c r="A14" s="8">
        <v>13</v>
      </c>
      <c r="B14" s="8" t="s">
        <v>1403</v>
      </c>
      <c r="C14" s="8" t="s">
        <v>1447</v>
      </c>
      <c r="D14" s="8" t="s">
        <v>1448</v>
      </c>
      <c r="E14" s="8" t="s">
        <v>21</v>
      </c>
      <c r="F14" s="8" t="s">
        <v>22</v>
      </c>
      <c r="G14" s="8">
        <v>495</v>
      </c>
      <c r="H14" s="8" t="s">
        <v>23</v>
      </c>
      <c r="I14" s="8" t="s">
        <v>498</v>
      </c>
      <c r="J14" s="8" t="s">
        <v>36</v>
      </c>
      <c r="K14" s="8" t="s">
        <v>26</v>
      </c>
      <c r="L14" s="8" t="s">
        <v>499</v>
      </c>
      <c r="M14" s="8">
        <v>4900</v>
      </c>
      <c r="N14" s="8" t="s">
        <v>499</v>
      </c>
      <c r="O14" s="8" t="s">
        <v>1449</v>
      </c>
      <c r="P14" s="8" t="s">
        <v>1409</v>
      </c>
      <c r="Q14" s="8" t="s">
        <v>1410</v>
      </c>
      <c r="R14" s="7"/>
      <c r="S14" s="18">
        <v>46054</v>
      </c>
      <c r="T14" s="19">
        <f t="shared" si="0"/>
        <v>2900</v>
      </c>
      <c r="U14" s="19">
        <f t="shared" si="1"/>
        <v>1000</v>
      </c>
      <c r="V14" s="19">
        <f t="shared" si="2"/>
        <v>2620</v>
      </c>
      <c r="W14" s="20">
        <f t="shared" si="3"/>
        <v>-720</v>
      </c>
    </row>
    <row r="15" spans="1:23" ht="15" customHeight="1">
      <c r="A15" s="9">
        <v>14</v>
      </c>
      <c r="B15" s="9" t="s">
        <v>1403</v>
      </c>
      <c r="C15" s="9" t="s">
        <v>1450</v>
      </c>
      <c r="D15" s="9" t="s">
        <v>1451</v>
      </c>
      <c r="E15" s="9" t="s">
        <v>21</v>
      </c>
      <c r="F15" s="9" t="s">
        <v>22</v>
      </c>
      <c r="G15" s="9">
        <v>262</v>
      </c>
      <c r="H15" s="9" t="s">
        <v>23</v>
      </c>
      <c r="I15" s="9" t="s">
        <v>86</v>
      </c>
      <c r="J15" s="9" t="s">
        <v>36</v>
      </c>
      <c r="K15" s="9" t="s">
        <v>26</v>
      </c>
      <c r="L15" s="9" t="s">
        <v>87</v>
      </c>
      <c r="M15" s="9">
        <v>4813</v>
      </c>
      <c r="N15" s="9" t="s">
        <v>87</v>
      </c>
      <c r="O15" s="9" t="s">
        <v>1452</v>
      </c>
      <c r="P15" s="9" t="s">
        <v>1409</v>
      </c>
      <c r="Q15" s="9" t="s">
        <v>1410</v>
      </c>
      <c r="R15" s="7"/>
      <c r="S15" s="21"/>
      <c r="T15" s="21"/>
      <c r="U15" s="21"/>
      <c r="V15" s="21"/>
      <c r="W15" s="21"/>
    </row>
    <row r="16" spans="1:23" ht="15" customHeight="1">
      <c r="A16" s="8">
        <v>15</v>
      </c>
      <c r="B16" s="8" t="s">
        <v>1403</v>
      </c>
      <c r="C16" s="8" t="s">
        <v>1453</v>
      </c>
      <c r="D16" s="8" t="s">
        <v>1454</v>
      </c>
      <c r="E16" s="8" t="s">
        <v>94</v>
      </c>
      <c r="F16" s="8" t="s">
        <v>22</v>
      </c>
      <c r="G16" s="8">
        <v>3200</v>
      </c>
      <c r="H16" s="8" t="s">
        <v>23</v>
      </c>
      <c r="I16" s="8" t="s">
        <v>1432</v>
      </c>
      <c r="J16" s="8" t="s">
        <v>96</v>
      </c>
      <c r="K16" s="8" t="s">
        <v>97</v>
      </c>
      <c r="L16" s="8" t="s">
        <v>1433</v>
      </c>
      <c r="M16" s="8"/>
      <c r="N16" s="8" t="s">
        <v>1433</v>
      </c>
      <c r="O16" s="8" t="s">
        <v>1455</v>
      </c>
      <c r="P16" s="8" t="s">
        <v>1409</v>
      </c>
      <c r="Q16" s="8" t="s">
        <v>1410</v>
      </c>
      <c r="R16" s="7"/>
      <c r="S16" s="21"/>
      <c r="T16" s="21"/>
      <c r="U16" s="21"/>
      <c r="V16" s="21"/>
      <c r="W16" s="21"/>
    </row>
    <row r="17" spans="1:23" ht="15" customHeight="1">
      <c r="A17" s="9">
        <v>16</v>
      </c>
      <c r="B17" s="9" t="s">
        <v>1403</v>
      </c>
      <c r="C17" s="9" t="s">
        <v>1456</v>
      </c>
      <c r="D17" s="9" t="s">
        <v>1457</v>
      </c>
      <c r="E17" s="9" t="s">
        <v>21</v>
      </c>
      <c r="F17" s="9" t="s">
        <v>22</v>
      </c>
      <c r="G17" s="9">
        <v>473</v>
      </c>
      <c r="H17" s="9" t="s">
        <v>23</v>
      </c>
      <c r="I17" s="9" t="s">
        <v>379</v>
      </c>
      <c r="J17" s="9" t="s">
        <v>41</v>
      </c>
      <c r="K17" s="9" t="s">
        <v>26</v>
      </c>
      <c r="L17" s="9" t="s">
        <v>380</v>
      </c>
      <c r="M17" s="9">
        <v>5411</v>
      </c>
      <c r="N17" s="9" t="s">
        <v>380</v>
      </c>
      <c r="O17" s="9" t="s">
        <v>1458</v>
      </c>
      <c r="P17" s="9" t="s">
        <v>1409</v>
      </c>
      <c r="Q17" s="9" t="s">
        <v>1410</v>
      </c>
      <c r="R17" s="7"/>
      <c r="S17" s="21"/>
      <c r="T17" s="21"/>
      <c r="U17" s="21"/>
      <c r="V17" s="21"/>
      <c r="W17" s="21"/>
    </row>
    <row r="18" spans="1:23" ht="15" customHeight="1">
      <c r="A18" s="8">
        <v>17</v>
      </c>
      <c r="B18" s="8" t="s">
        <v>1403</v>
      </c>
      <c r="C18" s="8" t="s">
        <v>1459</v>
      </c>
      <c r="D18" s="8" t="s">
        <v>1460</v>
      </c>
      <c r="E18" s="8" t="s">
        <v>21</v>
      </c>
      <c r="F18" s="8" t="s">
        <v>22</v>
      </c>
      <c r="G18" s="8">
        <v>255</v>
      </c>
      <c r="H18" s="8" t="s">
        <v>23</v>
      </c>
      <c r="I18" s="8" t="s">
        <v>560</v>
      </c>
      <c r="J18" s="8" t="s">
        <v>331</v>
      </c>
      <c r="K18" s="8" t="s">
        <v>26</v>
      </c>
      <c r="L18" s="8" t="s">
        <v>561</v>
      </c>
      <c r="M18" s="8">
        <v>6011</v>
      </c>
      <c r="N18" s="8" t="s">
        <v>561</v>
      </c>
      <c r="O18" s="8" t="s">
        <v>1461</v>
      </c>
      <c r="P18" s="8" t="s">
        <v>1409</v>
      </c>
      <c r="Q18" s="8" t="s">
        <v>1410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1403</v>
      </c>
      <c r="C19" s="9" t="s">
        <v>1462</v>
      </c>
      <c r="D19" s="9" t="s">
        <v>1463</v>
      </c>
      <c r="E19" s="9" t="s">
        <v>21</v>
      </c>
      <c r="F19" s="9" t="s">
        <v>22</v>
      </c>
      <c r="G19" s="9">
        <v>679</v>
      </c>
      <c r="H19" s="9" t="s">
        <v>23</v>
      </c>
      <c r="I19" s="9" t="s">
        <v>56</v>
      </c>
      <c r="J19" s="9" t="s">
        <v>41</v>
      </c>
      <c r="K19" s="9" t="s">
        <v>26</v>
      </c>
      <c r="L19" s="9" t="s">
        <v>57</v>
      </c>
      <c r="M19" s="9">
        <v>5999</v>
      </c>
      <c r="N19" s="9" t="s">
        <v>57</v>
      </c>
      <c r="O19" s="9" t="s">
        <v>1464</v>
      </c>
      <c r="P19" s="9" t="s">
        <v>1409</v>
      </c>
      <c r="Q19" s="9" t="s">
        <v>1410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1403</v>
      </c>
      <c r="C20" s="8" t="s">
        <v>1465</v>
      </c>
      <c r="D20" s="8" t="s">
        <v>1466</v>
      </c>
      <c r="E20" s="8" t="s">
        <v>21</v>
      </c>
      <c r="F20" s="8" t="s">
        <v>22</v>
      </c>
      <c r="G20" s="8">
        <v>1000</v>
      </c>
      <c r="H20" s="8" t="s">
        <v>23</v>
      </c>
      <c r="I20" s="8" t="s">
        <v>1406</v>
      </c>
      <c r="J20" s="8" t="s">
        <v>36</v>
      </c>
      <c r="K20" s="8" t="s">
        <v>26</v>
      </c>
      <c r="L20" s="8" t="s">
        <v>1407</v>
      </c>
      <c r="M20" s="8">
        <v>6012</v>
      </c>
      <c r="N20" s="8" t="s">
        <v>1407</v>
      </c>
      <c r="O20" s="8" t="s">
        <v>1467</v>
      </c>
      <c r="P20" s="8" t="s">
        <v>1409</v>
      </c>
      <c r="Q20" s="8" t="s">
        <v>1410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1403</v>
      </c>
      <c r="C21" s="9" t="s">
        <v>1468</v>
      </c>
      <c r="D21" s="9" t="s">
        <v>1469</v>
      </c>
      <c r="E21" s="9" t="s">
        <v>21</v>
      </c>
      <c r="F21" s="9" t="s">
        <v>22</v>
      </c>
      <c r="G21" s="9">
        <v>128</v>
      </c>
      <c r="H21" s="9" t="s">
        <v>23</v>
      </c>
      <c r="I21" s="9" t="s">
        <v>363</v>
      </c>
      <c r="J21" s="9" t="s">
        <v>41</v>
      </c>
      <c r="K21" s="9" t="s">
        <v>26</v>
      </c>
      <c r="L21" s="9" t="s">
        <v>364</v>
      </c>
      <c r="M21" s="9">
        <v>5999</v>
      </c>
      <c r="N21" s="9" t="s">
        <v>364</v>
      </c>
      <c r="O21" s="9" t="s">
        <v>1470</v>
      </c>
      <c r="P21" s="9" t="s">
        <v>1409</v>
      </c>
      <c r="Q21" s="9" t="s">
        <v>1410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1403</v>
      </c>
      <c r="C22" s="8" t="s">
        <v>1471</v>
      </c>
      <c r="D22" s="8" t="s">
        <v>1472</v>
      </c>
      <c r="E22" s="8" t="s">
        <v>21</v>
      </c>
      <c r="F22" s="8" t="s">
        <v>22</v>
      </c>
      <c r="G22" s="8">
        <v>806</v>
      </c>
      <c r="H22" s="8" t="s">
        <v>23</v>
      </c>
      <c r="I22" s="8" t="s">
        <v>56</v>
      </c>
      <c r="J22" s="8" t="s">
        <v>41</v>
      </c>
      <c r="K22" s="8" t="s">
        <v>26</v>
      </c>
      <c r="L22" s="8" t="s">
        <v>57</v>
      </c>
      <c r="M22" s="8">
        <v>5999</v>
      </c>
      <c r="N22" s="8" t="s">
        <v>57</v>
      </c>
      <c r="O22" s="8" t="s">
        <v>1473</v>
      </c>
      <c r="P22" s="8" t="s">
        <v>1409</v>
      </c>
      <c r="Q22" s="8" t="s">
        <v>1410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1403</v>
      </c>
      <c r="C23" s="9" t="s">
        <v>1474</v>
      </c>
      <c r="D23" s="9" t="s">
        <v>1475</v>
      </c>
      <c r="E23" s="9" t="s">
        <v>21</v>
      </c>
      <c r="F23" s="9" t="s">
        <v>22</v>
      </c>
      <c r="G23" s="9">
        <v>420</v>
      </c>
      <c r="H23" s="9" t="s">
        <v>23</v>
      </c>
      <c r="I23" s="9" t="s">
        <v>379</v>
      </c>
      <c r="J23" s="9" t="s">
        <v>41</v>
      </c>
      <c r="K23" s="9" t="s">
        <v>26</v>
      </c>
      <c r="L23" s="9" t="s">
        <v>380</v>
      </c>
      <c r="M23" s="9">
        <v>5411</v>
      </c>
      <c r="N23" s="9" t="s">
        <v>380</v>
      </c>
      <c r="O23" s="9" t="s">
        <v>1476</v>
      </c>
      <c r="P23" s="9" t="s">
        <v>1409</v>
      </c>
      <c r="Q23" s="9" t="s">
        <v>1410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1403</v>
      </c>
      <c r="C24" s="8" t="s">
        <v>1477</v>
      </c>
      <c r="D24" s="8" t="s">
        <v>1478</v>
      </c>
      <c r="E24" s="8" t="s">
        <v>21</v>
      </c>
      <c r="F24" s="8" t="s">
        <v>22</v>
      </c>
      <c r="G24" s="8">
        <v>419</v>
      </c>
      <c r="H24" s="8" t="s">
        <v>23</v>
      </c>
      <c r="I24" s="8" t="s">
        <v>82</v>
      </c>
      <c r="J24" s="8" t="s">
        <v>41</v>
      </c>
      <c r="K24" s="8" t="s">
        <v>26</v>
      </c>
      <c r="L24" s="8" t="s">
        <v>83</v>
      </c>
      <c r="M24" s="8">
        <v>5411</v>
      </c>
      <c r="N24" s="8" t="s">
        <v>83</v>
      </c>
      <c r="O24" s="8" t="s">
        <v>1479</v>
      </c>
      <c r="P24" s="8" t="s">
        <v>1409</v>
      </c>
      <c r="Q24" s="8" t="s">
        <v>1410</v>
      </c>
      <c r="R24" s="7"/>
      <c r="S24" s="22" t="s">
        <v>133</v>
      </c>
      <c r="T24" s="23">
        <f>IFERROR(AVERAGEIF(T9:T14,"&gt;"&amp;0),0)</f>
        <v>3016.6666666666665</v>
      </c>
      <c r="U24" s="23">
        <f>IFERROR(AVERAGEIF(U9:U14,"&gt;"&amp;0),0)</f>
        <v>1000</v>
      </c>
      <c r="V24" s="23">
        <f>IFERROR(AVERAGEIF(V9:V14,"&gt;"&amp;0),0)</f>
        <v>2762.8333333333335</v>
      </c>
      <c r="W24" s="24">
        <f>T24-U24-V24</f>
        <v>-746.16666666666697</v>
      </c>
    </row>
    <row r="25" spans="1:23" ht="3.75" customHeight="1">
      <c r="A25" s="9">
        <v>24</v>
      </c>
      <c r="B25" s="9" t="s">
        <v>1403</v>
      </c>
      <c r="C25" s="9" t="s">
        <v>1480</v>
      </c>
      <c r="D25" s="9" t="s">
        <v>1481</v>
      </c>
      <c r="E25" s="9" t="s">
        <v>21</v>
      </c>
      <c r="F25" s="9" t="s">
        <v>22</v>
      </c>
      <c r="G25" s="9">
        <v>411</v>
      </c>
      <c r="H25" s="9" t="s">
        <v>23</v>
      </c>
      <c r="I25" s="9" t="s">
        <v>198</v>
      </c>
      <c r="J25" s="9" t="s">
        <v>36</v>
      </c>
      <c r="K25" s="9" t="s">
        <v>26</v>
      </c>
      <c r="L25" s="9" t="s">
        <v>199</v>
      </c>
      <c r="M25" s="9">
        <v>4900</v>
      </c>
      <c r="N25" s="9" t="s">
        <v>199</v>
      </c>
      <c r="O25" s="9" t="s">
        <v>1482</v>
      </c>
      <c r="P25" s="9" t="s">
        <v>1409</v>
      </c>
      <c r="Q25" s="9" t="s">
        <v>1410</v>
      </c>
      <c r="R25" s="7"/>
    </row>
    <row r="26" spans="1:23" ht="15" customHeight="1">
      <c r="A26" s="8">
        <v>25</v>
      </c>
      <c r="B26" s="8" t="s">
        <v>1403</v>
      </c>
      <c r="C26" s="8" t="s">
        <v>1483</v>
      </c>
      <c r="D26" s="8" t="s">
        <v>1484</v>
      </c>
      <c r="E26" s="8" t="s">
        <v>21</v>
      </c>
      <c r="F26" s="8" t="s">
        <v>22</v>
      </c>
      <c r="G26" s="8">
        <v>287</v>
      </c>
      <c r="H26" s="8" t="s">
        <v>23</v>
      </c>
      <c r="I26" s="8" t="s">
        <v>86</v>
      </c>
      <c r="J26" s="8" t="s">
        <v>36</v>
      </c>
      <c r="K26" s="8" t="s">
        <v>26</v>
      </c>
      <c r="L26" s="8" t="s">
        <v>87</v>
      </c>
      <c r="M26" s="8">
        <v>4813</v>
      </c>
      <c r="N26" s="8" t="s">
        <v>87</v>
      </c>
      <c r="O26" s="8" t="s">
        <v>1485</v>
      </c>
      <c r="P26" s="8" t="s">
        <v>1409</v>
      </c>
      <c r="Q26" s="8" t="s">
        <v>1410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1403</v>
      </c>
      <c r="C27" s="9" t="s">
        <v>1486</v>
      </c>
      <c r="D27" s="9" t="s">
        <v>1487</v>
      </c>
      <c r="E27" s="9" t="s">
        <v>94</v>
      </c>
      <c r="F27" s="9" t="s">
        <v>22</v>
      </c>
      <c r="G27" s="9">
        <v>2800</v>
      </c>
      <c r="H27" s="9" t="s">
        <v>23</v>
      </c>
      <c r="I27" s="9" t="s">
        <v>1432</v>
      </c>
      <c r="J27" s="9" t="s">
        <v>96</v>
      </c>
      <c r="K27" s="9" t="s">
        <v>97</v>
      </c>
      <c r="L27" s="9" t="s">
        <v>1433</v>
      </c>
      <c r="M27" s="9"/>
      <c r="N27" s="9" t="s">
        <v>1433</v>
      </c>
      <c r="O27" s="9" t="s">
        <v>1488</v>
      </c>
      <c r="P27" s="9" t="s">
        <v>1409</v>
      </c>
      <c r="Q27" s="9" t="s">
        <v>1410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1403</v>
      </c>
      <c r="C28" s="8" t="s">
        <v>1489</v>
      </c>
      <c r="D28" s="8" t="s">
        <v>1490</v>
      </c>
      <c r="E28" s="8" t="s">
        <v>21</v>
      </c>
      <c r="F28" s="8" t="s">
        <v>22</v>
      </c>
      <c r="G28" s="8">
        <v>129</v>
      </c>
      <c r="H28" s="8" t="s">
        <v>23</v>
      </c>
      <c r="I28" s="8" t="s">
        <v>363</v>
      </c>
      <c r="J28" s="8" t="s">
        <v>41</v>
      </c>
      <c r="K28" s="8" t="s">
        <v>26</v>
      </c>
      <c r="L28" s="8" t="s">
        <v>364</v>
      </c>
      <c r="M28" s="8">
        <v>5999</v>
      </c>
      <c r="N28" s="8" t="s">
        <v>364</v>
      </c>
      <c r="O28" s="8" t="s">
        <v>1491</v>
      </c>
      <c r="P28" s="8" t="s">
        <v>1409</v>
      </c>
      <c r="Q28" s="8" t="s">
        <v>1410</v>
      </c>
      <c r="R28" s="7"/>
      <c r="S28" s="25" t="s">
        <v>154</v>
      </c>
      <c r="T28" s="26">
        <f>IFERROR(MEDIAN(T9:T14),0)</f>
        <v>3000</v>
      </c>
      <c r="U28" s="27" t="s">
        <v>155</v>
      </c>
      <c r="V28" s="28" t="s">
        <v>155</v>
      </c>
      <c r="W28" s="29" t="s">
        <v>1492</v>
      </c>
    </row>
    <row r="29" spans="1:23" ht="15.75" customHeight="1">
      <c r="A29" s="9">
        <v>28</v>
      </c>
      <c r="B29" s="9" t="s">
        <v>1403</v>
      </c>
      <c r="C29" s="9" t="s">
        <v>1493</v>
      </c>
      <c r="D29" s="9" t="s">
        <v>1494</v>
      </c>
      <c r="E29" s="9" t="s">
        <v>21</v>
      </c>
      <c r="F29" s="9" t="s">
        <v>22</v>
      </c>
      <c r="G29" s="9">
        <v>1000</v>
      </c>
      <c r="H29" s="9" t="s">
        <v>23</v>
      </c>
      <c r="I29" s="9" t="s">
        <v>1406</v>
      </c>
      <c r="J29" s="9" t="s">
        <v>36</v>
      </c>
      <c r="K29" s="9" t="s">
        <v>26</v>
      </c>
      <c r="L29" s="9" t="s">
        <v>1407</v>
      </c>
      <c r="M29" s="9">
        <v>6012</v>
      </c>
      <c r="N29" s="9" t="s">
        <v>1407</v>
      </c>
      <c r="O29" s="9" t="s">
        <v>1495</v>
      </c>
      <c r="P29" s="9" t="s">
        <v>1409</v>
      </c>
      <c r="Q29" s="9" t="s">
        <v>1410</v>
      </c>
      <c r="R29" s="7"/>
      <c r="S29" s="30" t="s">
        <v>161</v>
      </c>
      <c r="T29" s="31">
        <f>T28*1.3</f>
        <v>3900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1403</v>
      </c>
      <c r="C30" s="8" t="s">
        <v>1496</v>
      </c>
      <c r="D30" s="8" t="s">
        <v>1497</v>
      </c>
      <c r="E30" s="8" t="s">
        <v>21</v>
      </c>
      <c r="F30" s="8" t="s">
        <v>22</v>
      </c>
      <c r="G30" s="8">
        <v>285</v>
      </c>
      <c r="H30" s="8" t="s">
        <v>23</v>
      </c>
      <c r="I30" s="8" t="s">
        <v>108</v>
      </c>
      <c r="J30" s="8" t="s">
        <v>41</v>
      </c>
      <c r="K30" s="8" t="s">
        <v>26</v>
      </c>
      <c r="L30" s="8" t="s">
        <v>57</v>
      </c>
      <c r="M30" s="8">
        <v>5999</v>
      </c>
      <c r="N30" s="8" t="s">
        <v>57</v>
      </c>
      <c r="O30" s="8" t="s">
        <v>1498</v>
      </c>
      <c r="P30" s="8" t="s">
        <v>1409</v>
      </c>
      <c r="Q30" s="8" t="s">
        <v>1410</v>
      </c>
      <c r="R30" s="7"/>
      <c r="S30" s="25" t="s">
        <v>166</v>
      </c>
      <c r="T30" s="26">
        <f>IFERROR(MEDIAN(MIN(T12,T29),MIN(T13,T29),MIN(T14,T29)),0)</f>
        <v>3100</v>
      </c>
      <c r="U30" s="27" t="s">
        <v>155</v>
      </c>
      <c r="V30" s="28" t="s">
        <v>155</v>
      </c>
      <c r="W30" s="29" t="s">
        <v>1499</v>
      </c>
    </row>
    <row r="31" spans="1:23" ht="15.75" customHeight="1">
      <c r="A31" s="9">
        <v>30</v>
      </c>
      <c r="B31" s="9" t="s">
        <v>1403</v>
      </c>
      <c r="C31" s="9" t="s">
        <v>1500</v>
      </c>
      <c r="D31" s="9" t="s">
        <v>1501</v>
      </c>
      <c r="E31" s="9" t="s">
        <v>21</v>
      </c>
      <c r="F31" s="9" t="s">
        <v>22</v>
      </c>
      <c r="G31" s="9">
        <v>769</v>
      </c>
      <c r="H31" s="9" t="s">
        <v>23</v>
      </c>
      <c r="I31" s="9" t="s">
        <v>56</v>
      </c>
      <c r="J31" s="9" t="s">
        <v>41</v>
      </c>
      <c r="K31" s="9" t="s">
        <v>26</v>
      </c>
      <c r="L31" s="9" t="s">
        <v>57</v>
      </c>
      <c r="M31" s="9">
        <v>5999</v>
      </c>
      <c r="N31" s="9" t="s">
        <v>57</v>
      </c>
      <c r="O31" s="9" t="s">
        <v>1502</v>
      </c>
      <c r="P31" s="9" t="s">
        <v>1409</v>
      </c>
      <c r="Q31" s="9" t="s">
        <v>1410</v>
      </c>
      <c r="R31" s="7"/>
      <c r="S31" s="30" t="s">
        <v>170</v>
      </c>
      <c r="T31" s="31">
        <f>T14</f>
        <v>2900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1403</v>
      </c>
      <c r="C32" s="8" t="s">
        <v>1503</v>
      </c>
      <c r="D32" s="8" t="s">
        <v>1504</v>
      </c>
      <c r="E32" s="8" t="s">
        <v>21</v>
      </c>
      <c r="F32" s="8" t="s">
        <v>22</v>
      </c>
      <c r="G32" s="8">
        <v>395</v>
      </c>
      <c r="H32" s="8" t="s">
        <v>23</v>
      </c>
      <c r="I32" s="8" t="s">
        <v>498</v>
      </c>
      <c r="J32" s="8" t="s">
        <v>36</v>
      </c>
      <c r="K32" s="8" t="s">
        <v>26</v>
      </c>
      <c r="L32" s="8" t="s">
        <v>499</v>
      </c>
      <c r="M32" s="8">
        <v>4900</v>
      </c>
      <c r="N32" s="8" t="s">
        <v>499</v>
      </c>
      <c r="O32" s="8" t="s">
        <v>1505</v>
      </c>
      <c r="P32" s="8" t="s">
        <v>1409</v>
      </c>
      <c r="Q32" s="8" t="s">
        <v>1410</v>
      </c>
      <c r="R32" s="7"/>
      <c r="S32" s="25" t="s">
        <v>176</v>
      </c>
      <c r="T32" s="26">
        <f>U14</f>
        <v>1000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1403</v>
      </c>
      <c r="C33" s="9" t="s">
        <v>1506</v>
      </c>
      <c r="D33" s="9" t="s">
        <v>1507</v>
      </c>
      <c r="E33" s="9" t="s">
        <v>21</v>
      </c>
      <c r="F33" s="9" t="s">
        <v>22</v>
      </c>
      <c r="G33" s="9">
        <v>299</v>
      </c>
      <c r="H33" s="9" t="s">
        <v>23</v>
      </c>
      <c r="I33" s="9" t="s">
        <v>174</v>
      </c>
      <c r="J33" s="9" t="s">
        <v>36</v>
      </c>
      <c r="K33" s="9" t="s">
        <v>26</v>
      </c>
      <c r="L33" s="9" t="s">
        <v>175</v>
      </c>
      <c r="M33" s="9">
        <v>4813</v>
      </c>
      <c r="N33" s="9" t="s">
        <v>175</v>
      </c>
      <c r="O33" s="9" t="s">
        <v>1508</v>
      </c>
      <c r="P33" s="9" t="s">
        <v>1409</v>
      </c>
      <c r="Q33" s="9" t="s">
        <v>1410</v>
      </c>
      <c r="R33" s="7"/>
      <c r="S33" s="30" t="s">
        <v>182</v>
      </c>
      <c r="T33" s="31">
        <f>T24</f>
        <v>3016.6666666666665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1403</v>
      </c>
      <c r="C34" s="8" t="s">
        <v>1509</v>
      </c>
      <c r="D34" s="8" t="s">
        <v>1510</v>
      </c>
      <c r="E34" s="8" t="s">
        <v>21</v>
      </c>
      <c r="F34" s="8" t="s">
        <v>22</v>
      </c>
      <c r="G34" s="8">
        <v>248</v>
      </c>
      <c r="H34" s="8" t="s">
        <v>23</v>
      </c>
      <c r="I34" s="8" t="s">
        <v>560</v>
      </c>
      <c r="J34" s="8" t="s">
        <v>331</v>
      </c>
      <c r="K34" s="8" t="s">
        <v>26</v>
      </c>
      <c r="L34" s="8" t="s">
        <v>561</v>
      </c>
      <c r="M34" s="8">
        <v>6011</v>
      </c>
      <c r="N34" s="8" t="s">
        <v>561</v>
      </c>
      <c r="O34" s="8" t="s">
        <v>1511</v>
      </c>
      <c r="P34" s="8" t="s">
        <v>1409</v>
      </c>
      <c r="Q34" s="8" t="s">
        <v>1410</v>
      </c>
      <c r="R34" s="7"/>
      <c r="S34" s="25" t="s">
        <v>188</v>
      </c>
      <c r="T34" s="26">
        <f>V24</f>
        <v>2762.8333333333335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1403</v>
      </c>
      <c r="C35" s="9" t="s">
        <v>1512</v>
      </c>
      <c r="D35" s="9" t="s">
        <v>1513</v>
      </c>
      <c r="E35" s="9" t="s">
        <v>21</v>
      </c>
      <c r="F35" s="9" t="s">
        <v>22</v>
      </c>
      <c r="G35" s="9">
        <v>804</v>
      </c>
      <c r="H35" s="9" t="s">
        <v>23</v>
      </c>
      <c r="I35" s="9" t="s">
        <v>244</v>
      </c>
      <c r="J35" s="9" t="s">
        <v>41</v>
      </c>
      <c r="K35" s="9" t="s">
        <v>26</v>
      </c>
      <c r="L35" s="9" t="s">
        <v>245</v>
      </c>
      <c r="M35" s="9">
        <v>5411</v>
      </c>
      <c r="N35" s="9" t="s">
        <v>245</v>
      </c>
      <c r="O35" s="9" t="s">
        <v>1514</v>
      </c>
      <c r="P35" s="9" t="s">
        <v>1409</v>
      </c>
      <c r="Q35" s="9" t="s">
        <v>1410</v>
      </c>
      <c r="R35" s="7"/>
      <c r="S35" s="30" t="s">
        <v>193</v>
      </c>
      <c r="T35" s="35">
        <f>IFERROR((T33-T34)/T33,0)</f>
        <v>8.4143646408839687E-2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1403</v>
      </c>
      <c r="C36" s="8" t="s">
        <v>1515</v>
      </c>
      <c r="D36" s="8" t="s">
        <v>1516</v>
      </c>
      <c r="E36" s="8" t="s">
        <v>94</v>
      </c>
      <c r="F36" s="8" t="s">
        <v>22</v>
      </c>
      <c r="G36" s="8">
        <v>3100</v>
      </c>
      <c r="H36" s="8" t="s">
        <v>23</v>
      </c>
      <c r="I36" s="8" t="s">
        <v>1432</v>
      </c>
      <c r="J36" s="8" t="s">
        <v>96</v>
      </c>
      <c r="K36" s="8" t="s">
        <v>97</v>
      </c>
      <c r="L36" s="8" t="s">
        <v>1433</v>
      </c>
      <c r="M36" s="8"/>
      <c r="N36" s="8" t="s">
        <v>1433</v>
      </c>
      <c r="O36" s="8" t="s">
        <v>1517</v>
      </c>
      <c r="P36" s="8" t="s">
        <v>1409</v>
      </c>
      <c r="Q36" s="8" t="s">
        <v>1410</v>
      </c>
      <c r="R36" s="7"/>
      <c r="S36" s="25" t="s">
        <v>200</v>
      </c>
      <c r="T36" s="37">
        <f>T33-T34</f>
        <v>253.83333333333303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1403</v>
      </c>
      <c r="C37" s="9" t="s">
        <v>1518</v>
      </c>
      <c r="D37" s="9" t="s">
        <v>1519</v>
      </c>
      <c r="E37" s="9" t="s">
        <v>21</v>
      </c>
      <c r="F37" s="9" t="s">
        <v>22</v>
      </c>
      <c r="G37" s="9">
        <v>248</v>
      </c>
      <c r="H37" s="9" t="s">
        <v>23</v>
      </c>
      <c r="I37" s="9" t="s">
        <v>108</v>
      </c>
      <c r="J37" s="9" t="s">
        <v>41</v>
      </c>
      <c r="K37" s="9" t="s">
        <v>26</v>
      </c>
      <c r="L37" s="9" t="s">
        <v>57</v>
      </c>
      <c r="M37" s="9">
        <v>5999</v>
      </c>
      <c r="N37" s="9" t="s">
        <v>57</v>
      </c>
      <c r="O37" s="9" t="s">
        <v>1520</v>
      </c>
      <c r="P37" s="9" t="s">
        <v>1409</v>
      </c>
      <c r="Q37" s="9" t="s">
        <v>1410</v>
      </c>
      <c r="R37" s="7"/>
      <c r="S37" s="30" t="s">
        <v>205</v>
      </c>
      <c r="T37" s="35">
        <f>IFERROR(U24/T30,0)</f>
        <v>0.32258064516129031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1403</v>
      </c>
      <c r="C38" s="8" t="s">
        <v>1521</v>
      </c>
      <c r="D38" s="8" t="s">
        <v>1522</v>
      </c>
      <c r="E38" s="8" t="s">
        <v>21</v>
      </c>
      <c r="F38" s="8" t="s">
        <v>22</v>
      </c>
      <c r="G38" s="8">
        <v>1000</v>
      </c>
      <c r="H38" s="8" t="s">
        <v>23</v>
      </c>
      <c r="I38" s="8" t="s">
        <v>1406</v>
      </c>
      <c r="J38" s="8" t="s">
        <v>36</v>
      </c>
      <c r="K38" s="8" t="s">
        <v>26</v>
      </c>
      <c r="L38" s="8" t="s">
        <v>1407</v>
      </c>
      <c r="M38" s="8">
        <v>6012</v>
      </c>
      <c r="N38" s="8" t="s">
        <v>1407</v>
      </c>
      <c r="O38" s="8" t="s">
        <v>1523</v>
      </c>
      <c r="P38" s="8" t="s">
        <v>1409</v>
      </c>
      <c r="Q38" s="8" t="s">
        <v>1410</v>
      </c>
      <c r="R38" s="7"/>
    </row>
    <row r="39" spans="1:23" ht="15" customHeight="1">
      <c r="A39" s="9">
        <v>38</v>
      </c>
      <c r="B39" s="9" t="s">
        <v>1403</v>
      </c>
      <c r="C39" s="9" t="s">
        <v>1524</v>
      </c>
      <c r="D39" s="9" t="s">
        <v>1525</v>
      </c>
      <c r="E39" s="9" t="s">
        <v>21</v>
      </c>
      <c r="F39" s="9" t="s">
        <v>22</v>
      </c>
      <c r="G39" s="9">
        <v>738</v>
      </c>
      <c r="H39" s="9" t="s">
        <v>23</v>
      </c>
      <c r="I39" s="9" t="s">
        <v>56</v>
      </c>
      <c r="J39" s="9" t="s">
        <v>41</v>
      </c>
      <c r="K39" s="9" t="s">
        <v>26</v>
      </c>
      <c r="L39" s="9" t="s">
        <v>57</v>
      </c>
      <c r="M39" s="9">
        <v>5999</v>
      </c>
      <c r="N39" s="9" t="s">
        <v>57</v>
      </c>
      <c r="O39" s="9" t="s">
        <v>1526</v>
      </c>
      <c r="P39" s="9" t="s">
        <v>1409</v>
      </c>
      <c r="Q39" s="9" t="s">
        <v>1410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1403</v>
      </c>
      <c r="C40" s="8" t="s">
        <v>1527</v>
      </c>
      <c r="D40" s="8" t="s">
        <v>1528</v>
      </c>
      <c r="E40" s="8" t="s">
        <v>21</v>
      </c>
      <c r="F40" s="8" t="s">
        <v>22</v>
      </c>
      <c r="G40" s="8">
        <v>273</v>
      </c>
      <c r="H40" s="8" t="s">
        <v>23</v>
      </c>
      <c r="I40" s="8" t="s">
        <v>391</v>
      </c>
      <c r="J40" s="8" t="s">
        <v>331</v>
      </c>
      <c r="K40" s="8" t="s">
        <v>26</v>
      </c>
      <c r="L40" s="8" t="s">
        <v>392</v>
      </c>
      <c r="M40" s="8">
        <v>6011</v>
      </c>
      <c r="N40" s="8" t="s">
        <v>392</v>
      </c>
      <c r="O40" s="8" t="s">
        <v>1529</v>
      </c>
      <c r="P40" s="8" t="s">
        <v>1409</v>
      </c>
      <c r="Q40" s="8" t="s">
        <v>1410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1403</v>
      </c>
      <c r="C41" s="9" t="s">
        <v>1530</v>
      </c>
      <c r="D41" s="9" t="s">
        <v>1531</v>
      </c>
      <c r="E41" s="9" t="s">
        <v>21</v>
      </c>
      <c r="F41" s="9" t="s">
        <v>22</v>
      </c>
      <c r="G41" s="9">
        <v>862</v>
      </c>
      <c r="H41" s="9" t="s">
        <v>23</v>
      </c>
      <c r="I41" s="9" t="s">
        <v>82</v>
      </c>
      <c r="J41" s="9" t="s">
        <v>41</v>
      </c>
      <c r="K41" s="9" t="s">
        <v>26</v>
      </c>
      <c r="L41" s="9" t="s">
        <v>83</v>
      </c>
      <c r="M41" s="9">
        <v>5411</v>
      </c>
      <c r="N41" s="9" t="s">
        <v>83</v>
      </c>
      <c r="O41" s="9" t="s">
        <v>1532</v>
      </c>
      <c r="P41" s="9" t="s">
        <v>1409</v>
      </c>
      <c r="Q41" s="9" t="s">
        <v>1410</v>
      </c>
      <c r="R41" s="7"/>
      <c r="S41" s="39" t="s">
        <v>226</v>
      </c>
      <c r="T41" s="40">
        <f>T5</f>
        <v>22</v>
      </c>
      <c r="U41" s="41">
        <f>IF(T41&lt;18,0,IF(T41&lt;=25,30,IF(T41&lt;=35,80,IF(T41&lt;=50,150,IF(T41&lt;=60,100,0)))))</f>
        <v>30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1403</v>
      </c>
      <c r="C42" s="8" t="s">
        <v>1533</v>
      </c>
      <c r="D42" s="8" t="s">
        <v>1534</v>
      </c>
      <c r="E42" s="8" t="s">
        <v>21</v>
      </c>
      <c r="F42" s="8" t="s">
        <v>22</v>
      </c>
      <c r="G42" s="8">
        <v>309</v>
      </c>
      <c r="H42" s="8" t="s">
        <v>23</v>
      </c>
      <c r="I42" s="8" t="s">
        <v>174</v>
      </c>
      <c r="J42" s="8" t="s">
        <v>36</v>
      </c>
      <c r="K42" s="8" t="s">
        <v>26</v>
      </c>
      <c r="L42" s="8" t="s">
        <v>175</v>
      </c>
      <c r="M42" s="8">
        <v>4813</v>
      </c>
      <c r="N42" s="8" t="s">
        <v>175</v>
      </c>
      <c r="O42" s="8" t="s">
        <v>1535</v>
      </c>
      <c r="P42" s="8" t="s">
        <v>1409</v>
      </c>
      <c r="Q42" s="8" t="s">
        <v>1410</v>
      </c>
      <c r="R42" s="7"/>
      <c r="S42" s="43" t="s">
        <v>230</v>
      </c>
      <c r="T42" s="44">
        <f>T30</f>
        <v>3100</v>
      </c>
      <c r="U42" s="41">
        <f>IF(T42&lt;=5000,0,IF(T42&lt;=10000,50,IF(T42&lt;=15000,100,150)))</f>
        <v>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1403</v>
      </c>
      <c r="C43" s="9" t="s">
        <v>1536</v>
      </c>
      <c r="D43" s="9" t="s">
        <v>1537</v>
      </c>
      <c r="E43" s="9" t="s">
        <v>21</v>
      </c>
      <c r="F43" s="9" t="s">
        <v>22</v>
      </c>
      <c r="G43" s="9">
        <v>470</v>
      </c>
      <c r="H43" s="9" t="s">
        <v>23</v>
      </c>
      <c r="I43" s="9" t="s">
        <v>498</v>
      </c>
      <c r="J43" s="9" t="s">
        <v>36</v>
      </c>
      <c r="K43" s="9" t="s">
        <v>26</v>
      </c>
      <c r="L43" s="9" t="s">
        <v>499</v>
      </c>
      <c r="M43" s="9">
        <v>4900</v>
      </c>
      <c r="N43" s="9" t="s">
        <v>499</v>
      </c>
      <c r="O43" s="9" t="s">
        <v>1538</v>
      </c>
      <c r="P43" s="9" t="s">
        <v>1409</v>
      </c>
      <c r="Q43" s="9" t="s">
        <v>1410</v>
      </c>
      <c r="R43" s="7"/>
      <c r="S43" s="39" t="s">
        <v>236</v>
      </c>
      <c r="T43" s="45">
        <f>T32</f>
        <v>1000</v>
      </c>
      <c r="U43" s="41">
        <f>IF(T43=0,150,IF(T43&lt;=1500,150,IF(T43&lt;=3000,130,IF(T43&lt;=4500,110,IF(T43&lt;=9000,80,IF(T43&lt;=15000,40,0))))))</f>
        <v>150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1403</v>
      </c>
      <c r="C44" s="8" t="s">
        <v>1539</v>
      </c>
      <c r="D44" s="8" t="s">
        <v>1540</v>
      </c>
      <c r="E44" s="8" t="s">
        <v>94</v>
      </c>
      <c r="F44" s="8" t="s">
        <v>22</v>
      </c>
      <c r="G44" s="8">
        <v>3200</v>
      </c>
      <c r="H44" s="8" t="s">
        <v>23</v>
      </c>
      <c r="I44" s="8" t="s">
        <v>1432</v>
      </c>
      <c r="J44" s="8" t="s">
        <v>96</v>
      </c>
      <c r="K44" s="8" t="s">
        <v>97</v>
      </c>
      <c r="L44" s="8" t="s">
        <v>1433</v>
      </c>
      <c r="M44" s="8"/>
      <c r="N44" s="8" t="s">
        <v>1433</v>
      </c>
      <c r="O44" s="8" t="s">
        <v>1541</v>
      </c>
      <c r="P44" s="8" t="s">
        <v>1409</v>
      </c>
      <c r="Q44" s="8" t="s">
        <v>1410</v>
      </c>
      <c r="R44" s="7"/>
      <c r="S44" s="43" t="s">
        <v>240</v>
      </c>
      <c r="T44" s="46">
        <f>T35</f>
        <v>8.4143646408839687E-2</v>
      </c>
      <c r="U44" s="41">
        <f>IF(T44&lt;=0,0,IF(T44&lt;=0.1,50,IF(T44&lt;=0.2,100,IF(T44&lt;=0.3,130,150))))</f>
        <v>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1403</v>
      </c>
      <c r="C45" s="9" t="s">
        <v>1542</v>
      </c>
      <c r="D45" s="9" t="s">
        <v>1543</v>
      </c>
      <c r="E45" s="9" t="s">
        <v>21</v>
      </c>
      <c r="F45" s="9" t="s">
        <v>22</v>
      </c>
      <c r="G45" s="9">
        <v>1000</v>
      </c>
      <c r="H45" s="9" t="s">
        <v>23</v>
      </c>
      <c r="I45" s="9" t="s">
        <v>1406</v>
      </c>
      <c r="J45" s="9" t="s">
        <v>36</v>
      </c>
      <c r="K45" s="9" t="s">
        <v>26</v>
      </c>
      <c r="L45" s="9" t="s">
        <v>1407</v>
      </c>
      <c r="M45" s="9">
        <v>6012</v>
      </c>
      <c r="N45" s="9" t="s">
        <v>1407</v>
      </c>
      <c r="O45" s="9" t="s">
        <v>1544</v>
      </c>
      <c r="P45" s="9" t="s">
        <v>1409</v>
      </c>
      <c r="Q45" s="9" t="s">
        <v>1410</v>
      </c>
      <c r="R45" s="7"/>
      <c r="S45" s="39" t="s">
        <v>246</v>
      </c>
      <c r="T45" s="45">
        <f>T31</f>
        <v>2900</v>
      </c>
      <c r="U45" s="41">
        <f>IF(T45&lt;=5000,30,IF(T45&lt;=15000,90,150))</f>
        <v>30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1403</v>
      </c>
      <c r="C46" s="8" t="s">
        <v>1545</v>
      </c>
      <c r="D46" s="8" t="s">
        <v>1546</v>
      </c>
      <c r="E46" s="8" t="s">
        <v>21</v>
      </c>
      <c r="F46" s="8" t="s">
        <v>22</v>
      </c>
      <c r="G46" s="8">
        <v>428</v>
      </c>
      <c r="H46" s="8" t="s">
        <v>23</v>
      </c>
      <c r="I46" s="8" t="s">
        <v>102</v>
      </c>
      <c r="J46" s="8" t="s">
        <v>41</v>
      </c>
      <c r="K46" s="8" t="s">
        <v>26</v>
      </c>
      <c r="L46" s="8" t="s">
        <v>103</v>
      </c>
      <c r="M46" s="8">
        <v>5411</v>
      </c>
      <c r="N46" s="8" t="s">
        <v>103</v>
      </c>
      <c r="O46" s="8" t="s">
        <v>1547</v>
      </c>
      <c r="P46" s="8" t="s">
        <v>1409</v>
      </c>
      <c r="Q46" s="8" t="s">
        <v>1410</v>
      </c>
      <c r="R46" s="7"/>
      <c r="S46" s="43" t="s">
        <v>250</v>
      </c>
      <c r="T46" s="47">
        <f>T36</f>
        <v>253.83333333333303</v>
      </c>
      <c r="U46" s="41">
        <f>IF(T46&lt;0,0,IF(T46&lt;=1000,50,IF(T46&lt;=3000,100,150)))</f>
        <v>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1403</v>
      </c>
      <c r="C47" s="9" t="s">
        <v>1548</v>
      </c>
      <c r="D47" s="9" t="s">
        <v>1549</v>
      </c>
      <c r="E47" s="9" t="s">
        <v>21</v>
      </c>
      <c r="F47" s="9" t="s">
        <v>22</v>
      </c>
      <c r="G47" s="9">
        <v>255</v>
      </c>
      <c r="H47" s="9" t="s">
        <v>23</v>
      </c>
      <c r="I47" s="9" t="s">
        <v>56</v>
      </c>
      <c r="J47" s="9" t="s">
        <v>41</v>
      </c>
      <c r="K47" s="9" t="s">
        <v>26</v>
      </c>
      <c r="L47" s="9" t="s">
        <v>57</v>
      </c>
      <c r="M47" s="9">
        <v>5999</v>
      </c>
      <c r="N47" s="9" t="s">
        <v>57</v>
      </c>
      <c r="O47" s="9" t="s">
        <v>1550</v>
      </c>
      <c r="P47" s="9" t="s">
        <v>1409</v>
      </c>
      <c r="Q47" s="9" t="s">
        <v>1410</v>
      </c>
      <c r="R47" s="7"/>
      <c r="S47" s="39" t="s">
        <v>256</v>
      </c>
      <c r="T47" s="48">
        <f>T37</f>
        <v>0.32258064516129031</v>
      </c>
      <c r="U47" s="41">
        <f>IF(T47&lt;=0.1,100,IF(T47&lt;=0.25,70,IF(T47&lt;=0.4,40,IF(T47&lt;=0.6,20,0))))</f>
        <v>40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1403</v>
      </c>
      <c r="C48" s="8" t="s">
        <v>1551</v>
      </c>
      <c r="D48" s="8" t="s">
        <v>1552</v>
      </c>
      <c r="E48" s="8" t="s">
        <v>21</v>
      </c>
      <c r="F48" s="8" t="s">
        <v>22</v>
      </c>
      <c r="G48" s="8">
        <v>145</v>
      </c>
      <c r="H48" s="8" t="s">
        <v>23</v>
      </c>
      <c r="I48" s="8" t="s">
        <v>363</v>
      </c>
      <c r="J48" s="8" t="s">
        <v>41</v>
      </c>
      <c r="K48" s="8" t="s">
        <v>26</v>
      </c>
      <c r="L48" s="8" t="s">
        <v>364</v>
      </c>
      <c r="M48" s="8">
        <v>5999</v>
      </c>
      <c r="N48" s="8" t="s">
        <v>364</v>
      </c>
      <c r="O48" s="8" t="s">
        <v>1553</v>
      </c>
      <c r="P48" s="8" t="s">
        <v>1409</v>
      </c>
      <c r="Q48" s="8" t="s">
        <v>1410</v>
      </c>
      <c r="R48" s="7"/>
    </row>
    <row r="49" spans="1:23" ht="27.75" customHeight="1">
      <c r="A49" s="9">
        <v>48</v>
      </c>
      <c r="B49" s="9" t="s">
        <v>1403</v>
      </c>
      <c r="C49" s="9" t="s">
        <v>1554</v>
      </c>
      <c r="D49" s="9" t="s">
        <v>1555</v>
      </c>
      <c r="E49" s="9" t="s">
        <v>21</v>
      </c>
      <c r="F49" s="9" t="s">
        <v>22</v>
      </c>
      <c r="G49" s="9">
        <v>144</v>
      </c>
      <c r="H49" s="9" t="s">
        <v>23</v>
      </c>
      <c r="I49" s="9" t="s">
        <v>186</v>
      </c>
      <c r="J49" s="9" t="s">
        <v>41</v>
      </c>
      <c r="K49" s="9" t="s">
        <v>26</v>
      </c>
      <c r="L49" s="9" t="s">
        <v>187</v>
      </c>
      <c r="M49" s="9">
        <v>5999</v>
      </c>
      <c r="N49" s="9" t="s">
        <v>187</v>
      </c>
      <c r="O49" s="9" t="s">
        <v>1556</v>
      </c>
      <c r="P49" s="9" t="s">
        <v>1409</v>
      </c>
      <c r="Q49" s="9" t="s">
        <v>1410</v>
      </c>
      <c r="R49" s="7"/>
      <c r="S49" s="49" t="s">
        <v>264</v>
      </c>
      <c r="T49" s="50">
        <f>U41+U42+U43+U44+U45+U46+U47</f>
        <v>350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1403</v>
      </c>
      <c r="C50" s="8" t="s">
        <v>1557</v>
      </c>
      <c r="D50" s="8" t="s">
        <v>1558</v>
      </c>
      <c r="E50" s="8" t="s">
        <v>21</v>
      </c>
      <c r="F50" s="8" t="s">
        <v>22</v>
      </c>
      <c r="G50" s="8">
        <v>635</v>
      </c>
      <c r="H50" s="8" t="s">
        <v>23</v>
      </c>
      <c r="I50" s="8" t="s">
        <v>186</v>
      </c>
      <c r="J50" s="8" t="s">
        <v>41</v>
      </c>
      <c r="K50" s="8" t="s">
        <v>26</v>
      </c>
      <c r="L50" s="8" t="s">
        <v>187</v>
      </c>
      <c r="M50" s="8">
        <v>5999</v>
      </c>
      <c r="N50" s="8" t="s">
        <v>187</v>
      </c>
      <c r="O50" s="8" t="s">
        <v>1559</v>
      </c>
      <c r="P50" s="8" t="s">
        <v>1409</v>
      </c>
      <c r="Q50" s="8" t="s">
        <v>1410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CCC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1403</v>
      </c>
      <c r="C51" s="9" t="s">
        <v>1560</v>
      </c>
      <c r="D51" s="9" t="s">
        <v>1561</v>
      </c>
      <c r="E51" s="9" t="s">
        <v>21</v>
      </c>
      <c r="F51" s="9" t="s">
        <v>22</v>
      </c>
      <c r="G51" s="9">
        <v>348</v>
      </c>
      <c r="H51" s="9" t="s">
        <v>23</v>
      </c>
      <c r="I51" s="9" t="s">
        <v>198</v>
      </c>
      <c r="J51" s="9" t="s">
        <v>36</v>
      </c>
      <c r="K51" s="9" t="s">
        <v>26</v>
      </c>
      <c r="L51" s="9" t="s">
        <v>199</v>
      </c>
      <c r="M51" s="9">
        <v>4900</v>
      </c>
      <c r="N51" s="9" t="s">
        <v>199</v>
      </c>
      <c r="O51" s="9" t="s">
        <v>1562</v>
      </c>
      <c r="P51" s="9" t="s">
        <v>1409</v>
      </c>
      <c r="Q51" s="9" t="s">
        <v>1410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Poor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1403</v>
      </c>
      <c r="C52" s="8" t="s">
        <v>1563</v>
      </c>
      <c r="D52" s="8" t="s">
        <v>1564</v>
      </c>
      <c r="E52" s="8" t="s">
        <v>94</v>
      </c>
      <c r="F52" s="8" t="s">
        <v>22</v>
      </c>
      <c r="G52" s="8">
        <v>2900</v>
      </c>
      <c r="H52" s="8" t="s">
        <v>23</v>
      </c>
      <c r="I52" s="8" t="s">
        <v>1432</v>
      </c>
      <c r="J52" s="8" t="s">
        <v>96</v>
      </c>
      <c r="K52" s="8" t="s">
        <v>97</v>
      </c>
      <c r="L52" s="8" t="s">
        <v>1433</v>
      </c>
      <c r="M52" s="8"/>
      <c r="N52" s="8" t="s">
        <v>1433</v>
      </c>
      <c r="O52" s="8" t="s">
        <v>1565</v>
      </c>
      <c r="P52" s="8" t="s">
        <v>1409</v>
      </c>
      <c r="Q52" s="8" t="s">
        <v>1410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Very Low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1403</v>
      </c>
      <c r="C53" s="9" t="s">
        <v>1566</v>
      </c>
      <c r="D53" s="9" t="s">
        <v>1567</v>
      </c>
      <c r="E53" s="9" t="s">
        <v>21</v>
      </c>
      <c r="F53" s="9" t="s">
        <v>22</v>
      </c>
      <c r="G53" s="9">
        <v>237</v>
      </c>
      <c r="H53" s="9" t="s">
        <v>23</v>
      </c>
      <c r="I53" s="9" t="s">
        <v>351</v>
      </c>
      <c r="J53" s="9" t="s">
        <v>36</v>
      </c>
      <c r="K53" s="9" t="s">
        <v>26</v>
      </c>
      <c r="L53" s="9" t="s">
        <v>352</v>
      </c>
      <c r="M53" s="9">
        <v>4813</v>
      </c>
      <c r="N53" s="9" t="s">
        <v>352</v>
      </c>
      <c r="O53" s="9" t="s">
        <v>1568</v>
      </c>
      <c r="P53" s="9" t="s">
        <v>1409</v>
      </c>
      <c r="Q53" s="9" t="s">
        <v>1410</v>
      </c>
      <c r="R53" s="7"/>
    </row>
    <row r="54" spans="1:23" ht="15.75" customHeight="1">
      <c r="A54" s="8">
        <v>53</v>
      </c>
      <c r="B54" s="8" t="s">
        <v>1403</v>
      </c>
      <c r="C54" s="8" t="s">
        <v>1569</v>
      </c>
      <c r="D54" s="8" t="s">
        <v>1570</v>
      </c>
      <c r="E54" s="8" t="s">
        <v>21</v>
      </c>
      <c r="F54" s="8" t="s">
        <v>22</v>
      </c>
      <c r="G54" s="8">
        <v>428</v>
      </c>
      <c r="H54" s="8" t="s">
        <v>23</v>
      </c>
      <c r="I54" s="8" t="s">
        <v>244</v>
      </c>
      <c r="J54" s="8" t="s">
        <v>41</v>
      </c>
      <c r="K54" s="8" t="s">
        <v>26</v>
      </c>
      <c r="L54" s="8" t="s">
        <v>245</v>
      </c>
      <c r="M54" s="8">
        <v>5411</v>
      </c>
      <c r="N54" s="8" t="s">
        <v>245</v>
      </c>
      <c r="O54" s="8" t="s">
        <v>1571</v>
      </c>
      <c r="P54" s="8" t="s">
        <v>1409</v>
      </c>
      <c r="Q54" s="8" t="s">
        <v>1410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R56" s="7"/>
      <c r="S56" s="61" t="s">
        <v>294</v>
      </c>
      <c r="T56" s="62">
        <f>IFERROR(U24/T24,0)</f>
        <v>0.33149171270718236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R58" s="7"/>
      <c r="S58" s="61" t="s">
        <v>303</v>
      </c>
      <c r="T58" s="62">
        <f>T35</f>
        <v>8.4143646408839687E-2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R59" s="7"/>
      <c r="S59" s="68" t="s">
        <v>308</v>
      </c>
      <c r="T59" s="69">
        <f>T36</f>
        <v>253.83333333333303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R63" s="7"/>
      <c r="S63" s="68" t="s">
        <v>333</v>
      </c>
      <c r="T63" s="74">
        <f>IFERROR((MIN(1,SUMPRODUCT((LEFT($C$2:$C$54,7)=TEXT(S9,"YYYY-MM"))*($E$2:$E$54="KSAOB.Credit")*($K$2:$K$54="KSAOB.Deposit")))+MIN(1,SUMPRODUCT((LEFT($C$2:$C$54,7)=TEXT(S10,"YYYY-MM"))*($E$2:$E$54="KSAOB.Credit")*($K$2:$K$54="KSAOB.Deposit")))+MIN(1,SUMPRODUCT((LEFT($C$2:$C$54,7)=TEXT(S11,"YYYY-MM"))*($E$2:$E$54="KSAOB.Credit")*($K$2:$K$54="KSAOB.Deposit")))+MIN(1,SUMPRODUCT((LEFT($C$2:$C$54,7)=TEXT(S12,"YYYY-MM"))*($E$2:$E$54="KSAOB.Credit")*($K$2:$K$54="KSAOB.Deposit")))+MIN(1,SUMPRODUCT((LEFT($C$2:$C$54,7)=TEXT(S13,"YYYY-MM"))*($E$2:$E$54="KSAOB.Credit")*($K$2:$K$54="KSAOB.Deposit")))+MIN(1,SUMPRODUCT((LEFT($C$2:$C$54,7)=TEXT(S14,"YYYY-MM"))*($E$2:$E$54="KSAOB.Credit")*($K$2:$K$54="KSAOB.Deposit"))))/6,0)</f>
        <v>1</v>
      </c>
      <c r="U63" s="32" t="s">
        <v>334</v>
      </c>
      <c r="V63" s="36" t="str">
        <f>IF(T63&gt;=0.9,"✅ Meets","⚠️ Below")</f>
        <v>✅ Meets</v>
      </c>
      <c r="W63" s="34" t="s">
        <v>1572</v>
      </c>
    </row>
    <row r="64" spans="1:23" ht="15" customHeight="1">
      <c r="R64" s="7"/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9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7" style="5" customWidth="1"/>
    <col min="13" max="13" width="22" style="5" customWidth="1"/>
    <col min="14" max="14" width="27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1573</v>
      </c>
      <c r="T1" s="4"/>
      <c r="U1" s="4"/>
      <c r="V1" s="4"/>
      <c r="W1" s="4"/>
    </row>
    <row r="2" spans="1:23" ht="13.5" customHeight="1">
      <c r="A2" s="8">
        <v>1</v>
      </c>
      <c r="B2" s="8" t="s">
        <v>1574</v>
      </c>
      <c r="C2" s="8" t="s">
        <v>1575</v>
      </c>
      <c r="D2" s="8" t="s">
        <v>1576</v>
      </c>
      <c r="E2" s="8" t="s">
        <v>21</v>
      </c>
      <c r="F2" s="8" t="s">
        <v>22</v>
      </c>
      <c r="G2" s="8">
        <v>700</v>
      </c>
      <c r="H2" s="8" t="s">
        <v>23</v>
      </c>
      <c r="I2" s="8" t="s">
        <v>102</v>
      </c>
      <c r="J2" s="8" t="s">
        <v>41</v>
      </c>
      <c r="K2" s="8" t="s">
        <v>26</v>
      </c>
      <c r="L2" s="8" t="s">
        <v>103</v>
      </c>
      <c r="M2" s="8">
        <v>5411</v>
      </c>
      <c r="N2" s="8" t="s">
        <v>103</v>
      </c>
      <c r="O2" s="8" t="s">
        <v>1577</v>
      </c>
      <c r="P2" s="8" t="s">
        <v>1578</v>
      </c>
      <c r="Q2" s="8" t="s">
        <v>1579</v>
      </c>
      <c r="R2" s="7"/>
      <c r="S2" s="3" t="s">
        <v>1580</v>
      </c>
      <c r="T2" s="3"/>
      <c r="U2" s="3"/>
      <c r="V2" s="3"/>
      <c r="W2" s="3"/>
    </row>
    <row r="3" spans="1:23" ht="3.75" customHeight="1">
      <c r="A3" s="9">
        <v>2</v>
      </c>
      <c r="B3" s="9" t="s">
        <v>1574</v>
      </c>
      <c r="C3" s="9" t="s">
        <v>1581</v>
      </c>
      <c r="D3" s="9" t="s">
        <v>1582</v>
      </c>
      <c r="E3" s="9" t="s">
        <v>21</v>
      </c>
      <c r="F3" s="9" t="s">
        <v>22</v>
      </c>
      <c r="G3" s="9">
        <v>4000</v>
      </c>
      <c r="H3" s="9" t="s">
        <v>23</v>
      </c>
      <c r="I3" s="9" t="s">
        <v>1583</v>
      </c>
      <c r="J3" s="9" t="s">
        <v>36</v>
      </c>
      <c r="K3" s="9" t="s">
        <v>26</v>
      </c>
      <c r="L3" s="9" t="s">
        <v>1584</v>
      </c>
      <c r="M3" s="9">
        <v>6012</v>
      </c>
      <c r="N3" s="9" t="s">
        <v>1584</v>
      </c>
      <c r="O3" s="9" t="s">
        <v>1585</v>
      </c>
      <c r="P3" s="9" t="s">
        <v>1578</v>
      </c>
      <c r="Q3" s="9" t="s">
        <v>1579</v>
      </c>
      <c r="R3" s="7"/>
    </row>
    <row r="4" spans="1:23" ht="15" customHeight="1">
      <c r="A4" s="8">
        <v>3</v>
      </c>
      <c r="B4" s="8" t="s">
        <v>1574</v>
      </c>
      <c r="C4" s="8" t="s">
        <v>1586</v>
      </c>
      <c r="D4" s="8" t="s">
        <v>1587</v>
      </c>
      <c r="E4" s="8" t="s">
        <v>21</v>
      </c>
      <c r="F4" s="8" t="s">
        <v>22</v>
      </c>
      <c r="G4" s="8">
        <v>373</v>
      </c>
      <c r="H4" s="8" t="s">
        <v>23</v>
      </c>
      <c r="I4" s="8" t="s">
        <v>574</v>
      </c>
      <c r="J4" s="8" t="s">
        <v>41</v>
      </c>
      <c r="K4" s="8" t="s">
        <v>26</v>
      </c>
      <c r="L4" s="8" t="s">
        <v>575</v>
      </c>
      <c r="M4" s="8">
        <v>5812</v>
      </c>
      <c r="N4" s="8" t="s">
        <v>575</v>
      </c>
      <c r="O4" s="8" t="s">
        <v>1588</v>
      </c>
      <c r="P4" s="8" t="s">
        <v>1578</v>
      </c>
      <c r="Q4" s="8" t="s">
        <v>1579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1574</v>
      </c>
      <c r="C5" s="9" t="s">
        <v>1589</v>
      </c>
      <c r="D5" s="9" t="s">
        <v>1590</v>
      </c>
      <c r="E5" s="9" t="s">
        <v>21</v>
      </c>
      <c r="F5" s="9" t="s">
        <v>22</v>
      </c>
      <c r="G5" s="9">
        <v>665</v>
      </c>
      <c r="H5" s="9" t="s">
        <v>23</v>
      </c>
      <c r="I5" s="9" t="s">
        <v>78</v>
      </c>
      <c r="J5" s="9" t="s">
        <v>41</v>
      </c>
      <c r="K5" s="9" t="s">
        <v>26</v>
      </c>
      <c r="L5" s="9" t="s">
        <v>79</v>
      </c>
      <c r="M5" s="9">
        <v>7996</v>
      </c>
      <c r="N5" s="9" t="s">
        <v>79</v>
      </c>
      <c r="O5" s="9" t="s">
        <v>1591</v>
      </c>
      <c r="P5" s="9" t="s">
        <v>1578</v>
      </c>
      <c r="Q5" s="9" t="s">
        <v>1579</v>
      </c>
      <c r="R5" s="7"/>
      <c r="S5" s="10" t="s">
        <v>48</v>
      </c>
      <c r="T5" s="11">
        <v>45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1574</v>
      </c>
      <c r="C6" s="8" t="s">
        <v>1592</v>
      </c>
      <c r="D6" s="8" t="s">
        <v>1593</v>
      </c>
      <c r="E6" s="8" t="s">
        <v>21</v>
      </c>
      <c r="F6" s="8" t="s">
        <v>22</v>
      </c>
      <c r="G6" s="8">
        <v>372</v>
      </c>
      <c r="H6" s="8" t="s">
        <v>23</v>
      </c>
      <c r="I6" s="8" t="s">
        <v>254</v>
      </c>
      <c r="J6" s="8" t="s">
        <v>41</v>
      </c>
      <c r="K6" s="8" t="s">
        <v>26</v>
      </c>
      <c r="L6" s="8" t="s">
        <v>255</v>
      </c>
      <c r="M6" s="8">
        <v>5812</v>
      </c>
      <c r="N6" s="8" t="s">
        <v>255</v>
      </c>
      <c r="O6" s="8" t="s">
        <v>1594</v>
      </c>
      <c r="P6" s="8" t="s">
        <v>1578</v>
      </c>
      <c r="Q6" s="8" t="s">
        <v>1579</v>
      </c>
      <c r="R6" s="7"/>
    </row>
    <row r="7" spans="1:23" ht="15" customHeight="1">
      <c r="A7" s="9">
        <v>6</v>
      </c>
      <c r="B7" s="9" t="s">
        <v>1574</v>
      </c>
      <c r="C7" s="9" t="s">
        <v>1595</v>
      </c>
      <c r="D7" s="9" t="s">
        <v>1596</v>
      </c>
      <c r="E7" s="9" t="s">
        <v>21</v>
      </c>
      <c r="F7" s="9" t="s">
        <v>22</v>
      </c>
      <c r="G7" s="9">
        <v>665</v>
      </c>
      <c r="H7" s="9" t="s">
        <v>23</v>
      </c>
      <c r="I7" s="9" t="s">
        <v>78</v>
      </c>
      <c r="J7" s="9" t="s">
        <v>41</v>
      </c>
      <c r="K7" s="9" t="s">
        <v>26</v>
      </c>
      <c r="L7" s="9" t="s">
        <v>79</v>
      </c>
      <c r="M7" s="9">
        <v>7996</v>
      </c>
      <c r="N7" s="9" t="s">
        <v>79</v>
      </c>
      <c r="O7" s="9" t="s">
        <v>1597</v>
      </c>
      <c r="P7" s="9" t="s">
        <v>1578</v>
      </c>
      <c r="Q7" s="9" t="s">
        <v>1579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1574</v>
      </c>
      <c r="C8" s="8" t="s">
        <v>1598</v>
      </c>
      <c r="D8" s="8" t="s">
        <v>1599</v>
      </c>
      <c r="E8" s="8" t="s">
        <v>21</v>
      </c>
      <c r="F8" s="8" t="s">
        <v>22</v>
      </c>
      <c r="G8" s="8">
        <v>1161</v>
      </c>
      <c r="H8" s="8" t="s">
        <v>23</v>
      </c>
      <c r="I8" s="8" t="s">
        <v>198</v>
      </c>
      <c r="J8" s="8" t="s">
        <v>36</v>
      </c>
      <c r="K8" s="8" t="s">
        <v>26</v>
      </c>
      <c r="L8" s="8" t="s">
        <v>199</v>
      </c>
      <c r="M8" s="8">
        <v>4900</v>
      </c>
      <c r="N8" s="8" t="s">
        <v>199</v>
      </c>
      <c r="O8" s="8" t="s">
        <v>1600</v>
      </c>
      <c r="P8" s="8" t="s">
        <v>1578</v>
      </c>
      <c r="Q8" s="8" t="s">
        <v>1579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1574</v>
      </c>
      <c r="C9" s="9" t="s">
        <v>1601</v>
      </c>
      <c r="D9" s="9" t="s">
        <v>1602</v>
      </c>
      <c r="E9" s="9" t="s">
        <v>21</v>
      </c>
      <c r="F9" s="9" t="s">
        <v>22</v>
      </c>
      <c r="G9" s="9">
        <v>519</v>
      </c>
      <c r="H9" s="9" t="s">
        <v>23</v>
      </c>
      <c r="I9" s="9" t="s">
        <v>174</v>
      </c>
      <c r="J9" s="9" t="s">
        <v>36</v>
      </c>
      <c r="K9" s="9" t="s">
        <v>26</v>
      </c>
      <c r="L9" s="9" t="s">
        <v>175</v>
      </c>
      <c r="M9" s="9">
        <v>4813</v>
      </c>
      <c r="N9" s="9" t="s">
        <v>175</v>
      </c>
      <c r="O9" s="9" t="s">
        <v>1603</v>
      </c>
      <c r="P9" s="9" t="s">
        <v>1578</v>
      </c>
      <c r="Q9" s="9" t="s">
        <v>1579</v>
      </c>
      <c r="R9" s="7"/>
      <c r="S9" s="15">
        <v>45627</v>
      </c>
      <c r="T9" s="16">
        <f t="shared" ref="T9:T23" si="0">IFERROR(SUMPRODUCT((LEFT($C$2:$C$296,7)=TEXT(S9,"YYYY-MM"))*($E$2:$E$296="KSAOB.Credit")*($K$2:$K$296="KSAOB.Deposit")*($G$2:$G$296)),0)</f>
        <v>27800</v>
      </c>
      <c r="U9" s="16">
        <f t="shared" ref="U9:U23" si="1">IFERROR(SUMPRODUCT((LEFT($C$2:$C$296,7)=TEXT(S9,"YYYY-MM"))*($E$2:$E$296="KSAOB.Debit")*($M$2:$M$296=6012)*($G$2:$G$296)),0)</f>
        <v>4000</v>
      </c>
      <c r="V9" s="16">
        <f t="shared" ref="V9:V23" si="2">IFERROR(SUMPRODUCT((LEFT($C$2:$C$296,7)=TEXT(S9,"YYYY-MM"))*($E$2:$E$296="KSAOB.Debit")*($M$2:$M$296&lt;&gt;6012)*($G$2:$G$296)),0)</f>
        <v>14800</v>
      </c>
      <c r="W9" s="17">
        <f t="shared" ref="W9:W24" si="3">T9-U9-V9</f>
        <v>9000</v>
      </c>
    </row>
    <row r="10" spans="1:23" ht="15" customHeight="1">
      <c r="A10" s="8">
        <v>9</v>
      </c>
      <c r="B10" s="8" t="s">
        <v>1574</v>
      </c>
      <c r="C10" s="8" t="s">
        <v>1604</v>
      </c>
      <c r="D10" s="8" t="s">
        <v>1605</v>
      </c>
      <c r="E10" s="8" t="s">
        <v>21</v>
      </c>
      <c r="F10" s="8" t="s">
        <v>22</v>
      </c>
      <c r="G10" s="8">
        <v>700</v>
      </c>
      <c r="H10" s="8" t="s">
        <v>23</v>
      </c>
      <c r="I10" s="8" t="s">
        <v>180</v>
      </c>
      <c r="J10" s="8" t="s">
        <v>41</v>
      </c>
      <c r="K10" s="8" t="s">
        <v>26</v>
      </c>
      <c r="L10" s="8" t="s">
        <v>181</v>
      </c>
      <c r="M10" s="8">
        <v>5411</v>
      </c>
      <c r="N10" s="8" t="s">
        <v>181</v>
      </c>
      <c r="O10" s="8" t="s">
        <v>1606</v>
      </c>
      <c r="P10" s="8" t="s">
        <v>1578</v>
      </c>
      <c r="Q10" s="8" t="s">
        <v>1579</v>
      </c>
      <c r="R10" s="7"/>
      <c r="S10" s="18">
        <v>45658</v>
      </c>
      <c r="T10" s="19">
        <f t="shared" si="0"/>
        <v>28500</v>
      </c>
      <c r="U10" s="19">
        <f t="shared" si="1"/>
        <v>4000</v>
      </c>
      <c r="V10" s="19">
        <f t="shared" si="2"/>
        <v>15200</v>
      </c>
      <c r="W10" s="20">
        <f t="shared" si="3"/>
        <v>9300</v>
      </c>
    </row>
    <row r="11" spans="1:23" ht="15" customHeight="1">
      <c r="A11" s="9">
        <v>10</v>
      </c>
      <c r="B11" s="9" t="s">
        <v>1574</v>
      </c>
      <c r="C11" s="9" t="s">
        <v>1607</v>
      </c>
      <c r="D11" s="9" t="s">
        <v>1608</v>
      </c>
      <c r="E11" s="9" t="s">
        <v>21</v>
      </c>
      <c r="F11" s="9" t="s">
        <v>22</v>
      </c>
      <c r="G11" s="9">
        <v>677</v>
      </c>
      <c r="H11" s="9" t="s">
        <v>23</v>
      </c>
      <c r="I11" s="9" t="s">
        <v>318</v>
      </c>
      <c r="J11" s="9" t="s">
        <v>25</v>
      </c>
      <c r="K11" s="9" t="s">
        <v>26</v>
      </c>
      <c r="L11" s="9" t="s">
        <v>319</v>
      </c>
      <c r="M11" s="9">
        <v>5999</v>
      </c>
      <c r="N11" s="9" t="s">
        <v>319</v>
      </c>
      <c r="O11" s="9" t="s">
        <v>1609</v>
      </c>
      <c r="P11" s="9" t="s">
        <v>1578</v>
      </c>
      <c r="Q11" s="9" t="s">
        <v>1579</v>
      </c>
      <c r="R11" s="7"/>
      <c r="S11" s="15">
        <v>45689</v>
      </c>
      <c r="T11" s="16">
        <f t="shared" si="0"/>
        <v>27900</v>
      </c>
      <c r="U11" s="16">
        <f t="shared" si="1"/>
        <v>4000</v>
      </c>
      <c r="V11" s="16">
        <f t="shared" si="2"/>
        <v>14900</v>
      </c>
      <c r="W11" s="17">
        <f t="shared" si="3"/>
        <v>9000</v>
      </c>
    </row>
    <row r="12" spans="1:23" ht="15" customHeight="1">
      <c r="A12" s="8">
        <v>11</v>
      </c>
      <c r="B12" s="8" t="s">
        <v>1574</v>
      </c>
      <c r="C12" s="8" t="s">
        <v>1610</v>
      </c>
      <c r="D12" s="8" t="s">
        <v>1611</v>
      </c>
      <c r="E12" s="8" t="s">
        <v>21</v>
      </c>
      <c r="F12" s="8" t="s">
        <v>22</v>
      </c>
      <c r="G12" s="8">
        <v>760</v>
      </c>
      <c r="H12" s="8" t="s">
        <v>23</v>
      </c>
      <c r="I12" s="8" t="s">
        <v>286</v>
      </c>
      <c r="J12" s="8" t="s">
        <v>41</v>
      </c>
      <c r="K12" s="8" t="s">
        <v>26</v>
      </c>
      <c r="L12" s="8" t="s">
        <v>287</v>
      </c>
      <c r="M12" s="8">
        <v>8011</v>
      </c>
      <c r="N12" s="8" t="s">
        <v>287</v>
      </c>
      <c r="O12" s="8" t="s">
        <v>1612</v>
      </c>
      <c r="P12" s="8" t="s">
        <v>1578</v>
      </c>
      <c r="Q12" s="8" t="s">
        <v>1579</v>
      </c>
      <c r="R12" s="7"/>
      <c r="S12" s="18">
        <v>45717</v>
      </c>
      <c r="T12" s="19">
        <f t="shared" si="0"/>
        <v>28200</v>
      </c>
      <c r="U12" s="19">
        <f t="shared" si="1"/>
        <v>4000</v>
      </c>
      <c r="V12" s="19">
        <f t="shared" si="2"/>
        <v>15300</v>
      </c>
      <c r="W12" s="20">
        <f t="shared" si="3"/>
        <v>8900</v>
      </c>
    </row>
    <row r="13" spans="1:23" ht="15" customHeight="1">
      <c r="A13" s="9">
        <v>12</v>
      </c>
      <c r="B13" s="9" t="s">
        <v>1574</v>
      </c>
      <c r="C13" s="9" t="s">
        <v>1613</v>
      </c>
      <c r="D13" s="9" t="s">
        <v>1614</v>
      </c>
      <c r="E13" s="9" t="s">
        <v>21</v>
      </c>
      <c r="F13" s="9" t="s">
        <v>22</v>
      </c>
      <c r="G13" s="9">
        <v>372</v>
      </c>
      <c r="H13" s="9" t="s">
        <v>23</v>
      </c>
      <c r="I13" s="9" t="s">
        <v>115</v>
      </c>
      <c r="J13" s="9" t="s">
        <v>41</v>
      </c>
      <c r="K13" s="9" t="s">
        <v>26</v>
      </c>
      <c r="L13" s="9" t="s">
        <v>116</v>
      </c>
      <c r="M13" s="9">
        <v>5812</v>
      </c>
      <c r="N13" s="9" t="s">
        <v>116</v>
      </c>
      <c r="O13" s="9" t="s">
        <v>1615</v>
      </c>
      <c r="P13" s="9" t="s">
        <v>1578</v>
      </c>
      <c r="Q13" s="9" t="s">
        <v>1579</v>
      </c>
      <c r="R13" s="7"/>
      <c r="S13" s="15">
        <v>45748</v>
      </c>
      <c r="T13" s="16">
        <f t="shared" si="0"/>
        <v>27600</v>
      </c>
      <c r="U13" s="16">
        <f t="shared" si="1"/>
        <v>4000</v>
      </c>
      <c r="V13" s="16">
        <f t="shared" si="2"/>
        <v>14700</v>
      </c>
      <c r="W13" s="17">
        <f t="shared" si="3"/>
        <v>8900</v>
      </c>
    </row>
    <row r="14" spans="1:23" ht="15" customHeight="1">
      <c r="A14" s="8">
        <v>13</v>
      </c>
      <c r="B14" s="8" t="s">
        <v>1574</v>
      </c>
      <c r="C14" s="8" t="s">
        <v>1616</v>
      </c>
      <c r="D14" s="8" t="s">
        <v>1617</v>
      </c>
      <c r="E14" s="8" t="s">
        <v>21</v>
      </c>
      <c r="F14" s="8" t="s">
        <v>22</v>
      </c>
      <c r="G14" s="8">
        <v>677</v>
      </c>
      <c r="H14" s="8" t="s">
        <v>23</v>
      </c>
      <c r="I14" s="8" t="s">
        <v>127</v>
      </c>
      <c r="J14" s="8" t="s">
        <v>25</v>
      </c>
      <c r="K14" s="8" t="s">
        <v>26</v>
      </c>
      <c r="L14" s="8" t="s">
        <v>128</v>
      </c>
      <c r="M14" s="8">
        <v>5999</v>
      </c>
      <c r="N14" s="8" t="s">
        <v>128</v>
      </c>
      <c r="O14" s="8" t="s">
        <v>1618</v>
      </c>
      <c r="P14" s="8" t="s">
        <v>1578</v>
      </c>
      <c r="Q14" s="8" t="s">
        <v>1579</v>
      </c>
      <c r="R14" s="7"/>
      <c r="S14" s="18">
        <v>45778</v>
      </c>
      <c r="T14" s="19">
        <f t="shared" si="0"/>
        <v>28400</v>
      </c>
      <c r="U14" s="19">
        <f t="shared" si="1"/>
        <v>4000</v>
      </c>
      <c r="V14" s="19">
        <f t="shared" si="2"/>
        <v>15100</v>
      </c>
      <c r="W14" s="20">
        <f t="shared" si="3"/>
        <v>9300</v>
      </c>
    </row>
    <row r="15" spans="1:23" ht="15" customHeight="1">
      <c r="A15" s="9">
        <v>14</v>
      </c>
      <c r="B15" s="9" t="s">
        <v>1574</v>
      </c>
      <c r="C15" s="9" t="s">
        <v>1619</v>
      </c>
      <c r="D15" s="9" t="s">
        <v>1620</v>
      </c>
      <c r="E15" s="9" t="s">
        <v>21</v>
      </c>
      <c r="F15" s="9" t="s">
        <v>22</v>
      </c>
      <c r="G15" s="9">
        <v>542</v>
      </c>
      <c r="H15" s="9" t="s">
        <v>23</v>
      </c>
      <c r="I15" s="9" t="s">
        <v>123</v>
      </c>
      <c r="J15" s="9" t="s">
        <v>41</v>
      </c>
      <c r="K15" s="9" t="s">
        <v>26</v>
      </c>
      <c r="L15" s="9" t="s">
        <v>124</v>
      </c>
      <c r="M15" s="9">
        <v>5541</v>
      </c>
      <c r="N15" s="9" t="s">
        <v>124</v>
      </c>
      <c r="O15" s="9" t="s">
        <v>1621</v>
      </c>
      <c r="P15" s="9" t="s">
        <v>1578</v>
      </c>
      <c r="Q15" s="9" t="s">
        <v>1579</v>
      </c>
      <c r="R15" s="7"/>
      <c r="S15" s="15">
        <v>45809</v>
      </c>
      <c r="T15" s="16">
        <f t="shared" si="0"/>
        <v>27800</v>
      </c>
      <c r="U15" s="16">
        <f t="shared" si="1"/>
        <v>4000</v>
      </c>
      <c r="V15" s="16">
        <f t="shared" si="2"/>
        <v>15000</v>
      </c>
      <c r="W15" s="17">
        <f t="shared" si="3"/>
        <v>8800</v>
      </c>
    </row>
    <row r="16" spans="1:23" ht="15" customHeight="1">
      <c r="A16" s="8">
        <v>15</v>
      </c>
      <c r="B16" s="8" t="s">
        <v>1574</v>
      </c>
      <c r="C16" s="8" t="s">
        <v>1622</v>
      </c>
      <c r="D16" s="8" t="s">
        <v>1623</v>
      </c>
      <c r="E16" s="8" t="s">
        <v>21</v>
      </c>
      <c r="F16" s="8" t="s">
        <v>22</v>
      </c>
      <c r="G16" s="8">
        <v>699</v>
      </c>
      <c r="H16" s="8" t="s">
        <v>23</v>
      </c>
      <c r="I16" s="8" t="s">
        <v>379</v>
      </c>
      <c r="J16" s="8" t="s">
        <v>41</v>
      </c>
      <c r="K16" s="8" t="s">
        <v>26</v>
      </c>
      <c r="L16" s="8" t="s">
        <v>380</v>
      </c>
      <c r="M16" s="8">
        <v>5411</v>
      </c>
      <c r="N16" s="8" t="s">
        <v>380</v>
      </c>
      <c r="O16" s="8" t="s">
        <v>1624</v>
      </c>
      <c r="P16" s="8" t="s">
        <v>1578</v>
      </c>
      <c r="Q16" s="8" t="s">
        <v>1579</v>
      </c>
      <c r="R16" s="7"/>
      <c r="S16" s="18">
        <v>45839</v>
      </c>
      <c r="T16" s="19">
        <f t="shared" si="0"/>
        <v>52000</v>
      </c>
      <c r="U16" s="19">
        <f t="shared" si="1"/>
        <v>4000</v>
      </c>
      <c r="V16" s="19">
        <f t="shared" si="2"/>
        <v>17000</v>
      </c>
      <c r="W16" s="20">
        <f t="shared" si="3"/>
        <v>31000</v>
      </c>
    </row>
    <row r="17" spans="1:23" ht="15" customHeight="1">
      <c r="A17" s="9">
        <v>16</v>
      </c>
      <c r="B17" s="9" t="s">
        <v>1574</v>
      </c>
      <c r="C17" s="9" t="s">
        <v>1625</v>
      </c>
      <c r="D17" s="9" t="s">
        <v>1626</v>
      </c>
      <c r="E17" s="9" t="s">
        <v>21</v>
      </c>
      <c r="F17" s="9" t="s">
        <v>22</v>
      </c>
      <c r="G17" s="9">
        <v>372</v>
      </c>
      <c r="H17" s="9" t="s">
        <v>23</v>
      </c>
      <c r="I17" s="9" t="s">
        <v>217</v>
      </c>
      <c r="J17" s="9" t="s">
        <v>41</v>
      </c>
      <c r="K17" s="9" t="s">
        <v>26</v>
      </c>
      <c r="L17" s="9" t="s">
        <v>218</v>
      </c>
      <c r="M17" s="9">
        <v>5812</v>
      </c>
      <c r="N17" s="9" t="s">
        <v>218</v>
      </c>
      <c r="O17" s="9" t="s">
        <v>1627</v>
      </c>
      <c r="P17" s="9" t="s">
        <v>1578</v>
      </c>
      <c r="Q17" s="9" t="s">
        <v>1579</v>
      </c>
      <c r="R17" s="7"/>
      <c r="S17" s="15">
        <v>45870</v>
      </c>
      <c r="T17" s="16">
        <f t="shared" si="0"/>
        <v>28100</v>
      </c>
      <c r="U17" s="16">
        <f t="shared" si="1"/>
        <v>4000</v>
      </c>
      <c r="V17" s="16">
        <f t="shared" si="2"/>
        <v>14900</v>
      </c>
      <c r="W17" s="17">
        <f t="shared" si="3"/>
        <v>9200</v>
      </c>
    </row>
    <row r="18" spans="1:23" ht="15" customHeight="1">
      <c r="A18" s="8">
        <v>17</v>
      </c>
      <c r="B18" s="8" t="s">
        <v>1574</v>
      </c>
      <c r="C18" s="8" t="s">
        <v>1628</v>
      </c>
      <c r="D18" s="8" t="s">
        <v>1629</v>
      </c>
      <c r="E18" s="8" t="s">
        <v>21</v>
      </c>
      <c r="F18" s="8" t="s">
        <v>22</v>
      </c>
      <c r="G18" s="8">
        <v>372</v>
      </c>
      <c r="H18" s="8" t="s">
        <v>23</v>
      </c>
      <c r="I18" s="8" t="s">
        <v>115</v>
      </c>
      <c r="J18" s="8" t="s">
        <v>41</v>
      </c>
      <c r="K18" s="8" t="s">
        <v>26</v>
      </c>
      <c r="L18" s="8" t="s">
        <v>116</v>
      </c>
      <c r="M18" s="8">
        <v>5812</v>
      </c>
      <c r="N18" s="8" t="s">
        <v>116</v>
      </c>
      <c r="O18" s="8" t="s">
        <v>1630</v>
      </c>
      <c r="P18" s="8" t="s">
        <v>1578</v>
      </c>
      <c r="Q18" s="8" t="s">
        <v>1579</v>
      </c>
      <c r="R18" s="7"/>
      <c r="S18" s="18">
        <v>45901</v>
      </c>
      <c r="T18" s="19">
        <f t="shared" si="0"/>
        <v>27800</v>
      </c>
      <c r="U18" s="19">
        <f t="shared" si="1"/>
        <v>4000</v>
      </c>
      <c r="V18" s="19">
        <f t="shared" si="2"/>
        <v>15200</v>
      </c>
      <c r="W18" s="20">
        <f t="shared" si="3"/>
        <v>8600</v>
      </c>
    </row>
    <row r="19" spans="1:23" ht="15" customHeight="1">
      <c r="A19" s="9">
        <v>18</v>
      </c>
      <c r="B19" s="9" t="s">
        <v>1574</v>
      </c>
      <c r="C19" s="9" t="s">
        <v>1631</v>
      </c>
      <c r="D19" s="9" t="s">
        <v>1632</v>
      </c>
      <c r="E19" s="9" t="s">
        <v>21</v>
      </c>
      <c r="F19" s="9" t="s">
        <v>22</v>
      </c>
      <c r="G19" s="9">
        <v>1828</v>
      </c>
      <c r="H19" s="9" t="s">
        <v>23</v>
      </c>
      <c r="I19" s="9" t="s">
        <v>262</v>
      </c>
      <c r="J19" s="9" t="s">
        <v>25</v>
      </c>
      <c r="K19" s="9" t="s">
        <v>26</v>
      </c>
      <c r="L19" s="9" t="s">
        <v>263</v>
      </c>
      <c r="M19" s="9">
        <v>8299</v>
      </c>
      <c r="N19" s="9" t="s">
        <v>263</v>
      </c>
      <c r="O19" s="9" t="s">
        <v>1633</v>
      </c>
      <c r="P19" s="9" t="s">
        <v>1578</v>
      </c>
      <c r="Q19" s="9" t="s">
        <v>1579</v>
      </c>
      <c r="R19" s="7"/>
      <c r="S19" s="15">
        <v>45931</v>
      </c>
      <c r="T19" s="16">
        <f t="shared" si="0"/>
        <v>28300</v>
      </c>
      <c r="U19" s="16">
        <f t="shared" si="1"/>
        <v>4000</v>
      </c>
      <c r="V19" s="16">
        <f t="shared" si="2"/>
        <v>14800</v>
      </c>
      <c r="W19" s="17">
        <f t="shared" si="3"/>
        <v>9500</v>
      </c>
    </row>
    <row r="20" spans="1:23" ht="15" customHeight="1">
      <c r="A20" s="8">
        <v>19</v>
      </c>
      <c r="B20" s="8" t="s">
        <v>1574</v>
      </c>
      <c r="C20" s="8" t="s">
        <v>1634</v>
      </c>
      <c r="D20" s="8" t="s">
        <v>1635</v>
      </c>
      <c r="E20" s="8" t="s">
        <v>21</v>
      </c>
      <c r="F20" s="8" t="s">
        <v>22</v>
      </c>
      <c r="G20" s="8">
        <v>930</v>
      </c>
      <c r="H20" s="8" t="s">
        <v>23</v>
      </c>
      <c r="I20" s="8" t="s">
        <v>56</v>
      </c>
      <c r="J20" s="8" t="s">
        <v>41</v>
      </c>
      <c r="K20" s="8" t="s">
        <v>26</v>
      </c>
      <c r="L20" s="8" t="s">
        <v>57</v>
      </c>
      <c r="M20" s="8">
        <v>5999</v>
      </c>
      <c r="N20" s="8" t="s">
        <v>57</v>
      </c>
      <c r="O20" s="8" t="s">
        <v>1636</v>
      </c>
      <c r="P20" s="8" t="s">
        <v>1578</v>
      </c>
      <c r="Q20" s="8" t="s">
        <v>1579</v>
      </c>
      <c r="R20" s="7"/>
      <c r="S20" s="18">
        <v>45962</v>
      </c>
      <c r="T20" s="19">
        <f t="shared" si="0"/>
        <v>27900</v>
      </c>
      <c r="U20" s="19">
        <f t="shared" si="1"/>
        <v>4000</v>
      </c>
      <c r="V20" s="19">
        <f t="shared" si="2"/>
        <v>15100</v>
      </c>
      <c r="W20" s="20">
        <f t="shared" si="3"/>
        <v>8800</v>
      </c>
    </row>
    <row r="21" spans="1:23" ht="15" customHeight="1">
      <c r="A21" s="9">
        <v>20</v>
      </c>
      <c r="B21" s="9" t="s">
        <v>1574</v>
      </c>
      <c r="C21" s="9" t="s">
        <v>1637</v>
      </c>
      <c r="D21" s="9" t="s">
        <v>1638</v>
      </c>
      <c r="E21" s="9" t="s">
        <v>21</v>
      </c>
      <c r="F21" s="9" t="s">
        <v>22</v>
      </c>
      <c r="G21" s="9">
        <v>498</v>
      </c>
      <c r="H21" s="9" t="s">
        <v>23</v>
      </c>
      <c r="I21" s="9" t="s">
        <v>560</v>
      </c>
      <c r="J21" s="9" t="s">
        <v>331</v>
      </c>
      <c r="K21" s="9" t="s">
        <v>26</v>
      </c>
      <c r="L21" s="9" t="s">
        <v>561</v>
      </c>
      <c r="M21" s="9">
        <v>6011</v>
      </c>
      <c r="N21" s="9" t="s">
        <v>561</v>
      </c>
      <c r="O21" s="9" t="s">
        <v>1639</v>
      </c>
      <c r="P21" s="9" t="s">
        <v>1578</v>
      </c>
      <c r="Q21" s="9" t="s">
        <v>1579</v>
      </c>
      <c r="R21" s="7"/>
      <c r="S21" s="15">
        <v>45992</v>
      </c>
      <c r="T21" s="16">
        <f t="shared" si="0"/>
        <v>28200</v>
      </c>
      <c r="U21" s="16">
        <f t="shared" si="1"/>
        <v>4000</v>
      </c>
      <c r="V21" s="16">
        <f t="shared" si="2"/>
        <v>15000</v>
      </c>
      <c r="W21" s="17">
        <f t="shared" si="3"/>
        <v>9200</v>
      </c>
    </row>
    <row r="22" spans="1:23" ht="15" customHeight="1">
      <c r="A22" s="8">
        <v>21</v>
      </c>
      <c r="B22" s="8" t="s">
        <v>1574</v>
      </c>
      <c r="C22" s="8" t="s">
        <v>1640</v>
      </c>
      <c r="D22" s="8" t="s">
        <v>1641</v>
      </c>
      <c r="E22" s="8" t="s">
        <v>21</v>
      </c>
      <c r="F22" s="8" t="s">
        <v>22</v>
      </c>
      <c r="G22" s="8">
        <v>699</v>
      </c>
      <c r="H22" s="8" t="s">
        <v>23</v>
      </c>
      <c r="I22" s="8" t="s">
        <v>244</v>
      </c>
      <c r="J22" s="8" t="s">
        <v>41</v>
      </c>
      <c r="K22" s="8" t="s">
        <v>26</v>
      </c>
      <c r="L22" s="8" t="s">
        <v>245</v>
      </c>
      <c r="M22" s="8">
        <v>5411</v>
      </c>
      <c r="N22" s="8" t="s">
        <v>245</v>
      </c>
      <c r="O22" s="8" t="s">
        <v>1642</v>
      </c>
      <c r="P22" s="8" t="s">
        <v>1578</v>
      </c>
      <c r="Q22" s="8" t="s">
        <v>1579</v>
      </c>
      <c r="R22" s="7"/>
      <c r="S22" s="18">
        <v>46023</v>
      </c>
      <c r="T22" s="19">
        <f t="shared" si="0"/>
        <v>27800</v>
      </c>
      <c r="U22" s="19">
        <f t="shared" si="1"/>
        <v>4000</v>
      </c>
      <c r="V22" s="19">
        <f t="shared" si="2"/>
        <v>15200</v>
      </c>
      <c r="W22" s="20">
        <f t="shared" si="3"/>
        <v>8600</v>
      </c>
    </row>
    <row r="23" spans="1:23" ht="15" customHeight="1">
      <c r="A23" s="9">
        <v>22</v>
      </c>
      <c r="B23" s="9" t="s">
        <v>1574</v>
      </c>
      <c r="C23" s="9" t="s">
        <v>1643</v>
      </c>
      <c r="D23" s="9" t="s">
        <v>1644</v>
      </c>
      <c r="E23" s="9" t="s">
        <v>94</v>
      </c>
      <c r="F23" s="9" t="s">
        <v>22</v>
      </c>
      <c r="G23" s="9">
        <v>27800</v>
      </c>
      <c r="H23" s="9" t="s">
        <v>23</v>
      </c>
      <c r="I23" s="9" t="s">
        <v>1645</v>
      </c>
      <c r="J23" s="9" t="s">
        <v>96</v>
      </c>
      <c r="K23" s="9" t="s">
        <v>97</v>
      </c>
      <c r="L23" s="9" t="s">
        <v>1646</v>
      </c>
      <c r="M23" s="9"/>
      <c r="N23" s="9" t="s">
        <v>1646</v>
      </c>
      <c r="O23" s="9" t="s">
        <v>1647</v>
      </c>
      <c r="P23" s="9" t="s">
        <v>1578</v>
      </c>
      <c r="Q23" s="9" t="s">
        <v>1579</v>
      </c>
      <c r="R23" s="7"/>
      <c r="S23" s="15">
        <v>46054</v>
      </c>
      <c r="T23" s="16">
        <f t="shared" si="0"/>
        <v>28100</v>
      </c>
      <c r="U23" s="16">
        <f t="shared" si="1"/>
        <v>4000</v>
      </c>
      <c r="V23" s="16">
        <f t="shared" si="2"/>
        <v>14900</v>
      </c>
      <c r="W23" s="17">
        <f t="shared" si="3"/>
        <v>9200</v>
      </c>
    </row>
    <row r="24" spans="1:23" ht="18" customHeight="1">
      <c r="A24" s="8">
        <v>23</v>
      </c>
      <c r="B24" s="8" t="s">
        <v>1574</v>
      </c>
      <c r="C24" s="8" t="s">
        <v>1648</v>
      </c>
      <c r="D24" s="8" t="s">
        <v>1649</v>
      </c>
      <c r="E24" s="8" t="s">
        <v>21</v>
      </c>
      <c r="F24" s="8" t="s">
        <v>22</v>
      </c>
      <c r="G24" s="8">
        <v>542</v>
      </c>
      <c r="H24" s="8" t="s">
        <v>23</v>
      </c>
      <c r="I24" s="8" t="s">
        <v>123</v>
      </c>
      <c r="J24" s="8" t="s">
        <v>41</v>
      </c>
      <c r="K24" s="8" t="s">
        <v>26</v>
      </c>
      <c r="L24" s="8" t="s">
        <v>124</v>
      </c>
      <c r="M24" s="8">
        <v>5541</v>
      </c>
      <c r="N24" s="8" t="s">
        <v>124</v>
      </c>
      <c r="O24" s="8" t="s">
        <v>1650</v>
      </c>
      <c r="P24" s="8" t="s">
        <v>1578</v>
      </c>
      <c r="Q24" s="8" t="s">
        <v>1579</v>
      </c>
      <c r="R24" s="7"/>
      <c r="S24" s="22" t="s">
        <v>133</v>
      </c>
      <c r="T24" s="23">
        <f>IFERROR(AVERAGEIF(T9:T23,"&gt;"&amp;0),0)</f>
        <v>29626.666666666668</v>
      </c>
      <c r="U24" s="23">
        <f>IFERROR(AVERAGEIF(U9:U23,"&gt;"&amp;0),0)</f>
        <v>4000</v>
      </c>
      <c r="V24" s="23">
        <f>IFERROR(AVERAGEIF(V9:V23,"&gt;"&amp;0),0)</f>
        <v>15140</v>
      </c>
      <c r="W24" s="24">
        <f t="shared" si="3"/>
        <v>10486.666666666668</v>
      </c>
    </row>
    <row r="25" spans="1:23" ht="3.75" customHeight="1">
      <c r="A25" s="9">
        <v>24</v>
      </c>
      <c r="B25" s="9" t="s">
        <v>1574</v>
      </c>
      <c r="C25" s="9" t="s">
        <v>1651</v>
      </c>
      <c r="D25" s="9" t="s">
        <v>1652</v>
      </c>
      <c r="E25" s="9" t="s">
        <v>21</v>
      </c>
      <c r="F25" s="9" t="s">
        <v>22</v>
      </c>
      <c r="G25" s="9">
        <v>677</v>
      </c>
      <c r="H25" s="9" t="s">
        <v>23</v>
      </c>
      <c r="I25" s="9" t="s">
        <v>212</v>
      </c>
      <c r="J25" s="9" t="s">
        <v>25</v>
      </c>
      <c r="K25" s="9" t="s">
        <v>26</v>
      </c>
      <c r="L25" s="9" t="s">
        <v>213</v>
      </c>
      <c r="M25" s="9">
        <v>5999</v>
      </c>
      <c r="N25" s="9" t="s">
        <v>213</v>
      </c>
      <c r="O25" s="9" t="s">
        <v>1653</v>
      </c>
      <c r="P25" s="9" t="s">
        <v>1578</v>
      </c>
      <c r="Q25" s="9" t="s">
        <v>1579</v>
      </c>
      <c r="R25" s="7"/>
    </row>
    <row r="26" spans="1:23" ht="15" customHeight="1">
      <c r="A26" s="8">
        <v>25</v>
      </c>
      <c r="B26" s="8" t="s">
        <v>1574</v>
      </c>
      <c r="C26" s="8" t="s">
        <v>1654</v>
      </c>
      <c r="D26" s="8" t="s">
        <v>1655</v>
      </c>
      <c r="E26" s="8" t="s">
        <v>21</v>
      </c>
      <c r="F26" s="8" t="s">
        <v>22</v>
      </c>
      <c r="G26" s="8">
        <v>4000</v>
      </c>
      <c r="H26" s="8" t="s">
        <v>23</v>
      </c>
      <c r="I26" s="8" t="s">
        <v>1583</v>
      </c>
      <c r="J26" s="8" t="s">
        <v>36</v>
      </c>
      <c r="K26" s="8" t="s">
        <v>26</v>
      </c>
      <c r="L26" s="8" t="s">
        <v>1584</v>
      </c>
      <c r="M26" s="8">
        <v>6012</v>
      </c>
      <c r="N26" s="8" t="s">
        <v>1584</v>
      </c>
      <c r="O26" s="8" t="s">
        <v>1656</v>
      </c>
      <c r="P26" s="8" t="s">
        <v>1578</v>
      </c>
      <c r="Q26" s="8" t="s">
        <v>1579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1574</v>
      </c>
      <c r="C27" s="9" t="s">
        <v>1657</v>
      </c>
      <c r="D27" s="9" t="s">
        <v>1658</v>
      </c>
      <c r="E27" s="9" t="s">
        <v>21</v>
      </c>
      <c r="F27" s="9" t="s">
        <v>22</v>
      </c>
      <c r="G27" s="9">
        <v>988</v>
      </c>
      <c r="H27" s="9" t="s">
        <v>23</v>
      </c>
      <c r="I27" s="9" t="s">
        <v>254</v>
      </c>
      <c r="J27" s="9" t="s">
        <v>41</v>
      </c>
      <c r="K27" s="9" t="s">
        <v>26</v>
      </c>
      <c r="L27" s="9" t="s">
        <v>255</v>
      </c>
      <c r="M27" s="9">
        <v>5812</v>
      </c>
      <c r="N27" s="9" t="s">
        <v>255</v>
      </c>
      <c r="O27" s="9" t="s">
        <v>1659</v>
      </c>
      <c r="P27" s="9" t="s">
        <v>1578</v>
      </c>
      <c r="Q27" s="9" t="s">
        <v>1579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1574</v>
      </c>
      <c r="C28" s="8" t="s">
        <v>1660</v>
      </c>
      <c r="D28" s="8" t="s">
        <v>1661</v>
      </c>
      <c r="E28" s="8" t="s">
        <v>21</v>
      </c>
      <c r="F28" s="8" t="s">
        <v>22</v>
      </c>
      <c r="G28" s="8">
        <v>761</v>
      </c>
      <c r="H28" s="8" t="s">
        <v>23</v>
      </c>
      <c r="I28" s="8" t="s">
        <v>363</v>
      </c>
      <c r="J28" s="8" t="s">
        <v>41</v>
      </c>
      <c r="K28" s="8" t="s">
        <v>26</v>
      </c>
      <c r="L28" s="8" t="s">
        <v>364</v>
      </c>
      <c r="M28" s="8">
        <v>5999</v>
      </c>
      <c r="N28" s="8" t="s">
        <v>364</v>
      </c>
      <c r="O28" s="8" t="s">
        <v>1662</v>
      </c>
      <c r="P28" s="8" t="s">
        <v>1578</v>
      </c>
      <c r="Q28" s="8" t="s">
        <v>1579</v>
      </c>
      <c r="R28" s="7"/>
      <c r="S28" s="25" t="s">
        <v>154</v>
      </c>
      <c r="T28" s="26">
        <f>IFERROR(MEDIAN(T9:T23),0)</f>
        <v>28100</v>
      </c>
      <c r="U28" s="27" t="s">
        <v>155</v>
      </c>
      <c r="V28" s="28" t="s">
        <v>155</v>
      </c>
      <c r="W28" s="29" t="s">
        <v>1663</v>
      </c>
    </row>
    <row r="29" spans="1:23" ht="15.75" customHeight="1">
      <c r="A29" s="9">
        <v>28</v>
      </c>
      <c r="B29" s="9" t="s">
        <v>1574</v>
      </c>
      <c r="C29" s="9" t="s">
        <v>1664</v>
      </c>
      <c r="D29" s="9" t="s">
        <v>1665</v>
      </c>
      <c r="E29" s="9" t="s">
        <v>21</v>
      </c>
      <c r="F29" s="9" t="s">
        <v>22</v>
      </c>
      <c r="G29" s="9">
        <v>882</v>
      </c>
      <c r="H29" s="9" t="s">
        <v>23</v>
      </c>
      <c r="I29" s="9" t="s">
        <v>82</v>
      </c>
      <c r="J29" s="9" t="s">
        <v>41</v>
      </c>
      <c r="K29" s="9" t="s">
        <v>26</v>
      </c>
      <c r="L29" s="9" t="s">
        <v>83</v>
      </c>
      <c r="M29" s="9">
        <v>5411</v>
      </c>
      <c r="N29" s="9" t="s">
        <v>83</v>
      </c>
      <c r="O29" s="9" t="s">
        <v>1666</v>
      </c>
      <c r="P29" s="9" t="s">
        <v>1578</v>
      </c>
      <c r="Q29" s="9" t="s">
        <v>1579</v>
      </c>
      <c r="R29" s="7"/>
      <c r="S29" s="30" t="s">
        <v>161</v>
      </c>
      <c r="T29" s="31">
        <f>T28*1.3</f>
        <v>36530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1574</v>
      </c>
      <c r="C30" s="8" t="s">
        <v>1667</v>
      </c>
      <c r="D30" s="8" t="s">
        <v>1668</v>
      </c>
      <c r="E30" s="8" t="s">
        <v>21</v>
      </c>
      <c r="F30" s="8" t="s">
        <v>22</v>
      </c>
      <c r="G30" s="8">
        <v>762</v>
      </c>
      <c r="H30" s="8" t="s">
        <v>23</v>
      </c>
      <c r="I30" s="8" t="s">
        <v>186</v>
      </c>
      <c r="J30" s="8" t="s">
        <v>41</v>
      </c>
      <c r="K30" s="8" t="s">
        <v>26</v>
      </c>
      <c r="L30" s="8" t="s">
        <v>187</v>
      </c>
      <c r="M30" s="8">
        <v>5999</v>
      </c>
      <c r="N30" s="8" t="s">
        <v>187</v>
      </c>
      <c r="O30" s="8" t="s">
        <v>1669</v>
      </c>
      <c r="P30" s="8" t="s">
        <v>1578</v>
      </c>
      <c r="Q30" s="8" t="s">
        <v>1579</v>
      </c>
      <c r="R30" s="7"/>
      <c r="S30" s="25" t="s">
        <v>166</v>
      </c>
      <c r="T30" s="26">
        <f>IFERROR(MEDIAN(MIN(T21,T29),MIN(T22,T29),MIN(T23,T29)),0)</f>
        <v>28100</v>
      </c>
      <c r="U30" s="27" t="s">
        <v>155</v>
      </c>
      <c r="V30" s="28" t="s">
        <v>155</v>
      </c>
      <c r="W30" s="29" t="s">
        <v>1670</v>
      </c>
    </row>
    <row r="31" spans="1:23" ht="15.75" customHeight="1">
      <c r="A31" s="9">
        <v>30</v>
      </c>
      <c r="B31" s="9" t="s">
        <v>1574</v>
      </c>
      <c r="C31" s="9" t="s">
        <v>1671</v>
      </c>
      <c r="D31" s="9" t="s">
        <v>1672</v>
      </c>
      <c r="E31" s="9" t="s">
        <v>21</v>
      </c>
      <c r="F31" s="9" t="s">
        <v>22</v>
      </c>
      <c r="G31" s="9">
        <v>668</v>
      </c>
      <c r="H31" s="9" t="s">
        <v>23</v>
      </c>
      <c r="I31" s="9" t="s">
        <v>695</v>
      </c>
      <c r="J31" s="9" t="s">
        <v>41</v>
      </c>
      <c r="K31" s="9" t="s">
        <v>26</v>
      </c>
      <c r="L31" s="9" t="s">
        <v>696</v>
      </c>
      <c r="M31" s="9">
        <v>7996</v>
      </c>
      <c r="N31" s="9" t="s">
        <v>696</v>
      </c>
      <c r="O31" s="9" t="s">
        <v>1673</v>
      </c>
      <c r="P31" s="9" t="s">
        <v>1578</v>
      </c>
      <c r="Q31" s="9" t="s">
        <v>1579</v>
      </c>
      <c r="R31" s="7"/>
      <c r="S31" s="30" t="s">
        <v>170</v>
      </c>
      <c r="T31" s="31">
        <f>T23</f>
        <v>28100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1574</v>
      </c>
      <c r="C32" s="8" t="s">
        <v>1674</v>
      </c>
      <c r="D32" s="8" t="s">
        <v>1675</v>
      </c>
      <c r="E32" s="8" t="s">
        <v>21</v>
      </c>
      <c r="F32" s="8" t="s">
        <v>22</v>
      </c>
      <c r="G32" s="8">
        <v>881</v>
      </c>
      <c r="H32" s="8" t="s">
        <v>23</v>
      </c>
      <c r="I32" s="8" t="s">
        <v>180</v>
      </c>
      <c r="J32" s="8" t="s">
        <v>41</v>
      </c>
      <c r="K32" s="8" t="s">
        <v>26</v>
      </c>
      <c r="L32" s="8" t="s">
        <v>181</v>
      </c>
      <c r="M32" s="8">
        <v>5411</v>
      </c>
      <c r="N32" s="8" t="s">
        <v>181</v>
      </c>
      <c r="O32" s="8" t="s">
        <v>1676</v>
      </c>
      <c r="P32" s="8" t="s">
        <v>1578</v>
      </c>
      <c r="Q32" s="8" t="s">
        <v>1579</v>
      </c>
      <c r="R32" s="7"/>
      <c r="S32" s="25" t="s">
        <v>176</v>
      </c>
      <c r="T32" s="26">
        <f>U23</f>
        <v>4000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1574</v>
      </c>
      <c r="C33" s="9" t="s">
        <v>1677</v>
      </c>
      <c r="D33" s="9" t="s">
        <v>1678</v>
      </c>
      <c r="E33" s="9" t="s">
        <v>21</v>
      </c>
      <c r="F33" s="9" t="s">
        <v>22</v>
      </c>
      <c r="G33" s="9">
        <v>1261</v>
      </c>
      <c r="H33" s="9" t="s">
        <v>23</v>
      </c>
      <c r="I33" s="9" t="s">
        <v>198</v>
      </c>
      <c r="J33" s="9" t="s">
        <v>36</v>
      </c>
      <c r="K33" s="9" t="s">
        <v>26</v>
      </c>
      <c r="L33" s="9" t="s">
        <v>199</v>
      </c>
      <c r="M33" s="9">
        <v>4900</v>
      </c>
      <c r="N33" s="9" t="s">
        <v>199</v>
      </c>
      <c r="O33" s="9" t="s">
        <v>1679</v>
      </c>
      <c r="P33" s="9" t="s">
        <v>1578</v>
      </c>
      <c r="Q33" s="9" t="s">
        <v>1579</v>
      </c>
      <c r="R33" s="7"/>
      <c r="S33" s="30" t="s">
        <v>182</v>
      </c>
      <c r="T33" s="31">
        <f>T24</f>
        <v>29626.666666666668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1574</v>
      </c>
      <c r="C34" s="8" t="s">
        <v>1680</v>
      </c>
      <c r="D34" s="8" t="s">
        <v>1681</v>
      </c>
      <c r="E34" s="8" t="s">
        <v>21</v>
      </c>
      <c r="F34" s="8" t="s">
        <v>22</v>
      </c>
      <c r="G34" s="8">
        <v>668</v>
      </c>
      <c r="H34" s="8" t="s">
        <v>23</v>
      </c>
      <c r="I34" s="8" t="s">
        <v>506</v>
      </c>
      <c r="J34" s="8" t="s">
        <v>41</v>
      </c>
      <c r="K34" s="8" t="s">
        <v>26</v>
      </c>
      <c r="L34" s="8" t="s">
        <v>507</v>
      </c>
      <c r="M34" s="8">
        <v>7996</v>
      </c>
      <c r="N34" s="8" t="s">
        <v>507</v>
      </c>
      <c r="O34" s="8" t="s">
        <v>1682</v>
      </c>
      <c r="P34" s="8" t="s">
        <v>1578</v>
      </c>
      <c r="Q34" s="8" t="s">
        <v>1579</v>
      </c>
      <c r="R34" s="7"/>
      <c r="S34" s="25" t="s">
        <v>188</v>
      </c>
      <c r="T34" s="26">
        <f>V24</f>
        <v>15140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1574</v>
      </c>
      <c r="C35" s="9" t="s">
        <v>1683</v>
      </c>
      <c r="D35" s="9" t="s">
        <v>1684</v>
      </c>
      <c r="E35" s="9" t="s">
        <v>21</v>
      </c>
      <c r="F35" s="9" t="s">
        <v>22</v>
      </c>
      <c r="G35" s="9">
        <v>434</v>
      </c>
      <c r="H35" s="9" t="s">
        <v>23</v>
      </c>
      <c r="I35" s="9" t="s">
        <v>560</v>
      </c>
      <c r="J35" s="9" t="s">
        <v>331</v>
      </c>
      <c r="K35" s="9" t="s">
        <v>26</v>
      </c>
      <c r="L35" s="9" t="s">
        <v>561</v>
      </c>
      <c r="M35" s="9">
        <v>6011</v>
      </c>
      <c r="N35" s="9" t="s">
        <v>561</v>
      </c>
      <c r="O35" s="9" t="s">
        <v>1685</v>
      </c>
      <c r="P35" s="9" t="s">
        <v>1578</v>
      </c>
      <c r="Q35" s="9" t="s">
        <v>1579</v>
      </c>
      <c r="R35" s="7"/>
      <c r="S35" s="30" t="s">
        <v>193</v>
      </c>
      <c r="T35" s="35">
        <f>IFERROR((T33-T34)/T33,0)</f>
        <v>0.48897389738973901</v>
      </c>
      <c r="U35" s="32" t="s">
        <v>194</v>
      </c>
      <c r="V35" s="36" t="str">
        <f>IF(T35&gt;=0.2,"✅ Meets","⚠️ Below")</f>
        <v>✅ Meets</v>
      </c>
      <c r="W35" s="34" t="s">
        <v>195</v>
      </c>
    </row>
    <row r="36" spans="1:23" ht="15.75" customHeight="1">
      <c r="A36" s="8">
        <v>35</v>
      </c>
      <c r="B36" s="8" t="s">
        <v>1574</v>
      </c>
      <c r="C36" s="8" t="s">
        <v>1686</v>
      </c>
      <c r="D36" s="8" t="s">
        <v>1687</v>
      </c>
      <c r="E36" s="8" t="s">
        <v>21</v>
      </c>
      <c r="F36" s="8" t="s">
        <v>22</v>
      </c>
      <c r="G36" s="8">
        <v>678</v>
      </c>
      <c r="H36" s="8" t="s">
        <v>23</v>
      </c>
      <c r="I36" s="8" t="s">
        <v>86</v>
      </c>
      <c r="J36" s="8" t="s">
        <v>36</v>
      </c>
      <c r="K36" s="8" t="s">
        <v>26</v>
      </c>
      <c r="L36" s="8" t="s">
        <v>87</v>
      </c>
      <c r="M36" s="8">
        <v>4813</v>
      </c>
      <c r="N36" s="8" t="s">
        <v>87</v>
      </c>
      <c r="O36" s="8" t="s">
        <v>1688</v>
      </c>
      <c r="P36" s="8" t="s">
        <v>1578</v>
      </c>
      <c r="Q36" s="8" t="s">
        <v>1579</v>
      </c>
      <c r="R36" s="7"/>
      <c r="S36" s="25" t="s">
        <v>200</v>
      </c>
      <c r="T36" s="37">
        <f>T33-T34</f>
        <v>14486.666666666668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1574</v>
      </c>
      <c r="C37" s="9" t="s">
        <v>1689</v>
      </c>
      <c r="D37" s="9" t="s">
        <v>1690</v>
      </c>
      <c r="E37" s="9" t="s">
        <v>21</v>
      </c>
      <c r="F37" s="9" t="s">
        <v>22</v>
      </c>
      <c r="G37" s="9">
        <v>1095</v>
      </c>
      <c r="H37" s="9" t="s">
        <v>23</v>
      </c>
      <c r="I37" s="9" t="s">
        <v>123</v>
      </c>
      <c r="J37" s="9" t="s">
        <v>41</v>
      </c>
      <c r="K37" s="9" t="s">
        <v>26</v>
      </c>
      <c r="L37" s="9" t="s">
        <v>124</v>
      </c>
      <c r="M37" s="9">
        <v>5541</v>
      </c>
      <c r="N37" s="9" t="s">
        <v>124</v>
      </c>
      <c r="O37" s="9" t="s">
        <v>1691</v>
      </c>
      <c r="P37" s="9" t="s">
        <v>1578</v>
      </c>
      <c r="Q37" s="9" t="s">
        <v>1579</v>
      </c>
      <c r="R37" s="7"/>
      <c r="S37" s="30" t="s">
        <v>205</v>
      </c>
      <c r="T37" s="35">
        <f>IFERROR(U24/T30,0)</f>
        <v>0.14234875444839859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1574</v>
      </c>
      <c r="C38" s="8" t="s">
        <v>1692</v>
      </c>
      <c r="D38" s="8" t="s">
        <v>1693</v>
      </c>
      <c r="E38" s="8" t="s">
        <v>21</v>
      </c>
      <c r="F38" s="8" t="s">
        <v>22</v>
      </c>
      <c r="G38" s="8">
        <v>881</v>
      </c>
      <c r="H38" s="8" t="s">
        <v>23</v>
      </c>
      <c r="I38" s="8" t="s">
        <v>82</v>
      </c>
      <c r="J38" s="8" t="s">
        <v>41</v>
      </c>
      <c r="K38" s="8" t="s">
        <v>26</v>
      </c>
      <c r="L38" s="8" t="s">
        <v>83</v>
      </c>
      <c r="M38" s="8">
        <v>5411</v>
      </c>
      <c r="N38" s="8" t="s">
        <v>83</v>
      </c>
      <c r="O38" s="8" t="s">
        <v>1694</v>
      </c>
      <c r="P38" s="8" t="s">
        <v>1578</v>
      </c>
      <c r="Q38" s="8" t="s">
        <v>1579</v>
      </c>
      <c r="R38" s="7"/>
    </row>
    <row r="39" spans="1:23" ht="15" customHeight="1">
      <c r="A39" s="9">
        <v>38</v>
      </c>
      <c r="B39" s="9" t="s">
        <v>1574</v>
      </c>
      <c r="C39" s="9" t="s">
        <v>1695</v>
      </c>
      <c r="D39" s="9" t="s">
        <v>1696</v>
      </c>
      <c r="E39" s="9" t="s">
        <v>21</v>
      </c>
      <c r="F39" s="9" t="s">
        <v>22</v>
      </c>
      <c r="G39" s="9">
        <v>988</v>
      </c>
      <c r="H39" s="9" t="s">
        <v>23</v>
      </c>
      <c r="I39" s="9" t="s">
        <v>52</v>
      </c>
      <c r="J39" s="9" t="s">
        <v>41</v>
      </c>
      <c r="K39" s="9" t="s">
        <v>26</v>
      </c>
      <c r="L39" s="9" t="s">
        <v>53</v>
      </c>
      <c r="M39" s="9">
        <v>5812</v>
      </c>
      <c r="N39" s="9" t="s">
        <v>53</v>
      </c>
      <c r="O39" s="9" t="s">
        <v>1697</v>
      </c>
      <c r="P39" s="9" t="s">
        <v>1578</v>
      </c>
      <c r="Q39" s="9" t="s">
        <v>1579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1574</v>
      </c>
      <c r="C40" s="8" t="s">
        <v>1698</v>
      </c>
      <c r="D40" s="8" t="s">
        <v>1699</v>
      </c>
      <c r="E40" s="8" t="s">
        <v>21</v>
      </c>
      <c r="F40" s="8" t="s">
        <v>22</v>
      </c>
      <c r="G40" s="8">
        <v>2348</v>
      </c>
      <c r="H40" s="8" t="s">
        <v>23</v>
      </c>
      <c r="I40" s="8" t="s">
        <v>262</v>
      </c>
      <c r="J40" s="8" t="s">
        <v>25</v>
      </c>
      <c r="K40" s="8" t="s">
        <v>26</v>
      </c>
      <c r="L40" s="8" t="s">
        <v>263</v>
      </c>
      <c r="M40" s="8">
        <v>8299</v>
      </c>
      <c r="N40" s="8" t="s">
        <v>263</v>
      </c>
      <c r="O40" s="8" t="s">
        <v>1700</v>
      </c>
      <c r="P40" s="8" t="s">
        <v>1578</v>
      </c>
      <c r="Q40" s="8" t="s">
        <v>1579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1574</v>
      </c>
      <c r="C41" s="9" t="s">
        <v>1701</v>
      </c>
      <c r="D41" s="9" t="s">
        <v>1702</v>
      </c>
      <c r="E41" s="9" t="s">
        <v>21</v>
      </c>
      <c r="F41" s="9" t="s">
        <v>22</v>
      </c>
      <c r="G41" s="9">
        <v>952</v>
      </c>
      <c r="H41" s="9" t="s">
        <v>23</v>
      </c>
      <c r="I41" s="9" t="s">
        <v>127</v>
      </c>
      <c r="J41" s="9" t="s">
        <v>25</v>
      </c>
      <c r="K41" s="9" t="s">
        <v>26</v>
      </c>
      <c r="L41" s="9" t="s">
        <v>128</v>
      </c>
      <c r="M41" s="9">
        <v>5999</v>
      </c>
      <c r="N41" s="9" t="s">
        <v>128</v>
      </c>
      <c r="O41" s="9" t="s">
        <v>1703</v>
      </c>
      <c r="P41" s="9" t="s">
        <v>1578</v>
      </c>
      <c r="Q41" s="9" t="s">
        <v>1579</v>
      </c>
      <c r="R41" s="7"/>
      <c r="S41" s="39" t="s">
        <v>226</v>
      </c>
      <c r="T41" s="40">
        <f>T5</f>
        <v>45</v>
      </c>
      <c r="U41" s="41">
        <f>IF(T41&lt;18,0,IF(T41&lt;=25,30,IF(T41&lt;=35,80,IF(T41&lt;=50,150,IF(T41&lt;=60,100,0)))))</f>
        <v>150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1574</v>
      </c>
      <c r="C42" s="8" t="s">
        <v>1704</v>
      </c>
      <c r="D42" s="8" t="s">
        <v>1705</v>
      </c>
      <c r="E42" s="8" t="s">
        <v>21</v>
      </c>
      <c r="F42" s="8" t="s">
        <v>22</v>
      </c>
      <c r="G42" s="8">
        <v>953</v>
      </c>
      <c r="H42" s="8" t="s">
        <v>23</v>
      </c>
      <c r="I42" s="8" t="s">
        <v>127</v>
      </c>
      <c r="J42" s="8" t="s">
        <v>25</v>
      </c>
      <c r="K42" s="8" t="s">
        <v>26</v>
      </c>
      <c r="L42" s="8" t="s">
        <v>128</v>
      </c>
      <c r="M42" s="8">
        <v>5999</v>
      </c>
      <c r="N42" s="8" t="s">
        <v>128</v>
      </c>
      <c r="O42" s="8" t="s">
        <v>1706</v>
      </c>
      <c r="P42" s="8" t="s">
        <v>1578</v>
      </c>
      <c r="Q42" s="8" t="s">
        <v>1579</v>
      </c>
      <c r="R42" s="7"/>
      <c r="S42" s="43" t="s">
        <v>230</v>
      </c>
      <c r="T42" s="44">
        <f>T30</f>
        <v>28100</v>
      </c>
      <c r="U42" s="41">
        <f>IF(T42&lt;=5000,0,IF(T42&lt;=10000,50,IF(T42&lt;=15000,100,150)))</f>
        <v>150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1574</v>
      </c>
      <c r="C43" s="9" t="s">
        <v>1707</v>
      </c>
      <c r="D43" s="9" t="s">
        <v>1708</v>
      </c>
      <c r="E43" s="9" t="s">
        <v>94</v>
      </c>
      <c r="F43" s="9" t="s">
        <v>22</v>
      </c>
      <c r="G43" s="9">
        <v>28500</v>
      </c>
      <c r="H43" s="9" t="s">
        <v>23</v>
      </c>
      <c r="I43" s="9" t="s">
        <v>1645</v>
      </c>
      <c r="J43" s="9" t="s">
        <v>96</v>
      </c>
      <c r="K43" s="9" t="s">
        <v>97</v>
      </c>
      <c r="L43" s="9" t="s">
        <v>1646</v>
      </c>
      <c r="M43" s="9"/>
      <c r="N43" s="9" t="s">
        <v>1646</v>
      </c>
      <c r="O43" s="9" t="s">
        <v>1709</v>
      </c>
      <c r="P43" s="9" t="s">
        <v>1578</v>
      </c>
      <c r="Q43" s="9" t="s">
        <v>1579</v>
      </c>
      <c r="R43" s="7"/>
      <c r="S43" s="39" t="s">
        <v>236</v>
      </c>
      <c r="T43" s="45">
        <f>T32</f>
        <v>4000</v>
      </c>
      <c r="U43" s="41">
        <f>IF(T43=0,150,IF(T43&lt;=1500,150,IF(T43&lt;=3000,130,IF(T43&lt;=4500,110,IF(T43&lt;=9000,80,IF(T43&lt;=15000,40,0))))))</f>
        <v>110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1574</v>
      </c>
      <c r="C44" s="8" t="s">
        <v>1710</v>
      </c>
      <c r="D44" s="8" t="s">
        <v>1711</v>
      </c>
      <c r="E44" s="8" t="s">
        <v>21</v>
      </c>
      <c r="F44" s="8" t="s">
        <v>22</v>
      </c>
      <c r="G44" s="8">
        <v>4000</v>
      </c>
      <c r="H44" s="8" t="s">
        <v>23</v>
      </c>
      <c r="I44" s="8" t="s">
        <v>1583</v>
      </c>
      <c r="J44" s="8" t="s">
        <v>36</v>
      </c>
      <c r="K44" s="8" t="s">
        <v>26</v>
      </c>
      <c r="L44" s="8" t="s">
        <v>1584</v>
      </c>
      <c r="M44" s="8">
        <v>6012</v>
      </c>
      <c r="N44" s="8" t="s">
        <v>1584</v>
      </c>
      <c r="O44" s="8" t="s">
        <v>1712</v>
      </c>
      <c r="P44" s="8" t="s">
        <v>1578</v>
      </c>
      <c r="Q44" s="8" t="s">
        <v>1579</v>
      </c>
      <c r="R44" s="7"/>
      <c r="S44" s="43" t="s">
        <v>240</v>
      </c>
      <c r="T44" s="46">
        <f>T35</f>
        <v>0.48897389738973901</v>
      </c>
      <c r="U44" s="41">
        <f>IF(T44&lt;=0,0,IF(T44&lt;=0.1,50,IF(T44&lt;=0.2,100,IF(T44&lt;=0.3,130,150))))</f>
        <v>150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1574</v>
      </c>
      <c r="C45" s="9" t="s">
        <v>1713</v>
      </c>
      <c r="D45" s="9" t="s">
        <v>1714</v>
      </c>
      <c r="E45" s="9" t="s">
        <v>21</v>
      </c>
      <c r="F45" s="9" t="s">
        <v>22</v>
      </c>
      <c r="G45" s="9">
        <v>553</v>
      </c>
      <c r="H45" s="9" t="s">
        <v>23</v>
      </c>
      <c r="I45" s="9" t="s">
        <v>159</v>
      </c>
      <c r="J45" s="9" t="s">
        <v>25</v>
      </c>
      <c r="K45" s="9" t="s">
        <v>26</v>
      </c>
      <c r="L45" s="9" t="s">
        <v>160</v>
      </c>
      <c r="M45" s="9">
        <v>5999</v>
      </c>
      <c r="N45" s="9" t="s">
        <v>160</v>
      </c>
      <c r="O45" s="9" t="s">
        <v>1715</v>
      </c>
      <c r="P45" s="9" t="s">
        <v>1578</v>
      </c>
      <c r="Q45" s="9" t="s">
        <v>1579</v>
      </c>
      <c r="R45" s="7"/>
      <c r="S45" s="39" t="s">
        <v>246</v>
      </c>
      <c r="T45" s="45">
        <f>T31</f>
        <v>28100</v>
      </c>
      <c r="U45" s="41">
        <f>IF(T45&lt;=5000,30,IF(T45&lt;=15000,90,150))</f>
        <v>150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1574</v>
      </c>
      <c r="C46" s="8" t="s">
        <v>1716</v>
      </c>
      <c r="D46" s="8" t="s">
        <v>1717</v>
      </c>
      <c r="E46" s="8" t="s">
        <v>21</v>
      </c>
      <c r="F46" s="8" t="s">
        <v>22</v>
      </c>
      <c r="G46" s="8">
        <v>1792</v>
      </c>
      <c r="H46" s="8" t="s">
        <v>23</v>
      </c>
      <c r="I46" s="8" t="s">
        <v>24</v>
      </c>
      <c r="J46" s="8" t="s">
        <v>25</v>
      </c>
      <c r="K46" s="8" t="s">
        <v>26</v>
      </c>
      <c r="L46" s="8" t="s">
        <v>27</v>
      </c>
      <c r="M46" s="8">
        <v>8299</v>
      </c>
      <c r="N46" s="8" t="s">
        <v>27</v>
      </c>
      <c r="O46" s="8" t="s">
        <v>1718</v>
      </c>
      <c r="P46" s="8" t="s">
        <v>1578</v>
      </c>
      <c r="Q46" s="8" t="s">
        <v>1579</v>
      </c>
      <c r="R46" s="7"/>
      <c r="S46" s="43" t="s">
        <v>250</v>
      </c>
      <c r="T46" s="47">
        <f>T36</f>
        <v>14486.666666666668</v>
      </c>
      <c r="U46" s="41">
        <f>IF(T46&lt;0,0,IF(T46&lt;=1000,50,IF(T46&lt;=3000,100,150)))</f>
        <v>150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1574</v>
      </c>
      <c r="C47" s="9" t="s">
        <v>1719</v>
      </c>
      <c r="D47" s="9" t="s">
        <v>1720</v>
      </c>
      <c r="E47" s="9" t="s">
        <v>21</v>
      </c>
      <c r="F47" s="9" t="s">
        <v>22</v>
      </c>
      <c r="G47" s="9">
        <v>783</v>
      </c>
      <c r="H47" s="9" t="s">
        <v>23</v>
      </c>
      <c r="I47" s="9" t="s">
        <v>82</v>
      </c>
      <c r="J47" s="9" t="s">
        <v>41</v>
      </c>
      <c r="K47" s="9" t="s">
        <v>26</v>
      </c>
      <c r="L47" s="9" t="s">
        <v>83</v>
      </c>
      <c r="M47" s="9">
        <v>5411</v>
      </c>
      <c r="N47" s="9" t="s">
        <v>83</v>
      </c>
      <c r="O47" s="9" t="s">
        <v>1721</v>
      </c>
      <c r="P47" s="9" t="s">
        <v>1578</v>
      </c>
      <c r="Q47" s="9" t="s">
        <v>1579</v>
      </c>
      <c r="R47" s="7"/>
      <c r="S47" s="39" t="s">
        <v>256</v>
      </c>
      <c r="T47" s="48">
        <f>T37</f>
        <v>0.14234875444839859</v>
      </c>
      <c r="U47" s="41">
        <f>IF(T47&lt;=0.1,100,IF(T47&lt;=0.25,70,IF(T47&lt;=0.4,40,IF(T47&lt;=0.6,20,0))))</f>
        <v>70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1574</v>
      </c>
      <c r="C48" s="8" t="s">
        <v>1722</v>
      </c>
      <c r="D48" s="8" t="s">
        <v>1723</v>
      </c>
      <c r="E48" s="8" t="s">
        <v>21</v>
      </c>
      <c r="F48" s="8" t="s">
        <v>22</v>
      </c>
      <c r="G48" s="8">
        <v>784</v>
      </c>
      <c r="H48" s="8" t="s">
        <v>23</v>
      </c>
      <c r="I48" s="8" t="s">
        <v>82</v>
      </c>
      <c r="J48" s="8" t="s">
        <v>41</v>
      </c>
      <c r="K48" s="8" t="s">
        <v>26</v>
      </c>
      <c r="L48" s="8" t="s">
        <v>83</v>
      </c>
      <c r="M48" s="8">
        <v>5411</v>
      </c>
      <c r="N48" s="8" t="s">
        <v>83</v>
      </c>
      <c r="O48" s="8" t="s">
        <v>1724</v>
      </c>
      <c r="P48" s="8" t="s">
        <v>1578</v>
      </c>
      <c r="Q48" s="8" t="s">
        <v>1579</v>
      </c>
      <c r="R48" s="7"/>
    </row>
    <row r="49" spans="1:23" ht="27.75" customHeight="1">
      <c r="A49" s="9">
        <v>48</v>
      </c>
      <c r="B49" s="9" t="s">
        <v>1574</v>
      </c>
      <c r="C49" s="9" t="s">
        <v>1725</v>
      </c>
      <c r="D49" s="9" t="s">
        <v>1726</v>
      </c>
      <c r="E49" s="9" t="s">
        <v>21</v>
      </c>
      <c r="F49" s="9" t="s">
        <v>22</v>
      </c>
      <c r="G49" s="9">
        <v>1070</v>
      </c>
      <c r="H49" s="9" t="s">
        <v>23</v>
      </c>
      <c r="I49" s="9" t="s">
        <v>111</v>
      </c>
      <c r="J49" s="9" t="s">
        <v>41</v>
      </c>
      <c r="K49" s="9" t="s">
        <v>26</v>
      </c>
      <c r="L49" s="9" t="s">
        <v>112</v>
      </c>
      <c r="M49" s="9">
        <v>5541</v>
      </c>
      <c r="N49" s="9" t="s">
        <v>112</v>
      </c>
      <c r="O49" s="9" t="s">
        <v>1727</v>
      </c>
      <c r="P49" s="9" t="s">
        <v>1578</v>
      </c>
      <c r="Q49" s="9" t="s">
        <v>1579</v>
      </c>
      <c r="R49" s="7"/>
      <c r="S49" s="49" t="s">
        <v>264</v>
      </c>
      <c r="T49" s="50">
        <f>U41+U42+U43+U44+U45+U46+U47</f>
        <v>930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1574</v>
      </c>
      <c r="C50" s="8" t="s">
        <v>1728</v>
      </c>
      <c r="D50" s="8" t="s">
        <v>1729</v>
      </c>
      <c r="E50" s="8" t="s">
        <v>21</v>
      </c>
      <c r="F50" s="8" t="s">
        <v>22</v>
      </c>
      <c r="G50" s="8">
        <v>607</v>
      </c>
      <c r="H50" s="8" t="s">
        <v>23</v>
      </c>
      <c r="I50" s="8" t="s">
        <v>574</v>
      </c>
      <c r="J50" s="8" t="s">
        <v>41</v>
      </c>
      <c r="K50" s="8" t="s">
        <v>26</v>
      </c>
      <c r="L50" s="8" t="s">
        <v>575</v>
      </c>
      <c r="M50" s="8">
        <v>5812</v>
      </c>
      <c r="N50" s="8" t="s">
        <v>575</v>
      </c>
      <c r="O50" s="8" t="s">
        <v>1730</v>
      </c>
      <c r="P50" s="8" t="s">
        <v>1578</v>
      </c>
      <c r="Q50" s="8" t="s">
        <v>1579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AAA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1574</v>
      </c>
      <c r="C51" s="9" t="s">
        <v>1731</v>
      </c>
      <c r="D51" s="9" t="s">
        <v>1732</v>
      </c>
      <c r="E51" s="9" t="s">
        <v>21</v>
      </c>
      <c r="F51" s="9" t="s">
        <v>22</v>
      </c>
      <c r="G51" s="9">
        <v>661</v>
      </c>
      <c r="H51" s="9" t="s">
        <v>23</v>
      </c>
      <c r="I51" s="9" t="s">
        <v>351</v>
      </c>
      <c r="J51" s="9" t="s">
        <v>36</v>
      </c>
      <c r="K51" s="9" t="s">
        <v>26</v>
      </c>
      <c r="L51" s="9" t="s">
        <v>352</v>
      </c>
      <c r="M51" s="9">
        <v>4813</v>
      </c>
      <c r="N51" s="9" t="s">
        <v>352</v>
      </c>
      <c r="O51" s="9" t="s">
        <v>1733</v>
      </c>
      <c r="P51" s="9" t="s">
        <v>1578</v>
      </c>
      <c r="Q51" s="9" t="s">
        <v>1579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Excellent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1574</v>
      </c>
      <c r="C52" s="8" t="s">
        <v>1734</v>
      </c>
      <c r="D52" s="8" t="s">
        <v>1735</v>
      </c>
      <c r="E52" s="8" t="s">
        <v>21</v>
      </c>
      <c r="F52" s="8" t="s">
        <v>22</v>
      </c>
      <c r="G52" s="8">
        <v>2844</v>
      </c>
      <c r="H52" s="8" t="s">
        <v>23</v>
      </c>
      <c r="I52" s="8" t="s">
        <v>56</v>
      </c>
      <c r="J52" s="8" t="s">
        <v>41</v>
      </c>
      <c r="K52" s="8" t="s">
        <v>26</v>
      </c>
      <c r="L52" s="8" t="s">
        <v>57</v>
      </c>
      <c r="M52" s="8">
        <v>5999</v>
      </c>
      <c r="N52" s="8" t="s">
        <v>57</v>
      </c>
      <c r="O52" s="8" t="s">
        <v>1736</v>
      </c>
      <c r="P52" s="8" t="s">
        <v>1578</v>
      </c>
      <c r="Q52" s="8" t="s">
        <v>1579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Very High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1574</v>
      </c>
      <c r="C53" s="9" t="s">
        <v>1737</v>
      </c>
      <c r="D53" s="9" t="s">
        <v>1738</v>
      </c>
      <c r="E53" s="9" t="s">
        <v>21</v>
      </c>
      <c r="F53" s="9" t="s">
        <v>22</v>
      </c>
      <c r="G53" s="9">
        <v>552</v>
      </c>
      <c r="H53" s="9" t="s">
        <v>23</v>
      </c>
      <c r="I53" s="9" t="s">
        <v>866</v>
      </c>
      <c r="J53" s="9" t="s">
        <v>25</v>
      </c>
      <c r="K53" s="9" t="s">
        <v>26</v>
      </c>
      <c r="L53" s="9" t="s">
        <v>867</v>
      </c>
      <c r="M53" s="9">
        <v>5999</v>
      </c>
      <c r="N53" s="9" t="s">
        <v>867</v>
      </c>
      <c r="O53" s="9" t="s">
        <v>1739</v>
      </c>
      <c r="P53" s="9" t="s">
        <v>1578</v>
      </c>
      <c r="Q53" s="9" t="s">
        <v>1579</v>
      </c>
      <c r="R53" s="7"/>
    </row>
    <row r="54" spans="1:23" ht="15.75" customHeight="1">
      <c r="A54" s="8">
        <v>53</v>
      </c>
      <c r="B54" s="8" t="s">
        <v>1574</v>
      </c>
      <c r="C54" s="8" t="s">
        <v>1740</v>
      </c>
      <c r="D54" s="8" t="s">
        <v>1741</v>
      </c>
      <c r="E54" s="8" t="s">
        <v>21</v>
      </c>
      <c r="F54" s="8" t="s">
        <v>22</v>
      </c>
      <c r="G54" s="8">
        <v>1126</v>
      </c>
      <c r="H54" s="8" t="s">
        <v>23</v>
      </c>
      <c r="I54" s="8" t="s">
        <v>498</v>
      </c>
      <c r="J54" s="8" t="s">
        <v>36</v>
      </c>
      <c r="K54" s="8" t="s">
        <v>26</v>
      </c>
      <c r="L54" s="8" t="s">
        <v>499</v>
      </c>
      <c r="M54" s="8">
        <v>4900</v>
      </c>
      <c r="N54" s="8" t="s">
        <v>499</v>
      </c>
      <c r="O54" s="8" t="s">
        <v>1742</v>
      </c>
      <c r="P54" s="8" t="s">
        <v>1578</v>
      </c>
      <c r="Q54" s="8" t="s">
        <v>1579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1574</v>
      </c>
      <c r="C55" s="9" t="s">
        <v>1743</v>
      </c>
      <c r="D55" s="9" t="s">
        <v>1744</v>
      </c>
      <c r="E55" s="9" t="s">
        <v>21</v>
      </c>
      <c r="F55" s="9" t="s">
        <v>22</v>
      </c>
      <c r="G55" s="9">
        <v>551</v>
      </c>
      <c r="H55" s="9" t="s">
        <v>23</v>
      </c>
      <c r="I55" s="9" t="s">
        <v>695</v>
      </c>
      <c r="J55" s="9" t="s">
        <v>41</v>
      </c>
      <c r="K55" s="9" t="s">
        <v>26</v>
      </c>
      <c r="L55" s="9" t="s">
        <v>696</v>
      </c>
      <c r="M55" s="9">
        <v>7996</v>
      </c>
      <c r="N55" s="9" t="s">
        <v>696</v>
      </c>
      <c r="O55" s="9" t="s">
        <v>1745</v>
      </c>
      <c r="P55" s="9" t="s">
        <v>1578</v>
      </c>
      <c r="Q55" s="9" t="s">
        <v>1579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1574</v>
      </c>
      <c r="C56" s="8" t="s">
        <v>1746</v>
      </c>
      <c r="D56" s="8" t="s">
        <v>1747</v>
      </c>
      <c r="E56" s="8" t="s">
        <v>21</v>
      </c>
      <c r="F56" s="8" t="s">
        <v>22</v>
      </c>
      <c r="G56" s="8">
        <v>608</v>
      </c>
      <c r="H56" s="8" t="s">
        <v>23</v>
      </c>
      <c r="I56" s="8" t="s">
        <v>52</v>
      </c>
      <c r="J56" s="8" t="s">
        <v>41</v>
      </c>
      <c r="K56" s="8" t="s">
        <v>26</v>
      </c>
      <c r="L56" s="8" t="s">
        <v>53</v>
      </c>
      <c r="M56" s="8">
        <v>5812</v>
      </c>
      <c r="N56" s="8" t="s">
        <v>53</v>
      </c>
      <c r="O56" s="8" t="s">
        <v>1748</v>
      </c>
      <c r="P56" s="8" t="s">
        <v>1578</v>
      </c>
      <c r="Q56" s="8" t="s">
        <v>1579</v>
      </c>
      <c r="R56" s="7"/>
      <c r="S56" s="61" t="s">
        <v>294</v>
      </c>
      <c r="T56" s="62">
        <f>IFERROR(U24/T24,0)</f>
        <v>0.13501350135013501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1574</v>
      </c>
      <c r="C57" s="9" t="s">
        <v>1749</v>
      </c>
      <c r="D57" s="9" t="s">
        <v>1750</v>
      </c>
      <c r="E57" s="9" t="s">
        <v>21</v>
      </c>
      <c r="F57" s="9" t="s">
        <v>22</v>
      </c>
      <c r="G57" s="9">
        <v>784</v>
      </c>
      <c r="H57" s="9" t="s">
        <v>23</v>
      </c>
      <c r="I57" s="9" t="s">
        <v>102</v>
      </c>
      <c r="J57" s="9" t="s">
        <v>41</v>
      </c>
      <c r="K57" s="9" t="s">
        <v>26</v>
      </c>
      <c r="L57" s="9" t="s">
        <v>103</v>
      </c>
      <c r="M57" s="9">
        <v>5411</v>
      </c>
      <c r="N57" s="9" t="s">
        <v>103</v>
      </c>
      <c r="O57" s="9" t="s">
        <v>1751</v>
      </c>
      <c r="P57" s="9" t="s">
        <v>1578</v>
      </c>
      <c r="Q57" s="9" t="s">
        <v>1579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1574</v>
      </c>
      <c r="C58" s="8" t="s">
        <v>1752</v>
      </c>
      <c r="D58" s="8" t="s">
        <v>1753</v>
      </c>
      <c r="E58" s="8" t="s">
        <v>21</v>
      </c>
      <c r="F58" s="8" t="s">
        <v>22</v>
      </c>
      <c r="G58" s="8">
        <v>551</v>
      </c>
      <c r="H58" s="8" t="s">
        <v>23</v>
      </c>
      <c r="I58" s="8" t="s">
        <v>506</v>
      </c>
      <c r="J58" s="8" t="s">
        <v>41</v>
      </c>
      <c r="K58" s="8" t="s">
        <v>26</v>
      </c>
      <c r="L58" s="8" t="s">
        <v>507</v>
      </c>
      <c r="M58" s="8">
        <v>7996</v>
      </c>
      <c r="N58" s="8" t="s">
        <v>507</v>
      </c>
      <c r="O58" s="8" t="s">
        <v>1754</v>
      </c>
      <c r="P58" s="8" t="s">
        <v>1578</v>
      </c>
      <c r="Q58" s="8" t="s">
        <v>1579</v>
      </c>
      <c r="R58" s="7"/>
      <c r="S58" s="61" t="s">
        <v>303</v>
      </c>
      <c r="T58" s="62">
        <f>T35</f>
        <v>0.48897389738973901</v>
      </c>
      <c r="U58" s="27" t="s">
        <v>304</v>
      </c>
      <c r="V58" s="38" t="str">
        <f>IF(T58&gt;=0.2,"✅ Meets","⚠️ Below")</f>
        <v>✅ Meets</v>
      </c>
      <c r="W58" s="29" t="s">
        <v>305</v>
      </c>
    </row>
    <row r="59" spans="1:23" ht="18" customHeight="1">
      <c r="A59" s="9">
        <v>58</v>
      </c>
      <c r="B59" s="9" t="s">
        <v>1574</v>
      </c>
      <c r="C59" s="9" t="s">
        <v>1755</v>
      </c>
      <c r="D59" s="9" t="s">
        <v>1756</v>
      </c>
      <c r="E59" s="9" t="s">
        <v>94</v>
      </c>
      <c r="F59" s="9" t="s">
        <v>22</v>
      </c>
      <c r="G59" s="9">
        <v>27900</v>
      </c>
      <c r="H59" s="9" t="s">
        <v>23</v>
      </c>
      <c r="I59" s="9" t="s">
        <v>1645</v>
      </c>
      <c r="J59" s="9" t="s">
        <v>96</v>
      </c>
      <c r="K59" s="9" t="s">
        <v>97</v>
      </c>
      <c r="L59" s="9" t="s">
        <v>1646</v>
      </c>
      <c r="M59" s="9"/>
      <c r="N59" s="9" t="s">
        <v>1646</v>
      </c>
      <c r="O59" s="9" t="s">
        <v>1757</v>
      </c>
      <c r="P59" s="9" t="s">
        <v>1578</v>
      </c>
      <c r="Q59" s="9" t="s">
        <v>1579</v>
      </c>
      <c r="R59" s="7"/>
      <c r="S59" s="68" t="s">
        <v>308</v>
      </c>
      <c r="T59" s="69">
        <f>T36</f>
        <v>14486.666666666668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1574</v>
      </c>
      <c r="C60" s="8" t="s">
        <v>1758</v>
      </c>
      <c r="D60" s="8" t="s">
        <v>1759</v>
      </c>
      <c r="E60" s="8" t="s">
        <v>21</v>
      </c>
      <c r="F60" s="8" t="s">
        <v>22</v>
      </c>
      <c r="G60" s="8">
        <v>475</v>
      </c>
      <c r="H60" s="8" t="s">
        <v>23</v>
      </c>
      <c r="I60" s="8" t="s">
        <v>560</v>
      </c>
      <c r="J60" s="8" t="s">
        <v>331</v>
      </c>
      <c r="K60" s="8" t="s">
        <v>26</v>
      </c>
      <c r="L60" s="8" t="s">
        <v>561</v>
      </c>
      <c r="M60" s="8">
        <v>6011</v>
      </c>
      <c r="N60" s="8" t="s">
        <v>561</v>
      </c>
      <c r="O60" s="8" t="s">
        <v>1760</v>
      </c>
      <c r="P60" s="8" t="s">
        <v>1578</v>
      </c>
      <c r="Q60" s="8" t="s">
        <v>1579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1574</v>
      </c>
      <c r="C61" s="9" t="s">
        <v>1761</v>
      </c>
      <c r="D61" s="9" t="s">
        <v>1762</v>
      </c>
      <c r="E61" s="9" t="s">
        <v>21</v>
      </c>
      <c r="F61" s="9" t="s">
        <v>22</v>
      </c>
      <c r="G61" s="9">
        <v>552</v>
      </c>
      <c r="H61" s="9" t="s">
        <v>23</v>
      </c>
      <c r="I61" s="9" t="s">
        <v>159</v>
      </c>
      <c r="J61" s="9" t="s">
        <v>25</v>
      </c>
      <c r="K61" s="9" t="s">
        <v>26</v>
      </c>
      <c r="L61" s="9" t="s">
        <v>160</v>
      </c>
      <c r="M61" s="9">
        <v>5999</v>
      </c>
      <c r="N61" s="9" t="s">
        <v>160</v>
      </c>
      <c r="O61" s="9" t="s">
        <v>1763</v>
      </c>
      <c r="P61" s="9" t="s">
        <v>1578</v>
      </c>
      <c r="Q61" s="9" t="s">
        <v>1579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1574</v>
      </c>
      <c r="C62" s="8" t="s">
        <v>1764</v>
      </c>
      <c r="D62" s="8" t="s">
        <v>1765</v>
      </c>
      <c r="E62" s="8" t="s">
        <v>21</v>
      </c>
      <c r="F62" s="8" t="s">
        <v>22</v>
      </c>
      <c r="G62" s="8">
        <v>607</v>
      </c>
      <c r="H62" s="8" t="s">
        <v>23</v>
      </c>
      <c r="I62" s="8" t="s">
        <v>52</v>
      </c>
      <c r="J62" s="8" t="s">
        <v>41</v>
      </c>
      <c r="K62" s="8" t="s">
        <v>26</v>
      </c>
      <c r="L62" s="8" t="s">
        <v>53</v>
      </c>
      <c r="M62" s="8">
        <v>5812</v>
      </c>
      <c r="N62" s="8" t="s">
        <v>53</v>
      </c>
      <c r="O62" s="8" t="s">
        <v>1766</v>
      </c>
      <c r="P62" s="8" t="s">
        <v>1578</v>
      </c>
      <c r="Q62" s="8" t="s">
        <v>1579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1574</v>
      </c>
      <c r="C63" s="9" t="s">
        <v>1767</v>
      </c>
      <c r="D63" s="9" t="s">
        <v>1768</v>
      </c>
      <c r="E63" s="9" t="s">
        <v>21</v>
      </c>
      <c r="F63" s="9" t="s">
        <v>22</v>
      </c>
      <c r="G63" s="9">
        <v>4000</v>
      </c>
      <c r="H63" s="9" t="s">
        <v>23</v>
      </c>
      <c r="I63" s="9" t="s">
        <v>1583</v>
      </c>
      <c r="J63" s="9" t="s">
        <v>36</v>
      </c>
      <c r="K63" s="9" t="s">
        <v>26</v>
      </c>
      <c r="L63" s="9" t="s">
        <v>1584</v>
      </c>
      <c r="M63" s="9">
        <v>6012</v>
      </c>
      <c r="N63" s="9" t="s">
        <v>1584</v>
      </c>
      <c r="O63" s="9" t="s">
        <v>1769</v>
      </c>
      <c r="P63" s="9" t="s">
        <v>1578</v>
      </c>
      <c r="Q63" s="9" t="s">
        <v>1579</v>
      </c>
      <c r="R63" s="7"/>
      <c r="S63" s="68" t="s">
        <v>333</v>
      </c>
      <c r="T63" s="74">
        <f>IFERROR((MIN(1,SUMPRODUCT((LEFT($C$2:$C$296,7)=TEXT(S9,"YYYY-MM"))*($E$2:$E$296="KSAOB.Credit")*($K$2:$K$296="KSAOB.Deposit")))+MIN(1,SUMPRODUCT((LEFT($C$2:$C$296,7)=TEXT(S10,"YYYY-MM"))*($E$2:$E$296="KSAOB.Credit")*($K$2:$K$296="KSAOB.Deposit")))+MIN(1,SUMPRODUCT((LEFT($C$2:$C$296,7)=TEXT(S11,"YYYY-MM"))*($E$2:$E$296="KSAOB.Credit")*($K$2:$K$296="KSAOB.Deposit")))+MIN(1,SUMPRODUCT((LEFT($C$2:$C$296,7)=TEXT(S12,"YYYY-MM"))*($E$2:$E$296="KSAOB.Credit")*($K$2:$K$296="KSAOB.Deposit")))+MIN(1,SUMPRODUCT((LEFT($C$2:$C$296,7)=TEXT(S13,"YYYY-MM"))*($E$2:$E$296="KSAOB.Credit")*($K$2:$K$296="KSAOB.Deposit")))+MIN(1,SUMPRODUCT((LEFT($C$2:$C$296,7)=TEXT(S14,"YYYY-MM"))*($E$2:$E$296="KSAOB.Credit")*($K$2:$K$296="KSAOB.Deposit")))+MIN(1,SUMPRODUCT((LEFT($C$2:$C$296,7)=TEXT(S15,"YYYY-MM"))*($E$2:$E$296="KSAOB.Credit")*($K$2:$K$296="KSAOB.Deposit")))+MIN(1,SUMPRODUCT((LEFT($C$2:$C$296,7)=TEXT(S16,"YYYY-MM"))*($E$2:$E$296="KSAOB.Credit")*($K$2:$K$296="KSAOB.Deposit")))+MIN(1,SUMPRODUCT((LEFT($C$2:$C$296,7)=TEXT(S17,"YYYY-MM"))*($E$2:$E$296="KSAOB.Credit")*($K$2:$K$296="KSAOB.Deposit")))+MIN(1,SUMPRODUCT((LEFT($C$2:$C$296,7)=TEXT(S18,"YYYY-MM"))*($E$2:$E$296="KSAOB.Credit")*($K$2:$K$296="KSAOB.Deposit")))+MIN(1,SUMPRODUCT((LEFT($C$2:$C$296,7)=TEXT(S19,"YYYY-MM"))*($E$2:$E$296="KSAOB.Credit")*($K$2:$K$296="KSAOB.Deposit")))+MIN(1,SUMPRODUCT((LEFT($C$2:$C$296,7)=TEXT(S20,"YYYY-MM"))*($E$2:$E$296="KSAOB.Credit")*($K$2:$K$296="KSAOB.Deposit")))+MIN(1,SUMPRODUCT((LEFT($C$2:$C$296,7)=TEXT(S21,"YYYY-MM"))*($E$2:$E$296="KSAOB.Credit")*($K$2:$K$296="KSAOB.Deposit")))+MIN(1,SUMPRODUCT((LEFT($C$2:$C$296,7)=TEXT(S22,"YYYY-MM"))*($E$2:$E$296="KSAOB.Credit")*($K$2:$K$296="KSAOB.Deposit")))+MIN(1,SUMPRODUCT((LEFT($C$2:$C$296,7)=TEXT(S23,"YYYY-MM"))*($E$2:$E$296="KSAOB.Credit")*($K$2:$K$296="KSAOB.Deposit"))))/15,0)</f>
        <v>1</v>
      </c>
      <c r="U63" s="32" t="s">
        <v>334</v>
      </c>
      <c r="V63" s="36" t="str">
        <f>IF(T63&gt;=0.9,"✅ Meets","⚠️ Below")</f>
        <v>✅ Meets</v>
      </c>
      <c r="W63" s="34" t="s">
        <v>1770</v>
      </c>
    </row>
    <row r="64" spans="1:23" ht="15" customHeight="1">
      <c r="A64" s="8">
        <v>63</v>
      </c>
      <c r="B64" s="8" t="s">
        <v>1574</v>
      </c>
      <c r="C64" s="8" t="s">
        <v>1771</v>
      </c>
      <c r="D64" s="8" t="s">
        <v>1772</v>
      </c>
      <c r="E64" s="8" t="s">
        <v>21</v>
      </c>
      <c r="F64" s="8" t="s">
        <v>22</v>
      </c>
      <c r="G64" s="8">
        <v>1546</v>
      </c>
      <c r="H64" s="8" t="s">
        <v>23</v>
      </c>
      <c r="I64" s="8" t="s">
        <v>108</v>
      </c>
      <c r="J64" s="8" t="s">
        <v>41</v>
      </c>
      <c r="K64" s="8" t="s">
        <v>26</v>
      </c>
      <c r="L64" s="8" t="s">
        <v>57</v>
      </c>
      <c r="M64" s="8">
        <v>5999</v>
      </c>
      <c r="N64" s="8" t="s">
        <v>57</v>
      </c>
      <c r="O64" s="8" t="s">
        <v>1773</v>
      </c>
      <c r="P64" s="8" t="s">
        <v>1578</v>
      </c>
      <c r="Q64" s="8" t="s">
        <v>1579</v>
      </c>
      <c r="R64" s="7"/>
    </row>
    <row r="65" spans="1:17" ht="15" customHeight="1">
      <c r="A65" s="9">
        <v>64</v>
      </c>
      <c r="B65" s="9" t="s">
        <v>1574</v>
      </c>
      <c r="C65" s="9" t="s">
        <v>1774</v>
      </c>
      <c r="D65" s="9" t="s">
        <v>1775</v>
      </c>
      <c r="E65" s="9" t="s">
        <v>21</v>
      </c>
      <c r="F65" s="9" t="s">
        <v>22</v>
      </c>
      <c r="G65" s="9">
        <v>333</v>
      </c>
      <c r="H65" s="9" t="s">
        <v>23</v>
      </c>
      <c r="I65" s="9" t="s">
        <v>40</v>
      </c>
      <c r="J65" s="9" t="s">
        <v>41</v>
      </c>
      <c r="K65" s="9" t="s">
        <v>26</v>
      </c>
      <c r="L65" s="9" t="s">
        <v>42</v>
      </c>
      <c r="M65" s="9">
        <v>5812</v>
      </c>
      <c r="N65" s="9" t="s">
        <v>42</v>
      </c>
      <c r="O65" s="9" t="s">
        <v>1776</v>
      </c>
      <c r="P65" s="9" t="s">
        <v>1578</v>
      </c>
      <c r="Q65" s="9" t="s">
        <v>1579</v>
      </c>
    </row>
    <row r="66" spans="1:17" ht="15" customHeight="1">
      <c r="A66" s="8">
        <v>65</v>
      </c>
      <c r="B66" s="8" t="s">
        <v>1574</v>
      </c>
      <c r="C66" s="8" t="s">
        <v>1777</v>
      </c>
      <c r="D66" s="8" t="s">
        <v>1778</v>
      </c>
      <c r="E66" s="8" t="s">
        <v>21</v>
      </c>
      <c r="F66" s="8" t="s">
        <v>22</v>
      </c>
      <c r="G66" s="8">
        <v>644</v>
      </c>
      <c r="H66" s="8" t="s">
        <v>23</v>
      </c>
      <c r="I66" s="8" t="s">
        <v>78</v>
      </c>
      <c r="J66" s="8" t="s">
        <v>41</v>
      </c>
      <c r="K66" s="8" t="s">
        <v>26</v>
      </c>
      <c r="L66" s="8" t="s">
        <v>79</v>
      </c>
      <c r="M66" s="8">
        <v>7996</v>
      </c>
      <c r="N66" s="8" t="s">
        <v>79</v>
      </c>
      <c r="O66" s="8" t="s">
        <v>1779</v>
      </c>
      <c r="P66" s="8" t="s">
        <v>1578</v>
      </c>
      <c r="Q66" s="8" t="s">
        <v>1579</v>
      </c>
    </row>
    <row r="67" spans="1:17" ht="15" customHeight="1">
      <c r="A67" s="9">
        <v>66</v>
      </c>
      <c r="B67" s="9" t="s">
        <v>1574</v>
      </c>
      <c r="C67" s="9" t="s">
        <v>1780</v>
      </c>
      <c r="D67" s="9" t="s">
        <v>1781</v>
      </c>
      <c r="E67" s="9" t="s">
        <v>21</v>
      </c>
      <c r="F67" s="9" t="s">
        <v>22</v>
      </c>
      <c r="G67" s="9">
        <v>1043</v>
      </c>
      <c r="H67" s="9" t="s">
        <v>23</v>
      </c>
      <c r="I67" s="9" t="s">
        <v>70</v>
      </c>
      <c r="J67" s="9" t="s">
        <v>41</v>
      </c>
      <c r="K67" s="9" t="s">
        <v>26</v>
      </c>
      <c r="L67" s="9" t="s">
        <v>71</v>
      </c>
      <c r="M67" s="9">
        <v>5541</v>
      </c>
      <c r="N67" s="9" t="s">
        <v>71</v>
      </c>
      <c r="O67" s="9" t="s">
        <v>1782</v>
      </c>
      <c r="P67" s="9" t="s">
        <v>1578</v>
      </c>
      <c r="Q67" s="9" t="s">
        <v>1579</v>
      </c>
    </row>
    <row r="68" spans="1:17" ht="15" customHeight="1">
      <c r="A68" s="8">
        <v>67</v>
      </c>
      <c r="B68" s="8" t="s">
        <v>1574</v>
      </c>
      <c r="C68" s="8" t="s">
        <v>1783</v>
      </c>
      <c r="D68" s="8" t="s">
        <v>1784</v>
      </c>
      <c r="E68" s="8" t="s">
        <v>21</v>
      </c>
      <c r="F68" s="8" t="s">
        <v>22</v>
      </c>
      <c r="G68" s="8">
        <v>955</v>
      </c>
      <c r="H68" s="8" t="s">
        <v>23</v>
      </c>
      <c r="I68" s="8" t="s">
        <v>102</v>
      </c>
      <c r="J68" s="8" t="s">
        <v>41</v>
      </c>
      <c r="K68" s="8" t="s">
        <v>26</v>
      </c>
      <c r="L68" s="8" t="s">
        <v>103</v>
      </c>
      <c r="M68" s="8">
        <v>5411</v>
      </c>
      <c r="N68" s="8" t="s">
        <v>103</v>
      </c>
      <c r="O68" s="8" t="s">
        <v>1785</v>
      </c>
      <c r="P68" s="8" t="s">
        <v>1578</v>
      </c>
      <c r="Q68" s="8" t="s">
        <v>1579</v>
      </c>
    </row>
    <row r="69" spans="1:17" ht="15" customHeight="1">
      <c r="A69" s="9">
        <v>68</v>
      </c>
      <c r="B69" s="9" t="s">
        <v>1574</v>
      </c>
      <c r="C69" s="9" t="s">
        <v>1786</v>
      </c>
      <c r="D69" s="9" t="s">
        <v>1787</v>
      </c>
      <c r="E69" s="9" t="s">
        <v>21</v>
      </c>
      <c r="F69" s="9" t="s">
        <v>22</v>
      </c>
      <c r="G69" s="9">
        <v>644</v>
      </c>
      <c r="H69" s="9" t="s">
        <v>23</v>
      </c>
      <c r="I69" s="9" t="s">
        <v>695</v>
      </c>
      <c r="J69" s="9" t="s">
        <v>41</v>
      </c>
      <c r="K69" s="9" t="s">
        <v>26</v>
      </c>
      <c r="L69" s="9" t="s">
        <v>696</v>
      </c>
      <c r="M69" s="9">
        <v>7996</v>
      </c>
      <c r="N69" s="9" t="s">
        <v>696</v>
      </c>
      <c r="O69" s="9" t="s">
        <v>1788</v>
      </c>
      <c r="P69" s="9" t="s">
        <v>1578</v>
      </c>
      <c r="Q69" s="9" t="s">
        <v>1579</v>
      </c>
    </row>
    <row r="70" spans="1:17" ht="15" customHeight="1">
      <c r="A70" s="8">
        <v>69</v>
      </c>
      <c r="B70" s="8" t="s">
        <v>1574</v>
      </c>
      <c r="C70" s="8" t="s">
        <v>1789</v>
      </c>
      <c r="D70" s="8" t="s">
        <v>1790</v>
      </c>
      <c r="E70" s="8" t="s">
        <v>21</v>
      </c>
      <c r="F70" s="8" t="s">
        <v>22</v>
      </c>
      <c r="G70" s="8">
        <v>1287</v>
      </c>
      <c r="H70" s="8" t="s">
        <v>23</v>
      </c>
      <c r="I70" s="8" t="s">
        <v>498</v>
      </c>
      <c r="J70" s="8" t="s">
        <v>36</v>
      </c>
      <c r="K70" s="8" t="s">
        <v>26</v>
      </c>
      <c r="L70" s="8" t="s">
        <v>499</v>
      </c>
      <c r="M70" s="8">
        <v>4900</v>
      </c>
      <c r="N70" s="8" t="s">
        <v>499</v>
      </c>
      <c r="O70" s="8" t="s">
        <v>1791</v>
      </c>
      <c r="P70" s="8" t="s">
        <v>1578</v>
      </c>
      <c r="Q70" s="8" t="s">
        <v>1579</v>
      </c>
    </row>
    <row r="71" spans="1:17" ht="15" customHeight="1">
      <c r="A71" s="9">
        <v>70</v>
      </c>
      <c r="B71" s="9" t="s">
        <v>1574</v>
      </c>
      <c r="C71" s="9" t="s">
        <v>1792</v>
      </c>
      <c r="D71" s="9" t="s">
        <v>1793</v>
      </c>
      <c r="E71" s="9" t="s">
        <v>21</v>
      </c>
      <c r="F71" s="9" t="s">
        <v>22</v>
      </c>
      <c r="G71" s="9">
        <v>722</v>
      </c>
      <c r="H71" s="9" t="s">
        <v>23</v>
      </c>
      <c r="I71" s="9" t="s">
        <v>152</v>
      </c>
      <c r="J71" s="9" t="s">
        <v>41</v>
      </c>
      <c r="K71" s="9" t="s">
        <v>26</v>
      </c>
      <c r="L71" s="9" t="s">
        <v>153</v>
      </c>
      <c r="M71" s="9">
        <v>8011</v>
      </c>
      <c r="N71" s="9" t="s">
        <v>153</v>
      </c>
      <c r="O71" s="9" t="s">
        <v>1794</v>
      </c>
      <c r="P71" s="9" t="s">
        <v>1578</v>
      </c>
      <c r="Q71" s="9" t="s">
        <v>1579</v>
      </c>
    </row>
    <row r="72" spans="1:17" ht="15" customHeight="1">
      <c r="A72" s="8">
        <v>71</v>
      </c>
      <c r="B72" s="8" t="s">
        <v>1574</v>
      </c>
      <c r="C72" s="8" t="s">
        <v>1795</v>
      </c>
      <c r="D72" s="8" t="s">
        <v>1796</v>
      </c>
      <c r="E72" s="8" t="s">
        <v>21</v>
      </c>
      <c r="F72" s="8" t="s">
        <v>22</v>
      </c>
      <c r="G72" s="8">
        <v>955</v>
      </c>
      <c r="H72" s="8" t="s">
        <v>23</v>
      </c>
      <c r="I72" s="8" t="s">
        <v>102</v>
      </c>
      <c r="J72" s="8" t="s">
        <v>41</v>
      </c>
      <c r="K72" s="8" t="s">
        <v>26</v>
      </c>
      <c r="L72" s="8" t="s">
        <v>103</v>
      </c>
      <c r="M72" s="8">
        <v>5411</v>
      </c>
      <c r="N72" s="8" t="s">
        <v>103</v>
      </c>
      <c r="O72" s="8" t="s">
        <v>1797</v>
      </c>
      <c r="P72" s="8" t="s">
        <v>1578</v>
      </c>
      <c r="Q72" s="8" t="s">
        <v>1579</v>
      </c>
    </row>
    <row r="73" spans="1:17" ht="15" customHeight="1">
      <c r="A73" s="9">
        <v>72</v>
      </c>
      <c r="B73" s="9" t="s">
        <v>1574</v>
      </c>
      <c r="C73" s="9" t="s">
        <v>1798</v>
      </c>
      <c r="D73" s="9" t="s">
        <v>1799</v>
      </c>
      <c r="E73" s="9" t="s">
        <v>21</v>
      </c>
      <c r="F73" s="9" t="s">
        <v>22</v>
      </c>
      <c r="G73" s="9">
        <v>333</v>
      </c>
      <c r="H73" s="9" t="s">
        <v>23</v>
      </c>
      <c r="I73" s="9" t="s">
        <v>74</v>
      </c>
      <c r="J73" s="9" t="s">
        <v>41</v>
      </c>
      <c r="K73" s="9" t="s">
        <v>26</v>
      </c>
      <c r="L73" s="9" t="s">
        <v>75</v>
      </c>
      <c r="M73" s="9">
        <v>5812</v>
      </c>
      <c r="N73" s="9" t="s">
        <v>75</v>
      </c>
      <c r="O73" s="9" t="s">
        <v>1800</v>
      </c>
      <c r="P73" s="9" t="s">
        <v>1578</v>
      </c>
      <c r="Q73" s="9" t="s">
        <v>1579</v>
      </c>
    </row>
    <row r="74" spans="1:17" ht="15" customHeight="1">
      <c r="A74" s="8">
        <v>73</v>
      </c>
      <c r="B74" s="8" t="s">
        <v>1574</v>
      </c>
      <c r="C74" s="8" t="s">
        <v>1801</v>
      </c>
      <c r="D74" s="8" t="s">
        <v>1802</v>
      </c>
      <c r="E74" s="8" t="s">
        <v>21</v>
      </c>
      <c r="F74" s="8" t="s">
        <v>22</v>
      </c>
      <c r="G74" s="8">
        <v>334</v>
      </c>
      <c r="H74" s="8" t="s">
        <v>23</v>
      </c>
      <c r="I74" s="8" t="s">
        <v>217</v>
      </c>
      <c r="J74" s="8" t="s">
        <v>41</v>
      </c>
      <c r="K74" s="8" t="s">
        <v>26</v>
      </c>
      <c r="L74" s="8" t="s">
        <v>218</v>
      </c>
      <c r="M74" s="8">
        <v>5812</v>
      </c>
      <c r="N74" s="8" t="s">
        <v>218</v>
      </c>
      <c r="O74" s="8" t="s">
        <v>1803</v>
      </c>
      <c r="P74" s="8" t="s">
        <v>1578</v>
      </c>
      <c r="Q74" s="8" t="s">
        <v>1579</v>
      </c>
    </row>
    <row r="75" spans="1:17" ht="15" customHeight="1">
      <c r="A75" s="9">
        <v>74</v>
      </c>
      <c r="B75" s="9" t="s">
        <v>1574</v>
      </c>
      <c r="C75" s="9" t="s">
        <v>1804</v>
      </c>
      <c r="D75" s="9" t="s">
        <v>1805</v>
      </c>
      <c r="E75" s="9" t="s">
        <v>21</v>
      </c>
      <c r="F75" s="9" t="s">
        <v>22</v>
      </c>
      <c r="G75" s="9">
        <v>703</v>
      </c>
      <c r="H75" s="9" t="s">
        <v>23</v>
      </c>
      <c r="I75" s="9" t="s">
        <v>351</v>
      </c>
      <c r="J75" s="9" t="s">
        <v>36</v>
      </c>
      <c r="K75" s="9" t="s">
        <v>26</v>
      </c>
      <c r="L75" s="9" t="s">
        <v>352</v>
      </c>
      <c r="M75" s="9">
        <v>4813</v>
      </c>
      <c r="N75" s="9" t="s">
        <v>352</v>
      </c>
      <c r="O75" s="9" t="s">
        <v>1806</v>
      </c>
      <c r="P75" s="9" t="s">
        <v>1578</v>
      </c>
      <c r="Q75" s="9" t="s">
        <v>1579</v>
      </c>
    </row>
    <row r="76" spans="1:17" ht="15" customHeight="1">
      <c r="A76" s="8">
        <v>75</v>
      </c>
      <c r="B76" s="8" t="s">
        <v>1574</v>
      </c>
      <c r="C76" s="8" t="s">
        <v>1807</v>
      </c>
      <c r="D76" s="8" t="s">
        <v>1808</v>
      </c>
      <c r="E76" s="8" t="s">
        <v>21</v>
      </c>
      <c r="F76" s="8" t="s">
        <v>22</v>
      </c>
      <c r="G76" s="8">
        <v>955</v>
      </c>
      <c r="H76" s="8" t="s">
        <v>23</v>
      </c>
      <c r="I76" s="8" t="s">
        <v>102</v>
      </c>
      <c r="J76" s="8" t="s">
        <v>41</v>
      </c>
      <c r="K76" s="8" t="s">
        <v>26</v>
      </c>
      <c r="L76" s="8" t="s">
        <v>103</v>
      </c>
      <c r="M76" s="8">
        <v>5411</v>
      </c>
      <c r="N76" s="8" t="s">
        <v>103</v>
      </c>
      <c r="O76" s="8" t="s">
        <v>1809</v>
      </c>
      <c r="P76" s="8" t="s">
        <v>1578</v>
      </c>
      <c r="Q76" s="8" t="s">
        <v>1579</v>
      </c>
    </row>
    <row r="77" spans="1:17" ht="15" customHeight="1">
      <c r="A77" s="9">
        <v>76</v>
      </c>
      <c r="B77" s="9" t="s">
        <v>1574</v>
      </c>
      <c r="C77" s="9" t="s">
        <v>1810</v>
      </c>
      <c r="D77" s="9" t="s">
        <v>1811</v>
      </c>
      <c r="E77" s="9" t="s">
        <v>21</v>
      </c>
      <c r="F77" s="9" t="s">
        <v>22</v>
      </c>
      <c r="G77" s="9">
        <v>947</v>
      </c>
      <c r="H77" s="9" t="s">
        <v>23</v>
      </c>
      <c r="I77" s="9" t="s">
        <v>61</v>
      </c>
      <c r="J77" s="9" t="s">
        <v>25</v>
      </c>
      <c r="K77" s="9" t="s">
        <v>26</v>
      </c>
      <c r="L77" s="9" t="s">
        <v>62</v>
      </c>
      <c r="M77" s="9">
        <v>5999</v>
      </c>
      <c r="N77" s="9" t="s">
        <v>62</v>
      </c>
      <c r="O77" s="9" t="s">
        <v>1812</v>
      </c>
      <c r="P77" s="9" t="s">
        <v>1578</v>
      </c>
      <c r="Q77" s="9" t="s">
        <v>1579</v>
      </c>
    </row>
    <row r="78" spans="1:17" ht="15" customHeight="1">
      <c r="A78" s="8">
        <v>77</v>
      </c>
      <c r="B78" s="8" t="s">
        <v>1574</v>
      </c>
      <c r="C78" s="8" t="s">
        <v>1813</v>
      </c>
      <c r="D78" s="8" t="s">
        <v>1814</v>
      </c>
      <c r="E78" s="8" t="s">
        <v>21</v>
      </c>
      <c r="F78" s="8" t="s">
        <v>22</v>
      </c>
      <c r="G78" s="8">
        <v>946</v>
      </c>
      <c r="H78" s="8" t="s">
        <v>23</v>
      </c>
      <c r="I78" s="8" t="s">
        <v>318</v>
      </c>
      <c r="J78" s="8" t="s">
        <v>25</v>
      </c>
      <c r="K78" s="8" t="s">
        <v>26</v>
      </c>
      <c r="L78" s="8" t="s">
        <v>319</v>
      </c>
      <c r="M78" s="8">
        <v>5999</v>
      </c>
      <c r="N78" s="8" t="s">
        <v>319</v>
      </c>
      <c r="O78" s="8" t="s">
        <v>1815</v>
      </c>
      <c r="P78" s="8" t="s">
        <v>1578</v>
      </c>
      <c r="Q78" s="8" t="s">
        <v>1579</v>
      </c>
    </row>
    <row r="79" spans="1:17" ht="15" customHeight="1">
      <c r="A79" s="9">
        <v>78</v>
      </c>
      <c r="B79" s="9" t="s">
        <v>1574</v>
      </c>
      <c r="C79" s="9" t="s">
        <v>1816</v>
      </c>
      <c r="D79" s="9" t="s">
        <v>1817</v>
      </c>
      <c r="E79" s="9" t="s">
        <v>21</v>
      </c>
      <c r="F79" s="9" t="s">
        <v>22</v>
      </c>
      <c r="G79" s="9">
        <v>333</v>
      </c>
      <c r="H79" s="9" t="s">
        <v>23</v>
      </c>
      <c r="I79" s="9" t="s">
        <v>340</v>
      </c>
      <c r="J79" s="9" t="s">
        <v>41</v>
      </c>
      <c r="K79" s="9" t="s">
        <v>26</v>
      </c>
      <c r="L79" s="9" t="s">
        <v>341</v>
      </c>
      <c r="M79" s="9">
        <v>5812</v>
      </c>
      <c r="N79" s="9" t="s">
        <v>341</v>
      </c>
      <c r="O79" s="9" t="s">
        <v>1818</v>
      </c>
      <c r="P79" s="9" t="s">
        <v>1578</v>
      </c>
      <c r="Q79" s="9" t="s">
        <v>1579</v>
      </c>
    </row>
    <row r="80" spans="1:17" ht="15" customHeight="1">
      <c r="A80" s="8">
        <v>79</v>
      </c>
      <c r="B80" s="8" t="s">
        <v>1574</v>
      </c>
      <c r="C80" s="8" t="s">
        <v>1819</v>
      </c>
      <c r="D80" s="8" t="s">
        <v>1820</v>
      </c>
      <c r="E80" s="8" t="s">
        <v>21</v>
      </c>
      <c r="F80" s="8" t="s">
        <v>22</v>
      </c>
      <c r="G80" s="8">
        <v>2286</v>
      </c>
      <c r="H80" s="8" t="s">
        <v>23</v>
      </c>
      <c r="I80" s="8" t="s">
        <v>119</v>
      </c>
      <c r="J80" s="8" t="s">
        <v>25</v>
      </c>
      <c r="K80" s="8" t="s">
        <v>26</v>
      </c>
      <c r="L80" s="8" t="s">
        <v>120</v>
      </c>
      <c r="M80" s="8">
        <v>8299</v>
      </c>
      <c r="N80" s="8" t="s">
        <v>120</v>
      </c>
      <c r="O80" s="8" t="s">
        <v>1821</v>
      </c>
      <c r="P80" s="8" t="s">
        <v>1578</v>
      </c>
      <c r="Q80" s="8" t="s">
        <v>1579</v>
      </c>
    </row>
    <row r="81" spans="1:17" ht="15" customHeight="1">
      <c r="A81" s="9">
        <v>80</v>
      </c>
      <c r="B81" s="9" t="s">
        <v>1574</v>
      </c>
      <c r="C81" s="9" t="s">
        <v>1822</v>
      </c>
      <c r="D81" s="9" t="s">
        <v>1823</v>
      </c>
      <c r="E81" s="9" t="s">
        <v>94</v>
      </c>
      <c r="F81" s="9" t="s">
        <v>22</v>
      </c>
      <c r="G81" s="9">
        <v>28200</v>
      </c>
      <c r="H81" s="9" t="s">
        <v>23</v>
      </c>
      <c r="I81" s="9" t="s">
        <v>1645</v>
      </c>
      <c r="J81" s="9" t="s">
        <v>96</v>
      </c>
      <c r="K81" s="9" t="s">
        <v>97</v>
      </c>
      <c r="L81" s="9" t="s">
        <v>1646</v>
      </c>
      <c r="M81" s="9"/>
      <c r="N81" s="9" t="s">
        <v>1646</v>
      </c>
      <c r="O81" s="9" t="s">
        <v>1824</v>
      </c>
      <c r="P81" s="9" t="s">
        <v>1578</v>
      </c>
      <c r="Q81" s="9" t="s">
        <v>1579</v>
      </c>
    </row>
    <row r="82" spans="1:17" ht="15" customHeight="1">
      <c r="A82" s="8">
        <v>81</v>
      </c>
      <c r="B82" s="8" t="s">
        <v>1574</v>
      </c>
      <c r="C82" s="8" t="s">
        <v>1825</v>
      </c>
      <c r="D82" s="8" t="s">
        <v>1826</v>
      </c>
      <c r="E82" s="8" t="s">
        <v>21</v>
      </c>
      <c r="F82" s="8" t="s">
        <v>22</v>
      </c>
      <c r="G82" s="8">
        <v>334</v>
      </c>
      <c r="H82" s="8" t="s">
        <v>23</v>
      </c>
      <c r="I82" s="8" t="s">
        <v>340</v>
      </c>
      <c r="J82" s="8" t="s">
        <v>41</v>
      </c>
      <c r="K82" s="8" t="s">
        <v>26</v>
      </c>
      <c r="L82" s="8" t="s">
        <v>341</v>
      </c>
      <c r="M82" s="8">
        <v>5812</v>
      </c>
      <c r="N82" s="8" t="s">
        <v>341</v>
      </c>
      <c r="O82" s="8" t="s">
        <v>1827</v>
      </c>
      <c r="P82" s="8" t="s">
        <v>1578</v>
      </c>
      <c r="Q82" s="8" t="s">
        <v>1579</v>
      </c>
    </row>
    <row r="83" spans="1:17" ht="15" customHeight="1">
      <c r="A83" s="9">
        <v>82</v>
      </c>
      <c r="B83" s="9" t="s">
        <v>1574</v>
      </c>
      <c r="C83" s="9" t="s">
        <v>1828</v>
      </c>
      <c r="D83" s="9" t="s">
        <v>1829</v>
      </c>
      <c r="E83" s="9" t="s">
        <v>21</v>
      </c>
      <c r="F83" s="9" t="s">
        <v>22</v>
      </c>
      <c r="G83" s="9">
        <v>4000</v>
      </c>
      <c r="H83" s="9" t="s">
        <v>23</v>
      </c>
      <c r="I83" s="9" t="s">
        <v>1583</v>
      </c>
      <c r="J83" s="9" t="s">
        <v>36</v>
      </c>
      <c r="K83" s="9" t="s">
        <v>26</v>
      </c>
      <c r="L83" s="9" t="s">
        <v>1584</v>
      </c>
      <c r="M83" s="9">
        <v>6012</v>
      </c>
      <c r="N83" s="9" t="s">
        <v>1584</v>
      </c>
      <c r="O83" s="9" t="s">
        <v>1830</v>
      </c>
      <c r="P83" s="9" t="s">
        <v>1578</v>
      </c>
      <c r="Q83" s="9" t="s">
        <v>1579</v>
      </c>
    </row>
    <row r="84" spans="1:17" ht="15" customHeight="1">
      <c r="A84" s="8">
        <v>83</v>
      </c>
      <c r="B84" s="8" t="s">
        <v>1574</v>
      </c>
      <c r="C84" s="8" t="s">
        <v>1831</v>
      </c>
      <c r="D84" s="8" t="s">
        <v>1832</v>
      </c>
      <c r="E84" s="8" t="s">
        <v>21</v>
      </c>
      <c r="F84" s="8" t="s">
        <v>22</v>
      </c>
      <c r="G84" s="8">
        <v>868</v>
      </c>
      <c r="H84" s="8" t="s">
        <v>23</v>
      </c>
      <c r="I84" s="8" t="s">
        <v>574</v>
      </c>
      <c r="J84" s="8" t="s">
        <v>41</v>
      </c>
      <c r="K84" s="8" t="s">
        <v>26</v>
      </c>
      <c r="L84" s="8" t="s">
        <v>575</v>
      </c>
      <c r="M84" s="8">
        <v>5812</v>
      </c>
      <c r="N84" s="8" t="s">
        <v>575</v>
      </c>
      <c r="O84" s="8" t="s">
        <v>1833</v>
      </c>
      <c r="P84" s="8" t="s">
        <v>1578</v>
      </c>
      <c r="Q84" s="8" t="s">
        <v>1579</v>
      </c>
    </row>
    <row r="85" spans="1:17" ht="15" customHeight="1">
      <c r="A85" s="9">
        <v>84</v>
      </c>
      <c r="B85" s="9" t="s">
        <v>1574</v>
      </c>
      <c r="C85" s="9" t="s">
        <v>1834</v>
      </c>
      <c r="D85" s="9" t="s">
        <v>1835</v>
      </c>
      <c r="E85" s="9" t="s">
        <v>21</v>
      </c>
      <c r="F85" s="9" t="s">
        <v>22</v>
      </c>
      <c r="G85" s="9">
        <v>1116</v>
      </c>
      <c r="H85" s="9" t="s">
        <v>23</v>
      </c>
      <c r="I85" s="9" t="s">
        <v>70</v>
      </c>
      <c r="J85" s="9" t="s">
        <v>41</v>
      </c>
      <c r="K85" s="9" t="s">
        <v>26</v>
      </c>
      <c r="L85" s="9" t="s">
        <v>71</v>
      </c>
      <c r="M85" s="9">
        <v>5541</v>
      </c>
      <c r="N85" s="9" t="s">
        <v>71</v>
      </c>
      <c r="O85" s="9" t="s">
        <v>1836</v>
      </c>
      <c r="P85" s="9" t="s">
        <v>1578</v>
      </c>
      <c r="Q85" s="9" t="s">
        <v>1579</v>
      </c>
    </row>
    <row r="86" spans="1:17" ht="15" customHeight="1">
      <c r="A86" s="8">
        <v>85</v>
      </c>
      <c r="B86" s="8" t="s">
        <v>1574</v>
      </c>
      <c r="C86" s="8" t="s">
        <v>1837</v>
      </c>
      <c r="D86" s="8" t="s">
        <v>1838</v>
      </c>
      <c r="E86" s="8" t="s">
        <v>21</v>
      </c>
      <c r="F86" s="8" t="s">
        <v>22</v>
      </c>
      <c r="G86" s="8">
        <v>1171</v>
      </c>
      <c r="H86" s="8" t="s">
        <v>23</v>
      </c>
      <c r="I86" s="8" t="s">
        <v>498</v>
      </c>
      <c r="J86" s="8" t="s">
        <v>36</v>
      </c>
      <c r="K86" s="8" t="s">
        <v>26</v>
      </c>
      <c r="L86" s="8" t="s">
        <v>499</v>
      </c>
      <c r="M86" s="8">
        <v>4900</v>
      </c>
      <c r="N86" s="8" t="s">
        <v>499</v>
      </c>
      <c r="O86" s="8" t="s">
        <v>1839</v>
      </c>
      <c r="P86" s="8" t="s">
        <v>1578</v>
      </c>
      <c r="Q86" s="8" t="s">
        <v>1579</v>
      </c>
    </row>
    <row r="87" spans="1:17" ht="15" customHeight="1">
      <c r="A87" s="9">
        <v>86</v>
      </c>
      <c r="B87" s="9" t="s">
        <v>1574</v>
      </c>
      <c r="C87" s="9" t="s">
        <v>1840</v>
      </c>
      <c r="D87" s="9" t="s">
        <v>1841</v>
      </c>
      <c r="E87" s="9" t="s">
        <v>21</v>
      </c>
      <c r="F87" s="9" t="s">
        <v>22</v>
      </c>
      <c r="G87" s="9">
        <v>1011</v>
      </c>
      <c r="H87" s="9" t="s">
        <v>23</v>
      </c>
      <c r="I87" s="9" t="s">
        <v>131</v>
      </c>
      <c r="J87" s="9" t="s">
        <v>41</v>
      </c>
      <c r="K87" s="9" t="s">
        <v>26</v>
      </c>
      <c r="L87" s="9" t="s">
        <v>132</v>
      </c>
      <c r="M87" s="9">
        <v>5411</v>
      </c>
      <c r="N87" s="9" t="s">
        <v>132</v>
      </c>
      <c r="O87" s="9" t="s">
        <v>1842</v>
      </c>
      <c r="P87" s="9" t="s">
        <v>1578</v>
      </c>
      <c r="Q87" s="9" t="s">
        <v>1579</v>
      </c>
    </row>
    <row r="88" spans="1:17" ht="15" customHeight="1">
      <c r="A88" s="8">
        <v>87</v>
      </c>
      <c r="B88" s="8" t="s">
        <v>1574</v>
      </c>
      <c r="C88" s="8" t="s">
        <v>1843</v>
      </c>
      <c r="D88" s="8" t="s">
        <v>1844</v>
      </c>
      <c r="E88" s="8" t="s">
        <v>21</v>
      </c>
      <c r="F88" s="8" t="s">
        <v>22</v>
      </c>
      <c r="G88" s="8">
        <v>2249</v>
      </c>
      <c r="H88" s="8" t="s">
        <v>23</v>
      </c>
      <c r="I88" s="8" t="s">
        <v>24</v>
      </c>
      <c r="J88" s="8" t="s">
        <v>25</v>
      </c>
      <c r="K88" s="8" t="s">
        <v>26</v>
      </c>
      <c r="L88" s="8" t="s">
        <v>27</v>
      </c>
      <c r="M88" s="8">
        <v>8299</v>
      </c>
      <c r="N88" s="8" t="s">
        <v>27</v>
      </c>
      <c r="O88" s="8" t="s">
        <v>1845</v>
      </c>
      <c r="P88" s="8" t="s">
        <v>1578</v>
      </c>
      <c r="Q88" s="8" t="s">
        <v>1579</v>
      </c>
    </row>
    <row r="89" spans="1:17" ht="15" customHeight="1">
      <c r="A89" s="9">
        <v>88</v>
      </c>
      <c r="B89" s="9" t="s">
        <v>1574</v>
      </c>
      <c r="C89" s="9" t="s">
        <v>1846</v>
      </c>
      <c r="D89" s="9" t="s">
        <v>1847</v>
      </c>
      <c r="E89" s="9" t="s">
        <v>21</v>
      </c>
      <c r="F89" s="9" t="s">
        <v>22</v>
      </c>
      <c r="G89" s="9">
        <v>638</v>
      </c>
      <c r="H89" s="9" t="s">
        <v>23</v>
      </c>
      <c r="I89" s="9" t="s">
        <v>174</v>
      </c>
      <c r="J89" s="9" t="s">
        <v>36</v>
      </c>
      <c r="K89" s="9" t="s">
        <v>26</v>
      </c>
      <c r="L89" s="9" t="s">
        <v>175</v>
      </c>
      <c r="M89" s="9">
        <v>4813</v>
      </c>
      <c r="N89" s="9" t="s">
        <v>175</v>
      </c>
      <c r="O89" s="9" t="s">
        <v>1848</v>
      </c>
      <c r="P89" s="9" t="s">
        <v>1578</v>
      </c>
      <c r="Q89" s="9" t="s">
        <v>1579</v>
      </c>
    </row>
    <row r="90" spans="1:17" ht="15" customHeight="1">
      <c r="A90" s="8">
        <v>89</v>
      </c>
      <c r="B90" s="8" t="s">
        <v>1574</v>
      </c>
      <c r="C90" s="8" t="s">
        <v>1849</v>
      </c>
      <c r="D90" s="8" t="s">
        <v>1850</v>
      </c>
      <c r="E90" s="8" t="s">
        <v>21</v>
      </c>
      <c r="F90" s="8" t="s">
        <v>22</v>
      </c>
      <c r="G90" s="8">
        <v>1011</v>
      </c>
      <c r="H90" s="8" t="s">
        <v>23</v>
      </c>
      <c r="I90" s="8" t="s">
        <v>180</v>
      </c>
      <c r="J90" s="8" t="s">
        <v>41</v>
      </c>
      <c r="K90" s="8" t="s">
        <v>26</v>
      </c>
      <c r="L90" s="8" t="s">
        <v>181</v>
      </c>
      <c r="M90" s="8">
        <v>5411</v>
      </c>
      <c r="N90" s="8" t="s">
        <v>181</v>
      </c>
      <c r="O90" s="8" t="s">
        <v>1851</v>
      </c>
      <c r="P90" s="8" t="s">
        <v>1578</v>
      </c>
      <c r="Q90" s="8" t="s">
        <v>1579</v>
      </c>
    </row>
    <row r="91" spans="1:17" ht="15" customHeight="1">
      <c r="A91" s="9">
        <v>90</v>
      </c>
      <c r="B91" s="9" t="s">
        <v>1574</v>
      </c>
      <c r="C91" s="9" t="s">
        <v>1852</v>
      </c>
      <c r="D91" s="9" t="s">
        <v>1853</v>
      </c>
      <c r="E91" s="9" t="s">
        <v>21</v>
      </c>
      <c r="F91" s="9" t="s">
        <v>22</v>
      </c>
      <c r="G91" s="9">
        <v>606</v>
      </c>
      <c r="H91" s="9" t="s">
        <v>23</v>
      </c>
      <c r="I91" s="9" t="s">
        <v>108</v>
      </c>
      <c r="J91" s="9" t="s">
        <v>41</v>
      </c>
      <c r="K91" s="9" t="s">
        <v>26</v>
      </c>
      <c r="L91" s="9" t="s">
        <v>57</v>
      </c>
      <c r="M91" s="9">
        <v>5999</v>
      </c>
      <c r="N91" s="9" t="s">
        <v>57</v>
      </c>
      <c r="O91" s="9" t="s">
        <v>1854</v>
      </c>
      <c r="P91" s="9" t="s">
        <v>1578</v>
      </c>
      <c r="Q91" s="9" t="s">
        <v>1579</v>
      </c>
    </row>
    <row r="92" spans="1:17" ht="15" customHeight="1">
      <c r="A92" s="8">
        <v>91</v>
      </c>
      <c r="B92" s="8" t="s">
        <v>1574</v>
      </c>
      <c r="C92" s="8" t="s">
        <v>1855</v>
      </c>
      <c r="D92" s="8" t="s">
        <v>1856</v>
      </c>
      <c r="E92" s="8" t="s">
        <v>21</v>
      </c>
      <c r="F92" s="8" t="s">
        <v>22</v>
      </c>
      <c r="G92" s="8">
        <v>244</v>
      </c>
      <c r="H92" s="8" t="s">
        <v>23</v>
      </c>
      <c r="I92" s="8" t="s">
        <v>56</v>
      </c>
      <c r="J92" s="8" t="s">
        <v>41</v>
      </c>
      <c r="K92" s="8" t="s">
        <v>26</v>
      </c>
      <c r="L92" s="8" t="s">
        <v>57</v>
      </c>
      <c r="M92" s="8">
        <v>5999</v>
      </c>
      <c r="N92" s="8" t="s">
        <v>57</v>
      </c>
      <c r="O92" s="8" t="s">
        <v>1857</v>
      </c>
      <c r="P92" s="8" t="s">
        <v>1578</v>
      </c>
      <c r="Q92" s="8" t="s">
        <v>1579</v>
      </c>
    </row>
    <row r="93" spans="1:17" ht="15" customHeight="1">
      <c r="A93" s="9">
        <v>92</v>
      </c>
      <c r="B93" s="9" t="s">
        <v>1574</v>
      </c>
      <c r="C93" s="9" t="s">
        <v>1858</v>
      </c>
      <c r="D93" s="9" t="s">
        <v>1859</v>
      </c>
      <c r="E93" s="9" t="s">
        <v>21</v>
      </c>
      <c r="F93" s="9" t="s">
        <v>22</v>
      </c>
      <c r="G93" s="9">
        <v>1154</v>
      </c>
      <c r="H93" s="9" t="s">
        <v>23</v>
      </c>
      <c r="I93" s="9" t="s">
        <v>78</v>
      </c>
      <c r="J93" s="9" t="s">
        <v>41</v>
      </c>
      <c r="K93" s="9" t="s">
        <v>26</v>
      </c>
      <c r="L93" s="9" t="s">
        <v>79</v>
      </c>
      <c r="M93" s="9">
        <v>7996</v>
      </c>
      <c r="N93" s="9" t="s">
        <v>79</v>
      </c>
      <c r="O93" s="9" t="s">
        <v>1860</v>
      </c>
      <c r="P93" s="9" t="s">
        <v>1578</v>
      </c>
      <c r="Q93" s="9" t="s">
        <v>1579</v>
      </c>
    </row>
    <row r="94" spans="1:17" ht="15" customHeight="1">
      <c r="A94" s="8">
        <v>93</v>
      </c>
      <c r="B94" s="8" t="s">
        <v>1574</v>
      </c>
      <c r="C94" s="8" t="s">
        <v>1861</v>
      </c>
      <c r="D94" s="8" t="s">
        <v>1862</v>
      </c>
      <c r="E94" s="8" t="s">
        <v>21</v>
      </c>
      <c r="F94" s="8" t="s">
        <v>22</v>
      </c>
      <c r="G94" s="8">
        <v>581</v>
      </c>
      <c r="H94" s="8" t="s">
        <v>23</v>
      </c>
      <c r="I94" s="8" t="s">
        <v>212</v>
      </c>
      <c r="J94" s="8" t="s">
        <v>25</v>
      </c>
      <c r="K94" s="8" t="s">
        <v>26</v>
      </c>
      <c r="L94" s="8" t="s">
        <v>213</v>
      </c>
      <c r="M94" s="8">
        <v>5999</v>
      </c>
      <c r="N94" s="8" t="s">
        <v>213</v>
      </c>
      <c r="O94" s="8" t="s">
        <v>1863</v>
      </c>
      <c r="P94" s="8" t="s">
        <v>1578</v>
      </c>
      <c r="Q94" s="8" t="s">
        <v>1579</v>
      </c>
    </row>
    <row r="95" spans="1:17" ht="15" customHeight="1">
      <c r="A95" s="9">
        <v>94</v>
      </c>
      <c r="B95" s="9" t="s">
        <v>1574</v>
      </c>
      <c r="C95" s="9" t="s">
        <v>1864</v>
      </c>
      <c r="D95" s="9" t="s">
        <v>1865</v>
      </c>
      <c r="E95" s="9" t="s">
        <v>21</v>
      </c>
      <c r="F95" s="9" t="s">
        <v>22</v>
      </c>
      <c r="G95" s="9">
        <v>580</v>
      </c>
      <c r="H95" s="9" t="s">
        <v>23</v>
      </c>
      <c r="I95" s="9" t="s">
        <v>866</v>
      </c>
      <c r="J95" s="9" t="s">
        <v>25</v>
      </c>
      <c r="K95" s="9" t="s">
        <v>26</v>
      </c>
      <c r="L95" s="9" t="s">
        <v>867</v>
      </c>
      <c r="M95" s="9">
        <v>5999</v>
      </c>
      <c r="N95" s="9" t="s">
        <v>867</v>
      </c>
      <c r="O95" s="9" t="s">
        <v>1866</v>
      </c>
      <c r="P95" s="9" t="s">
        <v>1578</v>
      </c>
      <c r="Q95" s="9" t="s">
        <v>1579</v>
      </c>
    </row>
    <row r="96" spans="1:17" ht="15" customHeight="1">
      <c r="A96" s="8">
        <v>95</v>
      </c>
      <c r="B96" s="8" t="s">
        <v>1574</v>
      </c>
      <c r="C96" s="8" t="s">
        <v>1867</v>
      </c>
      <c r="D96" s="8" t="s">
        <v>1868</v>
      </c>
      <c r="E96" s="8" t="s">
        <v>21</v>
      </c>
      <c r="F96" s="8" t="s">
        <v>22</v>
      </c>
      <c r="G96" s="8">
        <v>407</v>
      </c>
      <c r="H96" s="8" t="s">
        <v>23</v>
      </c>
      <c r="I96" s="8" t="s">
        <v>593</v>
      </c>
      <c r="J96" s="8" t="s">
        <v>331</v>
      </c>
      <c r="K96" s="8" t="s">
        <v>26</v>
      </c>
      <c r="L96" s="8" t="s">
        <v>594</v>
      </c>
      <c r="M96" s="8">
        <v>6011</v>
      </c>
      <c r="N96" s="8" t="s">
        <v>594</v>
      </c>
      <c r="O96" s="8" t="s">
        <v>1869</v>
      </c>
      <c r="P96" s="8" t="s">
        <v>1578</v>
      </c>
      <c r="Q96" s="8" t="s">
        <v>1579</v>
      </c>
    </row>
    <row r="97" spans="1:17" ht="15" customHeight="1">
      <c r="A97" s="9">
        <v>96</v>
      </c>
      <c r="B97" s="9" t="s">
        <v>1574</v>
      </c>
      <c r="C97" s="9" t="s">
        <v>1870</v>
      </c>
      <c r="D97" s="9" t="s">
        <v>1871</v>
      </c>
      <c r="E97" s="9" t="s">
        <v>21</v>
      </c>
      <c r="F97" s="9" t="s">
        <v>22</v>
      </c>
      <c r="G97" s="9">
        <v>605</v>
      </c>
      <c r="H97" s="9" t="s">
        <v>23</v>
      </c>
      <c r="I97" s="9" t="s">
        <v>186</v>
      </c>
      <c r="J97" s="9" t="s">
        <v>41</v>
      </c>
      <c r="K97" s="9" t="s">
        <v>26</v>
      </c>
      <c r="L97" s="9" t="s">
        <v>187</v>
      </c>
      <c r="M97" s="9">
        <v>5999</v>
      </c>
      <c r="N97" s="9" t="s">
        <v>187</v>
      </c>
      <c r="O97" s="9" t="s">
        <v>1872</v>
      </c>
      <c r="P97" s="9" t="s">
        <v>1578</v>
      </c>
      <c r="Q97" s="9" t="s">
        <v>1579</v>
      </c>
    </row>
    <row r="98" spans="1:17" ht="15" customHeight="1">
      <c r="A98" s="8">
        <v>97</v>
      </c>
      <c r="B98" s="8" t="s">
        <v>1574</v>
      </c>
      <c r="C98" s="8" t="s">
        <v>1873</v>
      </c>
      <c r="D98" s="8" t="s">
        <v>1874</v>
      </c>
      <c r="E98" s="8" t="s">
        <v>21</v>
      </c>
      <c r="F98" s="8" t="s">
        <v>22</v>
      </c>
      <c r="G98" s="8">
        <v>1011</v>
      </c>
      <c r="H98" s="8" t="s">
        <v>23</v>
      </c>
      <c r="I98" s="8" t="s">
        <v>131</v>
      </c>
      <c r="J98" s="8" t="s">
        <v>41</v>
      </c>
      <c r="K98" s="8" t="s">
        <v>26</v>
      </c>
      <c r="L98" s="8" t="s">
        <v>132</v>
      </c>
      <c r="M98" s="8">
        <v>5411</v>
      </c>
      <c r="N98" s="8" t="s">
        <v>132</v>
      </c>
      <c r="O98" s="8" t="s">
        <v>1875</v>
      </c>
      <c r="P98" s="8" t="s">
        <v>1578</v>
      </c>
      <c r="Q98" s="8" t="s">
        <v>1579</v>
      </c>
    </row>
    <row r="99" spans="1:17" ht="15" customHeight="1">
      <c r="A99" s="9">
        <v>98</v>
      </c>
      <c r="B99" s="9" t="s">
        <v>1574</v>
      </c>
      <c r="C99" s="9" t="s">
        <v>1876</v>
      </c>
      <c r="D99" s="9" t="s">
        <v>1877</v>
      </c>
      <c r="E99" s="9" t="s">
        <v>94</v>
      </c>
      <c r="F99" s="9" t="s">
        <v>22</v>
      </c>
      <c r="G99" s="9">
        <v>27600</v>
      </c>
      <c r="H99" s="9" t="s">
        <v>23</v>
      </c>
      <c r="I99" s="9" t="s">
        <v>1645</v>
      </c>
      <c r="J99" s="9" t="s">
        <v>96</v>
      </c>
      <c r="K99" s="9" t="s">
        <v>97</v>
      </c>
      <c r="L99" s="9" t="s">
        <v>1646</v>
      </c>
      <c r="M99" s="9"/>
      <c r="N99" s="9" t="s">
        <v>1646</v>
      </c>
      <c r="O99" s="9" t="s">
        <v>1878</v>
      </c>
      <c r="P99" s="9" t="s">
        <v>1578</v>
      </c>
      <c r="Q99" s="9" t="s">
        <v>1579</v>
      </c>
    </row>
    <row r="100" spans="1:17" ht="15" customHeight="1">
      <c r="A100" s="8">
        <v>99</v>
      </c>
      <c r="B100" s="8" t="s">
        <v>1574</v>
      </c>
      <c r="C100" s="8" t="s">
        <v>1879</v>
      </c>
      <c r="D100" s="8" t="s">
        <v>1880</v>
      </c>
      <c r="E100" s="8" t="s">
        <v>21</v>
      </c>
      <c r="F100" s="8" t="s">
        <v>22</v>
      </c>
      <c r="G100" s="8">
        <v>868</v>
      </c>
      <c r="H100" s="8" t="s">
        <v>23</v>
      </c>
      <c r="I100" s="8" t="s">
        <v>74</v>
      </c>
      <c r="J100" s="8" t="s">
        <v>41</v>
      </c>
      <c r="K100" s="8" t="s">
        <v>26</v>
      </c>
      <c r="L100" s="8" t="s">
        <v>75</v>
      </c>
      <c r="M100" s="8">
        <v>5812</v>
      </c>
      <c r="N100" s="8" t="s">
        <v>75</v>
      </c>
      <c r="O100" s="8" t="s">
        <v>1881</v>
      </c>
      <c r="P100" s="8" t="s">
        <v>1578</v>
      </c>
      <c r="Q100" s="8" t="s">
        <v>1579</v>
      </c>
    </row>
    <row r="101" spans="1:17" ht="15" customHeight="1">
      <c r="A101" s="9">
        <v>100</v>
      </c>
      <c r="B101" s="9" t="s">
        <v>1574</v>
      </c>
      <c r="C101" s="9" t="s">
        <v>1882</v>
      </c>
      <c r="D101" s="9" t="s">
        <v>1883</v>
      </c>
      <c r="E101" s="9" t="s">
        <v>21</v>
      </c>
      <c r="F101" s="9" t="s">
        <v>22</v>
      </c>
      <c r="G101" s="9">
        <v>580</v>
      </c>
      <c r="H101" s="9" t="s">
        <v>23</v>
      </c>
      <c r="I101" s="9" t="s">
        <v>866</v>
      </c>
      <c r="J101" s="9" t="s">
        <v>25</v>
      </c>
      <c r="K101" s="9" t="s">
        <v>26</v>
      </c>
      <c r="L101" s="9" t="s">
        <v>867</v>
      </c>
      <c r="M101" s="9">
        <v>5999</v>
      </c>
      <c r="N101" s="9" t="s">
        <v>867</v>
      </c>
      <c r="O101" s="9" t="s">
        <v>1884</v>
      </c>
      <c r="P101" s="9" t="s">
        <v>1578</v>
      </c>
      <c r="Q101" s="9" t="s">
        <v>1579</v>
      </c>
    </row>
    <row r="102" spans="1:17" ht="15" customHeight="1">
      <c r="A102" s="8">
        <v>101</v>
      </c>
      <c r="B102" s="8" t="s">
        <v>1574</v>
      </c>
      <c r="C102" s="8" t="s">
        <v>1885</v>
      </c>
      <c r="D102" s="8" t="s">
        <v>1886</v>
      </c>
      <c r="E102" s="8" t="s">
        <v>21</v>
      </c>
      <c r="F102" s="8" t="s">
        <v>22</v>
      </c>
      <c r="G102" s="8">
        <v>634</v>
      </c>
      <c r="H102" s="8" t="s">
        <v>23</v>
      </c>
      <c r="I102" s="8" t="s">
        <v>102</v>
      </c>
      <c r="J102" s="8" t="s">
        <v>41</v>
      </c>
      <c r="K102" s="8" t="s">
        <v>26</v>
      </c>
      <c r="L102" s="8" t="s">
        <v>103</v>
      </c>
      <c r="M102" s="8">
        <v>5411</v>
      </c>
      <c r="N102" s="8" t="s">
        <v>103</v>
      </c>
      <c r="O102" s="8" t="s">
        <v>1887</v>
      </c>
      <c r="P102" s="8" t="s">
        <v>1578</v>
      </c>
      <c r="Q102" s="8" t="s">
        <v>1579</v>
      </c>
    </row>
    <row r="103" spans="1:17" ht="15" customHeight="1">
      <c r="A103" s="9">
        <v>102</v>
      </c>
      <c r="B103" s="9" t="s">
        <v>1574</v>
      </c>
      <c r="C103" s="9" t="s">
        <v>1888</v>
      </c>
      <c r="D103" s="9" t="s">
        <v>1889</v>
      </c>
      <c r="E103" s="9" t="s">
        <v>21</v>
      </c>
      <c r="F103" s="9" t="s">
        <v>22</v>
      </c>
      <c r="G103" s="9">
        <v>4000</v>
      </c>
      <c r="H103" s="9" t="s">
        <v>23</v>
      </c>
      <c r="I103" s="9" t="s">
        <v>1583</v>
      </c>
      <c r="J103" s="9" t="s">
        <v>36</v>
      </c>
      <c r="K103" s="9" t="s">
        <v>26</v>
      </c>
      <c r="L103" s="9" t="s">
        <v>1584</v>
      </c>
      <c r="M103" s="9">
        <v>6012</v>
      </c>
      <c r="N103" s="9" t="s">
        <v>1584</v>
      </c>
      <c r="O103" s="9" t="s">
        <v>1890</v>
      </c>
      <c r="P103" s="9" t="s">
        <v>1578</v>
      </c>
      <c r="Q103" s="9" t="s">
        <v>1579</v>
      </c>
    </row>
    <row r="104" spans="1:17" ht="15" customHeight="1">
      <c r="A104" s="8">
        <v>103</v>
      </c>
      <c r="B104" s="8" t="s">
        <v>1574</v>
      </c>
      <c r="C104" s="8" t="s">
        <v>1891</v>
      </c>
      <c r="D104" s="8" t="s">
        <v>1892</v>
      </c>
      <c r="E104" s="8" t="s">
        <v>21</v>
      </c>
      <c r="F104" s="8" t="s">
        <v>22</v>
      </c>
      <c r="G104" s="8">
        <v>634</v>
      </c>
      <c r="H104" s="8" t="s">
        <v>23</v>
      </c>
      <c r="I104" s="8" t="s">
        <v>244</v>
      </c>
      <c r="J104" s="8" t="s">
        <v>41</v>
      </c>
      <c r="K104" s="8" t="s">
        <v>26</v>
      </c>
      <c r="L104" s="8" t="s">
        <v>245</v>
      </c>
      <c r="M104" s="8">
        <v>5411</v>
      </c>
      <c r="N104" s="8" t="s">
        <v>245</v>
      </c>
      <c r="O104" s="8" t="s">
        <v>1893</v>
      </c>
      <c r="P104" s="8" t="s">
        <v>1578</v>
      </c>
      <c r="Q104" s="8" t="s">
        <v>1579</v>
      </c>
    </row>
    <row r="105" spans="1:17" ht="15" customHeight="1">
      <c r="A105" s="9">
        <v>104</v>
      </c>
      <c r="B105" s="9" t="s">
        <v>1574</v>
      </c>
      <c r="C105" s="9" t="s">
        <v>1894</v>
      </c>
      <c r="D105" s="9" t="s">
        <v>1895</v>
      </c>
      <c r="E105" s="9" t="s">
        <v>21</v>
      </c>
      <c r="F105" s="9" t="s">
        <v>22</v>
      </c>
      <c r="G105" s="9">
        <v>551</v>
      </c>
      <c r="H105" s="9" t="s">
        <v>23</v>
      </c>
      <c r="I105" s="9" t="s">
        <v>86</v>
      </c>
      <c r="J105" s="9" t="s">
        <v>36</v>
      </c>
      <c r="K105" s="9" t="s">
        <v>26</v>
      </c>
      <c r="L105" s="9" t="s">
        <v>87</v>
      </c>
      <c r="M105" s="9">
        <v>4813</v>
      </c>
      <c r="N105" s="9" t="s">
        <v>87</v>
      </c>
      <c r="O105" s="9" t="s">
        <v>1896</v>
      </c>
      <c r="P105" s="9" t="s">
        <v>1578</v>
      </c>
      <c r="Q105" s="9" t="s">
        <v>1579</v>
      </c>
    </row>
    <row r="106" spans="1:17" ht="15" customHeight="1">
      <c r="A106" s="8">
        <v>105</v>
      </c>
      <c r="B106" s="8" t="s">
        <v>1574</v>
      </c>
      <c r="C106" s="8" t="s">
        <v>1897</v>
      </c>
      <c r="D106" s="8" t="s">
        <v>1898</v>
      </c>
      <c r="E106" s="8" t="s">
        <v>21</v>
      </c>
      <c r="F106" s="8" t="s">
        <v>22</v>
      </c>
      <c r="G106" s="8">
        <v>794</v>
      </c>
      <c r="H106" s="8" t="s">
        <v>23</v>
      </c>
      <c r="I106" s="8" t="s">
        <v>61</v>
      </c>
      <c r="J106" s="8" t="s">
        <v>25</v>
      </c>
      <c r="K106" s="8" t="s">
        <v>26</v>
      </c>
      <c r="L106" s="8" t="s">
        <v>62</v>
      </c>
      <c r="M106" s="8">
        <v>5999</v>
      </c>
      <c r="N106" s="8" t="s">
        <v>62</v>
      </c>
      <c r="O106" s="8" t="s">
        <v>1899</v>
      </c>
      <c r="P106" s="8" t="s">
        <v>1578</v>
      </c>
      <c r="Q106" s="8" t="s">
        <v>1579</v>
      </c>
    </row>
    <row r="107" spans="1:17" ht="15" customHeight="1">
      <c r="A107" s="9">
        <v>106</v>
      </c>
      <c r="B107" s="9" t="s">
        <v>1574</v>
      </c>
      <c r="C107" s="9" t="s">
        <v>1900</v>
      </c>
      <c r="D107" s="9" t="s">
        <v>1901</v>
      </c>
      <c r="E107" s="9" t="s">
        <v>21</v>
      </c>
      <c r="F107" s="9" t="s">
        <v>22</v>
      </c>
      <c r="G107" s="9">
        <v>504</v>
      </c>
      <c r="H107" s="9" t="s">
        <v>23</v>
      </c>
      <c r="I107" s="9" t="s">
        <v>330</v>
      </c>
      <c r="J107" s="9" t="s">
        <v>331</v>
      </c>
      <c r="K107" s="9" t="s">
        <v>26</v>
      </c>
      <c r="L107" s="9" t="s">
        <v>332</v>
      </c>
      <c r="M107" s="9">
        <v>6011</v>
      </c>
      <c r="N107" s="9" t="s">
        <v>332</v>
      </c>
      <c r="O107" s="9" t="s">
        <v>1902</v>
      </c>
      <c r="P107" s="9" t="s">
        <v>1578</v>
      </c>
      <c r="Q107" s="9" t="s">
        <v>1579</v>
      </c>
    </row>
    <row r="108" spans="1:17" ht="15" customHeight="1">
      <c r="A108" s="8">
        <v>107</v>
      </c>
      <c r="B108" s="8" t="s">
        <v>1574</v>
      </c>
      <c r="C108" s="8" t="s">
        <v>1903</v>
      </c>
      <c r="D108" s="8" t="s">
        <v>1904</v>
      </c>
      <c r="E108" s="8" t="s">
        <v>21</v>
      </c>
      <c r="F108" s="8" t="s">
        <v>22</v>
      </c>
      <c r="G108" s="8">
        <v>331</v>
      </c>
      <c r="H108" s="8" t="s">
        <v>23</v>
      </c>
      <c r="I108" s="8" t="s">
        <v>56</v>
      </c>
      <c r="J108" s="8" t="s">
        <v>41</v>
      </c>
      <c r="K108" s="8" t="s">
        <v>26</v>
      </c>
      <c r="L108" s="8" t="s">
        <v>57</v>
      </c>
      <c r="M108" s="8">
        <v>5999</v>
      </c>
      <c r="N108" s="8" t="s">
        <v>57</v>
      </c>
      <c r="O108" s="8" t="s">
        <v>1905</v>
      </c>
      <c r="P108" s="8" t="s">
        <v>1578</v>
      </c>
      <c r="Q108" s="8" t="s">
        <v>1579</v>
      </c>
    </row>
    <row r="109" spans="1:17" ht="15" customHeight="1">
      <c r="A109" s="9">
        <v>108</v>
      </c>
      <c r="B109" s="9" t="s">
        <v>1574</v>
      </c>
      <c r="C109" s="9" t="s">
        <v>1906</v>
      </c>
      <c r="D109" s="9" t="s">
        <v>1907</v>
      </c>
      <c r="E109" s="9" t="s">
        <v>21</v>
      </c>
      <c r="F109" s="9" t="s">
        <v>22</v>
      </c>
      <c r="G109" s="9">
        <v>1994</v>
      </c>
      <c r="H109" s="9" t="s">
        <v>23</v>
      </c>
      <c r="I109" s="9" t="s">
        <v>119</v>
      </c>
      <c r="J109" s="9" t="s">
        <v>25</v>
      </c>
      <c r="K109" s="9" t="s">
        <v>26</v>
      </c>
      <c r="L109" s="9" t="s">
        <v>120</v>
      </c>
      <c r="M109" s="9">
        <v>8299</v>
      </c>
      <c r="N109" s="9" t="s">
        <v>120</v>
      </c>
      <c r="O109" s="9" t="s">
        <v>1908</v>
      </c>
      <c r="P109" s="9" t="s">
        <v>1578</v>
      </c>
      <c r="Q109" s="9" t="s">
        <v>1579</v>
      </c>
    </row>
    <row r="110" spans="1:17" ht="15" customHeight="1">
      <c r="A110" s="8">
        <v>109</v>
      </c>
      <c r="B110" s="8" t="s">
        <v>1574</v>
      </c>
      <c r="C110" s="8" t="s">
        <v>1909</v>
      </c>
      <c r="D110" s="8" t="s">
        <v>1910</v>
      </c>
      <c r="E110" s="8" t="s">
        <v>21</v>
      </c>
      <c r="F110" s="8" t="s">
        <v>22</v>
      </c>
      <c r="G110" s="8">
        <v>634</v>
      </c>
      <c r="H110" s="8" t="s">
        <v>23</v>
      </c>
      <c r="I110" s="8" t="s">
        <v>244</v>
      </c>
      <c r="J110" s="8" t="s">
        <v>41</v>
      </c>
      <c r="K110" s="8" t="s">
        <v>26</v>
      </c>
      <c r="L110" s="8" t="s">
        <v>245</v>
      </c>
      <c r="M110" s="8">
        <v>5411</v>
      </c>
      <c r="N110" s="8" t="s">
        <v>245</v>
      </c>
      <c r="O110" s="8" t="s">
        <v>1911</v>
      </c>
      <c r="P110" s="8" t="s">
        <v>1578</v>
      </c>
      <c r="Q110" s="8" t="s">
        <v>1579</v>
      </c>
    </row>
    <row r="111" spans="1:17" ht="15" customHeight="1">
      <c r="A111" s="9">
        <v>110</v>
      </c>
      <c r="B111" s="9" t="s">
        <v>1574</v>
      </c>
      <c r="C111" s="9" t="s">
        <v>1912</v>
      </c>
      <c r="D111" s="9" t="s">
        <v>1913</v>
      </c>
      <c r="E111" s="9" t="s">
        <v>21</v>
      </c>
      <c r="F111" s="9" t="s">
        <v>22</v>
      </c>
      <c r="G111" s="9">
        <v>856</v>
      </c>
      <c r="H111" s="9" t="s">
        <v>23</v>
      </c>
      <c r="I111" s="9" t="s">
        <v>138</v>
      </c>
      <c r="J111" s="9" t="s">
        <v>41</v>
      </c>
      <c r="K111" s="9" t="s">
        <v>26</v>
      </c>
      <c r="L111" s="9" t="s">
        <v>139</v>
      </c>
      <c r="M111" s="9">
        <v>5812</v>
      </c>
      <c r="N111" s="9" t="s">
        <v>139</v>
      </c>
      <c r="O111" s="9" t="s">
        <v>1914</v>
      </c>
      <c r="P111" s="9" t="s">
        <v>1578</v>
      </c>
      <c r="Q111" s="9" t="s">
        <v>1579</v>
      </c>
    </row>
    <row r="112" spans="1:17" ht="15" customHeight="1">
      <c r="A112" s="8">
        <v>111</v>
      </c>
      <c r="B112" s="8" t="s">
        <v>1574</v>
      </c>
      <c r="C112" s="8" t="s">
        <v>1915</v>
      </c>
      <c r="D112" s="8" t="s">
        <v>1916</v>
      </c>
      <c r="E112" s="8" t="s">
        <v>21</v>
      </c>
      <c r="F112" s="8" t="s">
        <v>22</v>
      </c>
      <c r="G112" s="8">
        <v>1041</v>
      </c>
      <c r="H112" s="8" t="s">
        <v>23</v>
      </c>
      <c r="I112" s="8" t="s">
        <v>90</v>
      </c>
      <c r="J112" s="8" t="s">
        <v>36</v>
      </c>
      <c r="K112" s="8" t="s">
        <v>26</v>
      </c>
      <c r="L112" s="8" t="s">
        <v>91</v>
      </c>
      <c r="M112" s="8">
        <v>4900</v>
      </c>
      <c r="N112" s="8" t="s">
        <v>91</v>
      </c>
      <c r="O112" s="8" t="s">
        <v>1917</v>
      </c>
      <c r="P112" s="8" t="s">
        <v>1578</v>
      </c>
      <c r="Q112" s="8" t="s">
        <v>1579</v>
      </c>
    </row>
    <row r="113" spans="1:17" ht="15" customHeight="1">
      <c r="A113" s="9">
        <v>112</v>
      </c>
      <c r="B113" s="9" t="s">
        <v>1574</v>
      </c>
      <c r="C113" s="9" t="s">
        <v>1918</v>
      </c>
      <c r="D113" s="9" t="s">
        <v>1919</v>
      </c>
      <c r="E113" s="9" t="s">
        <v>21</v>
      </c>
      <c r="F113" s="9" t="s">
        <v>22</v>
      </c>
      <c r="G113" s="9">
        <v>634</v>
      </c>
      <c r="H113" s="9" t="s">
        <v>23</v>
      </c>
      <c r="I113" s="9" t="s">
        <v>82</v>
      </c>
      <c r="J113" s="9" t="s">
        <v>41</v>
      </c>
      <c r="K113" s="9" t="s">
        <v>26</v>
      </c>
      <c r="L113" s="9" t="s">
        <v>83</v>
      </c>
      <c r="M113" s="9">
        <v>5411</v>
      </c>
      <c r="N113" s="9" t="s">
        <v>83</v>
      </c>
      <c r="O113" s="9" t="s">
        <v>1920</v>
      </c>
      <c r="P113" s="9" t="s">
        <v>1578</v>
      </c>
      <c r="Q113" s="9" t="s">
        <v>1579</v>
      </c>
    </row>
    <row r="114" spans="1:17" ht="15" customHeight="1">
      <c r="A114" s="8">
        <v>113</v>
      </c>
      <c r="B114" s="8" t="s">
        <v>1574</v>
      </c>
      <c r="C114" s="8" t="s">
        <v>1921</v>
      </c>
      <c r="D114" s="8" t="s">
        <v>1922</v>
      </c>
      <c r="E114" s="8" t="s">
        <v>21</v>
      </c>
      <c r="F114" s="8" t="s">
        <v>22</v>
      </c>
      <c r="G114" s="8">
        <v>855</v>
      </c>
      <c r="H114" s="8" t="s">
        <v>23</v>
      </c>
      <c r="I114" s="8" t="s">
        <v>74</v>
      </c>
      <c r="J114" s="8" t="s">
        <v>41</v>
      </c>
      <c r="K114" s="8" t="s">
        <v>26</v>
      </c>
      <c r="L114" s="8" t="s">
        <v>75</v>
      </c>
      <c r="M114" s="8">
        <v>5812</v>
      </c>
      <c r="N114" s="8" t="s">
        <v>75</v>
      </c>
      <c r="O114" s="8" t="s">
        <v>1923</v>
      </c>
      <c r="P114" s="8" t="s">
        <v>1578</v>
      </c>
      <c r="Q114" s="8" t="s">
        <v>1579</v>
      </c>
    </row>
    <row r="115" spans="1:17" ht="15" customHeight="1">
      <c r="A115" s="9">
        <v>114</v>
      </c>
      <c r="B115" s="9" t="s">
        <v>1574</v>
      </c>
      <c r="C115" s="9" t="s">
        <v>1924</v>
      </c>
      <c r="D115" s="9" t="s">
        <v>1925</v>
      </c>
      <c r="E115" s="9" t="s">
        <v>21</v>
      </c>
      <c r="F115" s="9" t="s">
        <v>22</v>
      </c>
      <c r="G115" s="9">
        <v>862</v>
      </c>
      <c r="H115" s="9" t="s">
        <v>23</v>
      </c>
      <c r="I115" s="9" t="s">
        <v>46</v>
      </c>
      <c r="J115" s="9" t="s">
        <v>41</v>
      </c>
      <c r="K115" s="9" t="s">
        <v>26</v>
      </c>
      <c r="L115" s="9" t="s">
        <v>47</v>
      </c>
      <c r="M115" s="9">
        <v>8011</v>
      </c>
      <c r="N115" s="9" t="s">
        <v>47</v>
      </c>
      <c r="O115" s="9" t="s">
        <v>1926</v>
      </c>
      <c r="P115" s="9" t="s">
        <v>1578</v>
      </c>
      <c r="Q115" s="9" t="s">
        <v>1579</v>
      </c>
    </row>
    <row r="116" spans="1:17" ht="15" customHeight="1">
      <c r="A116" s="8">
        <v>115</v>
      </c>
      <c r="B116" s="8" t="s">
        <v>1574</v>
      </c>
      <c r="C116" s="8" t="s">
        <v>1927</v>
      </c>
      <c r="D116" s="8" t="s">
        <v>1928</v>
      </c>
      <c r="E116" s="8" t="s">
        <v>21</v>
      </c>
      <c r="F116" s="8" t="s">
        <v>22</v>
      </c>
      <c r="G116" s="8">
        <v>794</v>
      </c>
      <c r="H116" s="8" t="s">
        <v>23</v>
      </c>
      <c r="I116" s="8" t="s">
        <v>127</v>
      </c>
      <c r="J116" s="8" t="s">
        <v>25</v>
      </c>
      <c r="K116" s="8" t="s">
        <v>26</v>
      </c>
      <c r="L116" s="8" t="s">
        <v>128</v>
      </c>
      <c r="M116" s="8">
        <v>5999</v>
      </c>
      <c r="N116" s="8" t="s">
        <v>128</v>
      </c>
      <c r="O116" s="8" t="s">
        <v>1929</v>
      </c>
      <c r="P116" s="8" t="s">
        <v>1578</v>
      </c>
      <c r="Q116" s="8" t="s">
        <v>1579</v>
      </c>
    </row>
    <row r="117" spans="1:17" ht="15" customHeight="1">
      <c r="A117" s="9">
        <v>116</v>
      </c>
      <c r="B117" s="9" t="s">
        <v>1574</v>
      </c>
      <c r="C117" s="9" t="s">
        <v>1930</v>
      </c>
      <c r="D117" s="9" t="s">
        <v>1931</v>
      </c>
      <c r="E117" s="9" t="s">
        <v>21</v>
      </c>
      <c r="F117" s="9" t="s">
        <v>22</v>
      </c>
      <c r="G117" s="9">
        <v>1324</v>
      </c>
      <c r="H117" s="9" t="s">
        <v>23</v>
      </c>
      <c r="I117" s="9" t="s">
        <v>78</v>
      </c>
      <c r="J117" s="9" t="s">
        <v>41</v>
      </c>
      <c r="K117" s="9" t="s">
        <v>26</v>
      </c>
      <c r="L117" s="9" t="s">
        <v>79</v>
      </c>
      <c r="M117" s="9">
        <v>7996</v>
      </c>
      <c r="N117" s="9" t="s">
        <v>79</v>
      </c>
      <c r="O117" s="9" t="s">
        <v>1932</v>
      </c>
      <c r="P117" s="9" t="s">
        <v>1578</v>
      </c>
      <c r="Q117" s="9" t="s">
        <v>1579</v>
      </c>
    </row>
    <row r="118" spans="1:17" ht="15" customHeight="1">
      <c r="A118" s="8">
        <v>117</v>
      </c>
      <c r="B118" s="8" t="s">
        <v>1574</v>
      </c>
      <c r="C118" s="8" t="s">
        <v>1933</v>
      </c>
      <c r="D118" s="8" t="s">
        <v>1934</v>
      </c>
      <c r="E118" s="8" t="s">
        <v>94</v>
      </c>
      <c r="F118" s="8" t="s">
        <v>22</v>
      </c>
      <c r="G118" s="8">
        <v>28400</v>
      </c>
      <c r="H118" s="8" t="s">
        <v>23</v>
      </c>
      <c r="I118" s="8" t="s">
        <v>1645</v>
      </c>
      <c r="J118" s="8" t="s">
        <v>96</v>
      </c>
      <c r="K118" s="8" t="s">
        <v>97</v>
      </c>
      <c r="L118" s="8" t="s">
        <v>1646</v>
      </c>
      <c r="M118" s="8"/>
      <c r="N118" s="8" t="s">
        <v>1646</v>
      </c>
      <c r="O118" s="8" t="s">
        <v>1935</v>
      </c>
      <c r="P118" s="8" t="s">
        <v>1578</v>
      </c>
      <c r="Q118" s="8" t="s">
        <v>1579</v>
      </c>
    </row>
    <row r="119" spans="1:17" ht="15" customHeight="1">
      <c r="A119" s="9">
        <v>118</v>
      </c>
      <c r="B119" s="9" t="s">
        <v>1574</v>
      </c>
      <c r="C119" s="9" t="s">
        <v>1936</v>
      </c>
      <c r="D119" s="9" t="s">
        <v>1937</v>
      </c>
      <c r="E119" s="9" t="s">
        <v>21</v>
      </c>
      <c r="F119" s="9" t="s">
        <v>22</v>
      </c>
      <c r="G119" s="9">
        <v>1157</v>
      </c>
      <c r="H119" s="9" t="s">
        <v>23</v>
      </c>
      <c r="I119" s="9" t="s">
        <v>123</v>
      </c>
      <c r="J119" s="9" t="s">
        <v>41</v>
      </c>
      <c r="K119" s="9" t="s">
        <v>26</v>
      </c>
      <c r="L119" s="9" t="s">
        <v>124</v>
      </c>
      <c r="M119" s="9">
        <v>5541</v>
      </c>
      <c r="N119" s="9" t="s">
        <v>124</v>
      </c>
      <c r="O119" s="9" t="s">
        <v>1938</v>
      </c>
      <c r="P119" s="9" t="s">
        <v>1578</v>
      </c>
      <c r="Q119" s="9" t="s">
        <v>1579</v>
      </c>
    </row>
    <row r="120" spans="1:17" ht="15" customHeight="1">
      <c r="A120" s="8">
        <v>119</v>
      </c>
      <c r="B120" s="8" t="s">
        <v>1574</v>
      </c>
      <c r="C120" s="8" t="s">
        <v>1939</v>
      </c>
      <c r="D120" s="8" t="s">
        <v>1940</v>
      </c>
      <c r="E120" s="8" t="s">
        <v>21</v>
      </c>
      <c r="F120" s="8" t="s">
        <v>22</v>
      </c>
      <c r="G120" s="8">
        <v>1501</v>
      </c>
      <c r="H120" s="8" t="s">
        <v>23</v>
      </c>
      <c r="I120" s="8" t="s">
        <v>363</v>
      </c>
      <c r="J120" s="8" t="s">
        <v>41</v>
      </c>
      <c r="K120" s="8" t="s">
        <v>26</v>
      </c>
      <c r="L120" s="8" t="s">
        <v>364</v>
      </c>
      <c r="M120" s="8">
        <v>5999</v>
      </c>
      <c r="N120" s="8" t="s">
        <v>364</v>
      </c>
      <c r="O120" s="8" t="s">
        <v>1941</v>
      </c>
      <c r="P120" s="8" t="s">
        <v>1578</v>
      </c>
      <c r="Q120" s="8" t="s">
        <v>1579</v>
      </c>
    </row>
    <row r="121" spans="1:17" ht="15" customHeight="1">
      <c r="A121" s="9">
        <v>120</v>
      </c>
      <c r="B121" s="9" t="s">
        <v>1574</v>
      </c>
      <c r="C121" s="9" t="s">
        <v>1942</v>
      </c>
      <c r="D121" s="9" t="s">
        <v>1943</v>
      </c>
      <c r="E121" s="9" t="s">
        <v>21</v>
      </c>
      <c r="F121" s="9" t="s">
        <v>22</v>
      </c>
      <c r="G121" s="9">
        <v>1306</v>
      </c>
      <c r="H121" s="9" t="s">
        <v>23</v>
      </c>
      <c r="I121" s="9" t="s">
        <v>198</v>
      </c>
      <c r="J121" s="9" t="s">
        <v>36</v>
      </c>
      <c r="K121" s="9" t="s">
        <v>26</v>
      </c>
      <c r="L121" s="9" t="s">
        <v>199</v>
      </c>
      <c r="M121" s="9">
        <v>4900</v>
      </c>
      <c r="N121" s="9" t="s">
        <v>199</v>
      </c>
      <c r="O121" s="9" t="s">
        <v>1944</v>
      </c>
      <c r="P121" s="9" t="s">
        <v>1578</v>
      </c>
      <c r="Q121" s="9" t="s">
        <v>1579</v>
      </c>
    </row>
    <row r="122" spans="1:17" ht="15" customHeight="1">
      <c r="A122" s="8">
        <v>121</v>
      </c>
      <c r="B122" s="8" t="s">
        <v>1574</v>
      </c>
      <c r="C122" s="8" t="s">
        <v>1945</v>
      </c>
      <c r="D122" s="8" t="s">
        <v>1946</v>
      </c>
      <c r="E122" s="8" t="s">
        <v>21</v>
      </c>
      <c r="F122" s="8" t="s">
        <v>22</v>
      </c>
      <c r="G122" s="8">
        <v>1198</v>
      </c>
      <c r="H122" s="8" t="s">
        <v>23</v>
      </c>
      <c r="I122" s="8" t="s">
        <v>56</v>
      </c>
      <c r="J122" s="8" t="s">
        <v>41</v>
      </c>
      <c r="K122" s="8" t="s">
        <v>26</v>
      </c>
      <c r="L122" s="8" t="s">
        <v>57</v>
      </c>
      <c r="M122" s="8">
        <v>5999</v>
      </c>
      <c r="N122" s="8" t="s">
        <v>57</v>
      </c>
      <c r="O122" s="8" t="s">
        <v>1947</v>
      </c>
      <c r="P122" s="8" t="s">
        <v>1578</v>
      </c>
      <c r="Q122" s="8" t="s">
        <v>1579</v>
      </c>
    </row>
    <row r="123" spans="1:17" ht="15" customHeight="1">
      <c r="A123" s="9">
        <v>122</v>
      </c>
      <c r="B123" s="9" t="s">
        <v>1574</v>
      </c>
      <c r="C123" s="9" t="s">
        <v>1948</v>
      </c>
      <c r="D123" s="9" t="s">
        <v>1949</v>
      </c>
      <c r="E123" s="9" t="s">
        <v>21</v>
      </c>
      <c r="F123" s="9" t="s">
        <v>22</v>
      </c>
      <c r="G123" s="9">
        <v>4000</v>
      </c>
      <c r="H123" s="9" t="s">
        <v>23</v>
      </c>
      <c r="I123" s="9" t="s">
        <v>1583</v>
      </c>
      <c r="J123" s="9" t="s">
        <v>36</v>
      </c>
      <c r="K123" s="9" t="s">
        <v>26</v>
      </c>
      <c r="L123" s="9" t="s">
        <v>1584</v>
      </c>
      <c r="M123" s="9">
        <v>6012</v>
      </c>
      <c r="N123" s="9" t="s">
        <v>1584</v>
      </c>
      <c r="O123" s="9" t="s">
        <v>1950</v>
      </c>
      <c r="P123" s="9" t="s">
        <v>1578</v>
      </c>
      <c r="Q123" s="9" t="s">
        <v>1579</v>
      </c>
    </row>
    <row r="124" spans="1:17" ht="15" customHeight="1">
      <c r="A124" s="8">
        <v>123</v>
      </c>
      <c r="B124" s="8" t="s">
        <v>1574</v>
      </c>
      <c r="C124" s="8" t="s">
        <v>1951</v>
      </c>
      <c r="D124" s="8" t="s">
        <v>1952</v>
      </c>
      <c r="E124" s="8" t="s">
        <v>21</v>
      </c>
      <c r="F124" s="8" t="s">
        <v>22</v>
      </c>
      <c r="G124" s="8">
        <v>827</v>
      </c>
      <c r="H124" s="8" t="s">
        <v>23</v>
      </c>
      <c r="I124" s="8" t="s">
        <v>866</v>
      </c>
      <c r="J124" s="8" t="s">
        <v>25</v>
      </c>
      <c r="K124" s="8" t="s">
        <v>26</v>
      </c>
      <c r="L124" s="8" t="s">
        <v>867</v>
      </c>
      <c r="M124" s="8">
        <v>5999</v>
      </c>
      <c r="N124" s="8" t="s">
        <v>867</v>
      </c>
      <c r="O124" s="8" t="s">
        <v>1953</v>
      </c>
      <c r="P124" s="8" t="s">
        <v>1578</v>
      </c>
      <c r="Q124" s="8" t="s">
        <v>1579</v>
      </c>
    </row>
    <row r="125" spans="1:17" ht="15" customHeight="1">
      <c r="A125" s="9">
        <v>124</v>
      </c>
      <c r="B125" s="9" t="s">
        <v>1574</v>
      </c>
      <c r="C125" s="9" t="s">
        <v>1954</v>
      </c>
      <c r="D125" s="9" t="s">
        <v>1955</v>
      </c>
      <c r="E125" s="9" t="s">
        <v>21</v>
      </c>
      <c r="F125" s="9" t="s">
        <v>22</v>
      </c>
      <c r="G125" s="9">
        <v>826</v>
      </c>
      <c r="H125" s="9" t="s">
        <v>23</v>
      </c>
      <c r="I125" s="9" t="s">
        <v>212</v>
      </c>
      <c r="J125" s="9" t="s">
        <v>25</v>
      </c>
      <c r="K125" s="9" t="s">
        <v>26</v>
      </c>
      <c r="L125" s="9" t="s">
        <v>213</v>
      </c>
      <c r="M125" s="9">
        <v>5999</v>
      </c>
      <c r="N125" s="9" t="s">
        <v>213</v>
      </c>
      <c r="O125" s="9" t="s">
        <v>1956</v>
      </c>
      <c r="P125" s="9" t="s">
        <v>1578</v>
      </c>
      <c r="Q125" s="9" t="s">
        <v>1579</v>
      </c>
    </row>
    <row r="126" spans="1:17" ht="15" customHeight="1">
      <c r="A126" s="8">
        <v>125</v>
      </c>
      <c r="B126" s="8" t="s">
        <v>1574</v>
      </c>
      <c r="C126" s="8" t="s">
        <v>1957</v>
      </c>
      <c r="D126" s="8" t="s">
        <v>1958</v>
      </c>
      <c r="E126" s="8" t="s">
        <v>21</v>
      </c>
      <c r="F126" s="8" t="s">
        <v>22</v>
      </c>
      <c r="G126" s="8">
        <v>706</v>
      </c>
      <c r="H126" s="8" t="s">
        <v>23</v>
      </c>
      <c r="I126" s="8" t="s">
        <v>180</v>
      </c>
      <c r="J126" s="8" t="s">
        <v>41</v>
      </c>
      <c r="K126" s="8" t="s">
        <v>26</v>
      </c>
      <c r="L126" s="8" t="s">
        <v>181</v>
      </c>
      <c r="M126" s="8">
        <v>5411</v>
      </c>
      <c r="N126" s="8" t="s">
        <v>181</v>
      </c>
      <c r="O126" s="8" t="s">
        <v>1959</v>
      </c>
      <c r="P126" s="8" t="s">
        <v>1578</v>
      </c>
      <c r="Q126" s="8" t="s">
        <v>1579</v>
      </c>
    </row>
    <row r="127" spans="1:17" ht="15" customHeight="1">
      <c r="A127" s="9">
        <v>126</v>
      </c>
      <c r="B127" s="9" t="s">
        <v>1574</v>
      </c>
      <c r="C127" s="9" t="s">
        <v>1960</v>
      </c>
      <c r="D127" s="9" t="s">
        <v>1961</v>
      </c>
      <c r="E127" s="9" t="s">
        <v>21</v>
      </c>
      <c r="F127" s="9" t="s">
        <v>22</v>
      </c>
      <c r="G127" s="9">
        <v>706</v>
      </c>
      <c r="H127" s="9" t="s">
        <v>23</v>
      </c>
      <c r="I127" s="9" t="s">
        <v>102</v>
      </c>
      <c r="J127" s="9" t="s">
        <v>41</v>
      </c>
      <c r="K127" s="9" t="s">
        <v>26</v>
      </c>
      <c r="L127" s="9" t="s">
        <v>103</v>
      </c>
      <c r="M127" s="9">
        <v>5411</v>
      </c>
      <c r="N127" s="9" t="s">
        <v>103</v>
      </c>
      <c r="O127" s="9" t="s">
        <v>1962</v>
      </c>
      <c r="P127" s="9" t="s">
        <v>1578</v>
      </c>
      <c r="Q127" s="9" t="s">
        <v>1579</v>
      </c>
    </row>
    <row r="128" spans="1:17" ht="15" customHeight="1">
      <c r="A128" s="8">
        <v>127</v>
      </c>
      <c r="B128" s="8" t="s">
        <v>1574</v>
      </c>
      <c r="C128" s="8" t="s">
        <v>1963</v>
      </c>
      <c r="D128" s="8" t="s">
        <v>1964</v>
      </c>
      <c r="E128" s="8" t="s">
        <v>21</v>
      </c>
      <c r="F128" s="8" t="s">
        <v>22</v>
      </c>
      <c r="G128" s="8">
        <v>707</v>
      </c>
      <c r="H128" s="8" t="s">
        <v>23</v>
      </c>
      <c r="I128" s="8" t="s">
        <v>131</v>
      </c>
      <c r="J128" s="8" t="s">
        <v>41</v>
      </c>
      <c r="K128" s="8" t="s">
        <v>26</v>
      </c>
      <c r="L128" s="8" t="s">
        <v>132</v>
      </c>
      <c r="M128" s="8">
        <v>5411</v>
      </c>
      <c r="N128" s="8" t="s">
        <v>132</v>
      </c>
      <c r="O128" s="8" t="s">
        <v>1965</v>
      </c>
      <c r="P128" s="8" t="s">
        <v>1578</v>
      </c>
      <c r="Q128" s="8" t="s">
        <v>1579</v>
      </c>
    </row>
    <row r="129" spans="1:17" ht="15" customHeight="1">
      <c r="A129" s="9">
        <v>128</v>
      </c>
      <c r="B129" s="9" t="s">
        <v>1574</v>
      </c>
      <c r="C129" s="9" t="s">
        <v>1966</v>
      </c>
      <c r="D129" s="9" t="s">
        <v>1967</v>
      </c>
      <c r="E129" s="9" t="s">
        <v>21</v>
      </c>
      <c r="F129" s="9" t="s">
        <v>22</v>
      </c>
      <c r="G129" s="9">
        <v>1337</v>
      </c>
      <c r="H129" s="9" t="s">
        <v>23</v>
      </c>
      <c r="I129" s="9" t="s">
        <v>78</v>
      </c>
      <c r="J129" s="9" t="s">
        <v>41</v>
      </c>
      <c r="K129" s="9" t="s">
        <v>26</v>
      </c>
      <c r="L129" s="9" t="s">
        <v>79</v>
      </c>
      <c r="M129" s="9">
        <v>7996</v>
      </c>
      <c r="N129" s="9" t="s">
        <v>79</v>
      </c>
      <c r="O129" s="9" t="s">
        <v>1968</v>
      </c>
      <c r="P129" s="9" t="s">
        <v>1578</v>
      </c>
      <c r="Q129" s="9" t="s">
        <v>1579</v>
      </c>
    </row>
    <row r="130" spans="1:17" ht="15" customHeight="1">
      <c r="A130" s="8">
        <v>129</v>
      </c>
      <c r="B130" s="8" t="s">
        <v>1574</v>
      </c>
      <c r="C130" s="8" t="s">
        <v>1969</v>
      </c>
      <c r="D130" s="8" t="s">
        <v>1970</v>
      </c>
      <c r="E130" s="8" t="s">
        <v>21</v>
      </c>
      <c r="F130" s="8" t="s">
        <v>22</v>
      </c>
      <c r="G130" s="8">
        <v>512</v>
      </c>
      <c r="H130" s="8" t="s">
        <v>23</v>
      </c>
      <c r="I130" s="8" t="s">
        <v>123</v>
      </c>
      <c r="J130" s="8" t="s">
        <v>41</v>
      </c>
      <c r="K130" s="8" t="s">
        <v>26</v>
      </c>
      <c r="L130" s="8" t="s">
        <v>124</v>
      </c>
      <c r="M130" s="8">
        <v>5541</v>
      </c>
      <c r="N130" s="8" t="s">
        <v>124</v>
      </c>
      <c r="O130" s="8" t="s">
        <v>1971</v>
      </c>
      <c r="P130" s="8" t="s">
        <v>1578</v>
      </c>
      <c r="Q130" s="8" t="s">
        <v>1579</v>
      </c>
    </row>
    <row r="131" spans="1:17" ht="15" customHeight="1">
      <c r="A131" s="9">
        <v>130</v>
      </c>
      <c r="B131" s="9" t="s">
        <v>1574</v>
      </c>
      <c r="C131" s="9" t="s">
        <v>1972</v>
      </c>
      <c r="D131" s="9" t="s">
        <v>1973</v>
      </c>
      <c r="E131" s="9" t="s">
        <v>21</v>
      </c>
      <c r="F131" s="9" t="s">
        <v>22</v>
      </c>
      <c r="G131" s="9">
        <v>706</v>
      </c>
      <c r="H131" s="9" t="s">
        <v>23</v>
      </c>
      <c r="I131" s="9" t="s">
        <v>379</v>
      </c>
      <c r="J131" s="9" t="s">
        <v>41</v>
      </c>
      <c r="K131" s="9" t="s">
        <v>26</v>
      </c>
      <c r="L131" s="9" t="s">
        <v>380</v>
      </c>
      <c r="M131" s="9">
        <v>5411</v>
      </c>
      <c r="N131" s="9" t="s">
        <v>380</v>
      </c>
      <c r="O131" s="9" t="s">
        <v>1974</v>
      </c>
      <c r="P131" s="9" t="s">
        <v>1578</v>
      </c>
      <c r="Q131" s="9" t="s">
        <v>1579</v>
      </c>
    </row>
    <row r="132" spans="1:17" ht="15" customHeight="1">
      <c r="A132" s="8">
        <v>131</v>
      </c>
      <c r="B132" s="8" t="s">
        <v>1574</v>
      </c>
      <c r="C132" s="8" t="s">
        <v>1975</v>
      </c>
      <c r="D132" s="8" t="s">
        <v>1976</v>
      </c>
      <c r="E132" s="8" t="s">
        <v>21</v>
      </c>
      <c r="F132" s="8" t="s">
        <v>22</v>
      </c>
      <c r="G132" s="8">
        <v>521</v>
      </c>
      <c r="H132" s="8" t="s">
        <v>23</v>
      </c>
      <c r="I132" s="8" t="s">
        <v>86</v>
      </c>
      <c r="J132" s="8" t="s">
        <v>36</v>
      </c>
      <c r="K132" s="8" t="s">
        <v>26</v>
      </c>
      <c r="L132" s="8" t="s">
        <v>87</v>
      </c>
      <c r="M132" s="8">
        <v>4813</v>
      </c>
      <c r="N132" s="8" t="s">
        <v>87</v>
      </c>
      <c r="O132" s="8" t="s">
        <v>1977</v>
      </c>
      <c r="P132" s="8" t="s">
        <v>1578</v>
      </c>
      <c r="Q132" s="8" t="s">
        <v>1579</v>
      </c>
    </row>
    <row r="133" spans="1:17" ht="15" customHeight="1">
      <c r="A133" s="9">
        <v>132</v>
      </c>
      <c r="B133" s="9" t="s">
        <v>1574</v>
      </c>
      <c r="C133" s="9" t="s">
        <v>1978</v>
      </c>
      <c r="D133" s="9" t="s">
        <v>1979</v>
      </c>
      <c r="E133" s="9" t="s">
        <v>21</v>
      </c>
      <c r="F133" s="9" t="s">
        <v>22</v>
      </c>
      <c r="G133" s="9">
        <v>511</v>
      </c>
      <c r="H133" s="9" t="s">
        <v>23</v>
      </c>
      <c r="I133" s="9" t="s">
        <v>70</v>
      </c>
      <c r="J133" s="9" t="s">
        <v>41</v>
      </c>
      <c r="K133" s="9" t="s">
        <v>26</v>
      </c>
      <c r="L133" s="9" t="s">
        <v>71</v>
      </c>
      <c r="M133" s="9">
        <v>5541</v>
      </c>
      <c r="N133" s="9" t="s">
        <v>71</v>
      </c>
      <c r="O133" s="9" t="s">
        <v>1980</v>
      </c>
      <c r="P133" s="9" t="s">
        <v>1578</v>
      </c>
      <c r="Q133" s="9" t="s">
        <v>1579</v>
      </c>
    </row>
    <row r="134" spans="1:17" ht="15" customHeight="1">
      <c r="A134" s="8">
        <v>133</v>
      </c>
      <c r="B134" s="8" t="s">
        <v>1574</v>
      </c>
      <c r="C134" s="8" t="s">
        <v>1981</v>
      </c>
      <c r="D134" s="8" t="s">
        <v>1982</v>
      </c>
      <c r="E134" s="8" t="s">
        <v>21</v>
      </c>
      <c r="F134" s="8" t="s">
        <v>22</v>
      </c>
      <c r="G134" s="8">
        <v>408</v>
      </c>
      <c r="H134" s="8" t="s">
        <v>23</v>
      </c>
      <c r="I134" s="8" t="s">
        <v>560</v>
      </c>
      <c r="J134" s="8" t="s">
        <v>331</v>
      </c>
      <c r="K134" s="8" t="s">
        <v>26</v>
      </c>
      <c r="L134" s="8" t="s">
        <v>561</v>
      </c>
      <c r="M134" s="8">
        <v>6011</v>
      </c>
      <c r="N134" s="8" t="s">
        <v>561</v>
      </c>
      <c r="O134" s="8" t="s">
        <v>1983</v>
      </c>
      <c r="P134" s="8" t="s">
        <v>1578</v>
      </c>
      <c r="Q134" s="8" t="s">
        <v>1579</v>
      </c>
    </row>
    <row r="135" spans="1:17" ht="15" customHeight="1">
      <c r="A135" s="9">
        <v>134</v>
      </c>
      <c r="B135" s="9" t="s">
        <v>1574</v>
      </c>
      <c r="C135" s="9" t="s">
        <v>1984</v>
      </c>
      <c r="D135" s="9" t="s">
        <v>1985</v>
      </c>
      <c r="E135" s="9" t="s">
        <v>21</v>
      </c>
      <c r="F135" s="9" t="s">
        <v>22</v>
      </c>
      <c r="G135" s="9">
        <v>715</v>
      </c>
      <c r="H135" s="9" t="s">
        <v>23</v>
      </c>
      <c r="I135" s="9" t="s">
        <v>46</v>
      </c>
      <c r="J135" s="9" t="s">
        <v>41</v>
      </c>
      <c r="K135" s="9" t="s">
        <v>26</v>
      </c>
      <c r="L135" s="9" t="s">
        <v>47</v>
      </c>
      <c r="M135" s="9">
        <v>8011</v>
      </c>
      <c r="N135" s="9" t="s">
        <v>47</v>
      </c>
      <c r="O135" s="9" t="s">
        <v>1986</v>
      </c>
      <c r="P135" s="9" t="s">
        <v>1578</v>
      </c>
      <c r="Q135" s="9" t="s">
        <v>1579</v>
      </c>
    </row>
    <row r="136" spans="1:17" ht="15" customHeight="1">
      <c r="A136" s="8">
        <v>135</v>
      </c>
      <c r="B136" s="8" t="s">
        <v>1574</v>
      </c>
      <c r="C136" s="8" t="s">
        <v>1987</v>
      </c>
      <c r="D136" s="8" t="s">
        <v>1988</v>
      </c>
      <c r="E136" s="8" t="s">
        <v>21</v>
      </c>
      <c r="F136" s="8" t="s">
        <v>22</v>
      </c>
      <c r="G136" s="8">
        <v>452</v>
      </c>
      <c r="H136" s="8" t="s">
        <v>23</v>
      </c>
      <c r="I136" s="8" t="s">
        <v>115</v>
      </c>
      <c r="J136" s="8" t="s">
        <v>41</v>
      </c>
      <c r="K136" s="8" t="s">
        <v>26</v>
      </c>
      <c r="L136" s="8" t="s">
        <v>116</v>
      </c>
      <c r="M136" s="8">
        <v>5812</v>
      </c>
      <c r="N136" s="8" t="s">
        <v>116</v>
      </c>
      <c r="O136" s="8" t="s">
        <v>1989</v>
      </c>
      <c r="P136" s="8" t="s">
        <v>1578</v>
      </c>
      <c r="Q136" s="8" t="s">
        <v>1579</v>
      </c>
    </row>
    <row r="137" spans="1:17" ht="15" customHeight="1">
      <c r="A137" s="9">
        <v>136</v>
      </c>
      <c r="B137" s="9" t="s">
        <v>1574</v>
      </c>
      <c r="C137" s="9" t="s">
        <v>1990</v>
      </c>
      <c r="D137" s="9" t="s">
        <v>1991</v>
      </c>
      <c r="E137" s="9" t="s">
        <v>94</v>
      </c>
      <c r="F137" s="9" t="s">
        <v>22</v>
      </c>
      <c r="G137" s="9">
        <v>27800</v>
      </c>
      <c r="H137" s="9" t="s">
        <v>23</v>
      </c>
      <c r="I137" s="9" t="s">
        <v>1645</v>
      </c>
      <c r="J137" s="9" t="s">
        <v>96</v>
      </c>
      <c r="K137" s="9" t="s">
        <v>97</v>
      </c>
      <c r="L137" s="9" t="s">
        <v>1646</v>
      </c>
      <c r="M137" s="9"/>
      <c r="N137" s="9" t="s">
        <v>1646</v>
      </c>
      <c r="O137" s="9" t="s">
        <v>1992</v>
      </c>
      <c r="P137" s="9" t="s">
        <v>1578</v>
      </c>
      <c r="Q137" s="9" t="s">
        <v>1579</v>
      </c>
    </row>
    <row r="138" spans="1:17" ht="15" customHeight="1">
      <c r="A138" s="8">
        <v>137</v>
      </c>
      <c r="B138" s="8" t="s">
        <v>1574</v>
      </c>
      <c r="C138" s="8" t="s">
        <v>1993</v>
      </c>
      <c r="D138" s="8" t="s">
        <v>1994</v>
      </c>
      <c r="E138" s="8" t="s">
        <v>21</v>
      </c>
      <c r="F138" s="8" t="s">
        <v>22</v>
      </c>
      <c r="G138" s="8">
        <v>452</v>
      </c>
      <c r="H138" s="8" t="s">
        <v>23</v>
      </c>
      <c r="I138" s="8" t="s">
        <v>138</v>
      </c>
      <c r="J138" s="8" t="s">
        <v>41</v>
      </c>
      <c r="K138" s="8" t="s">
        <v>26</v>
      </c>
      <c r="L138" s="8" t="s">
        <v>139</v>
      </c>
      <c r="M138" s="8">
        <v>5812</v>
      </c>
      <c r="N138" s="8" t="s">
        <v>139</v>
      </c>
      <c r="O138" s="8" t="s">
        <v>1995</v>
      </c>
      <c r="P138" s="8" t="s">
        <v>1578</v>
      </c>
      <c r="Q138" s="8" t="s">
        <v>1579</v>
      </c>
    </row>
    <row r="139" spans="1:17" ht="15" customHeight="1">
      <c r="A139" s="9">
        <v>138</v>
      </c>
      <c r="B139" s="9" t="s">
        <v>1574</v>
      </c>
      <c r="C139" s="9" t="s">
        <v>1996</v>
      </c>
      <c r="D139" s="9" t="s">
        <v>1997</v>
      </c>
      <c r="E139" s="9" t="s">
        <v>21</v>
      </c>
      <c r="F139" s="9" t="s">
        <v>22</v>
      </c>
      <c r="G139" s="9">
        <v>2206</v>
      </c>
      <c r="H139" s="9" t="s">
        <v>23</v>
      </c>
      <c r="I139" s="9" t="s">
        <v>119</v>
      </c>
      <c r="J139" s="9" t="s">
        <v>25</v>
      </c>
      <c r="K139" s="9" t="s">
        <v>26</v>
      </c>
      <c r="L139" s="9" t="s">
        <v>120</v>
      </c>
      <c r="M139" s="9">
        <v>8299</v>
      </c>
      <c r="N139" s="9" t="s">
        <v>120</v>
      </c>
      <c r="O139" s="9" t="s">
        <v>1998</v>
      </c>
      <c r="P139" s="9" t="s">
        <v>1578</v>
      </c>
      <c r="Q139" s="9" t="s">
        <v>1579</v>
      </c>
    </row>
    <row r="140" spans="1:17" ht="15" customHeight="1">
      <c r="A140" s="8">
        <v>139</v>
      </c>
      <c r="B140" s="8" t="s">
        <v>1574</v>
      </c>
      <c r="C140" s="8" t="s">
        <v>1999</v>
      </c>
      <c r="D140" s="8" t="s">
        <v>2000</v>
      </c>
      <c r="E140" s="8" t="s">
        <v>21</v>
      </c>
      <c r="F140" s="8" t="s">
        <v>22</v>
      </c>
      <c r="G140" s="8">
        <v>452</v>
      </c>
      <c r="H140" s="8" t="s">
        <v>23</v>
      </c>
      <c r="I140" s="8" t="s">
        <v>340</v>
      </c>
      <c r="J140" s="8" t="s">
        <v>41</v>
      </c>
      <c r="K140" s="8" t="s">
        <v>26</v>
      </c>
      <c r="L140" s="8" t="s">
        <v>341</v>
      </c>
      <c r="M140" s="8">
        <v>5812</v>
      </c>
      <c r="N140" s="8" t="s">
        <v>341</v>
      </c>
      <c r="O140" s="8" t="s">
        <v>2001</v>
      </c>
      <c r="P140" s="8" t="s">
        <v>1578</v>
      </c>
      <c r="Q140" s="8" t="s">
        <v>1579</v>
      </c>
    </row>
    <row r="141" spans="1:17" ht="15" customHeight="1">
      <c r="A141" s="9">
        <v>140</v>
      </c>
      <c r="B141" s="9" t="s">
        <v>1574</v>
      </c>
      <c r="C141" s="9" t="s">
        <v>2002</v>
      </c>
      <c r="D141" s="9" t="s">
        <v>2003</v>
      </c>
      <c r="E141" s="9" t="s">
        <v>21</v>
      </c>
      <c r="F141" s="9" t="s">
        <v>22</v>
      </c>
      <c r="G141" s="9">
        <v>452</v>
      </c>
      <c r="H141" s="9" t="s">
        <v>23</v>
      </c>
      <c r="I141" s="9" t="s">
        <v>138</v>
      </c>
      <c r="J141" s="9" t="s">
        <v>41</v>
      </c>
      <c r="K141" s="9" t="s">
        <v>26</v>
      </c>
      <c r="L141" s="9" t="s">
        <v>139</v>
      </c>
      <c r="M141" s="9">
        <v>5812</v>
      </c>
      <c r="N141" s="9" t="s">
        <v>139</v>
      </c>
      <c r="O141" s="9" t="s">
        <v>2004</v>
      </c>
      <c r="P141" s="9" t="s">
        <v>1578</v>
      </c>
      <c r="Q141" s="9" t="s">
        <v>1579</v>
      </c>
    </row>
    <row r="142" spans="1:17" ht="15" customHeight="1">
      <c r="A142" s="8">
        <v>141</v>
      </c>
      <c r="B142" s="8" t="s">
        <v>1574</v>
      </c>
      <c r="C142" s="8" t="s">
        <v>2005</v>
      </c>
      <c r="D142" s="8" t="s">
        <v>2006</v>
      </c>
      <c r="E142" s="8" t="s">
        <v>21</v>
      </c>
      <c r="F142" s="8" t="s">
        <v>22</v>
      </c>
      <c r="G142" s="8">
        <v>4000</v>
      </c>
      <c r="H142" s="8" t="s">
        <v>23</v>
      </c>
      <c r="I142" s="8" t="s">
        <v>1583</v>
      </c>
      <c r="J142" s="8" t="s">
        <v>36</v>
      </c>
      <c r="K142" s="8" t="s">
        <v>26</v>
      </c>
      <c r="L142" s="8" t="s">
        <v>1584</v>
      </c>
      <c r="M142" s="8">
        <v>6012</v>
      </c>
      <c r="N142" s="8" t="s">
        <v>1584</v>
      </c>
      <c r="O142" s="8" t="s">
        <v>2007</v>
      </c>
      <c r="P142" s="8" t="s">
        <v>1578</v>
      </c>
      <c r="Q142" s="8" t="s">
        <v>1579</v>
      </c>
    </row>
    <row r="143" spans="1:17" ht="15" customHeight="1">
      <c r="A143" s="9">
        <v>142</v>
      </c>
      <c r="B143" s="9" t="s">
        <v>1574</v>
      </c>
      <c r="C143" s="9" t="s">
        <v>2008</v>
      </c>
      <c r="D143" s="9" t="s">
        <v>2009</v>
      </c>
      <c r="E143" s="9" t="s">
        <v>21</v>
      </c>
      <c r="F143" s="9" t="s">
        <v>22</v>
      </c>
      <c r="G143" s="9">
        <v>2374</v>
      </c>
      <c r="H143" s="9" t="s">
        <v>23</v>
      </c>
      <c r="I143" s="9" t="s">
        <v>119</v>
      </c>
      <c r="J143" s="9" t="s">
        <v>25</v>
      </c>
      <c r="K143" s="9" t="s">
        <v>26</v>
      </c>
      <c r="L143" s="9" t="s">
        <v>120</v>
      </c>
      <c r="M143" s="9">
        <v>8299</v>
      </c>
      <c r="N143" s="9" t="s">
        <v>120</v>
      </c>
      <c r="O143" s="9" t="s">
        <v>2010</v>
      </c>
      <c r="P143" s="9" t="s">
        <v>1578</v>
      </c>
      <c r="Q143" s="9" t="s">
        <v>1579</v>
      </c>
    </row>
    <row r="144" spans="1:17" ht="15" customHeight="1">
      <c r="A144" s="8">
        <v>143</v>
      </c>
      <c r="B144" s="8" t="s">
        <v>1574</v>
      </c>
      <c r="C144" s="8" t="s">
        <v>2011</v>
      </c>
      <c r="D144" s="8" t="s">
        <v>2012</v>
      </c>
      <c r="E144" s="8" t="s">
        <v>21</v>
      </c>
      <c r="F144" s="8" t="s">
        <v>22</v>
      </c>
      <c r="G144" s="8">
        <v>674</v>
      </c>
      <c r="H144" s="8" t="s">
        <v>23</v>
      </c>
      <c r="I144" s="8" t="s">
        <v>131</v>
      </c>
      <c r="J144" s="8" t="s">
        <v>41</v>
      </c>
      <c r="K144" s="8" t="s">
        <v>26</v>
      </c>
      <c r="L144" s="8" t="s">
        <v>132</v>
      </c>
      <c r="M144" s="8">
        <v>5411</v>
      </c>
      <c r="N144" s="8" t="s">
        <v>132</v>
      </c>
      <c r="O144" s="8" t="s">
        <v>2013</v>
      </c>
      <c r="P144" s="8" t="s">
        <v>1578</v>
      </c>
      <c r="Q144" s="8" t="s">
        <v>1579</v>
      </c>
    </row>
    <row r="145" spans="1:17" ht="15" customHeight="1">
      <c r="A145" s="9">
        <v>144</v>
      </c>
      <c r="B145" s="9" t="s">
        <v>1574</v>
      </c>
      <c r="C145" s="9" t="s">
        <v>2014</v>
      </c>
      <c r="D145" s="9" t="s">
        <v>2015</v>
      </c>
      <c r="E145" s="9" t="s">
        <v>21</v>
      </c>
      <c r="F145" s="9" t="s">
        <v>22</v>
      </c>
      <c r="G145" s="9">
        <v>1018</v>
      </c>
      <c r="H145" s="9" t="s">
        <v>23</v>
      </c>
      <c r="I145" s="9" t="s">
        <v>159</v>
      </c>
      <c r="J145" s="9" t="s">
        <v>25</v>
      </c>
      <c r="K145" s="9" t="s">
        <v>26</v>
      </c>
      <c r="L145" s="9" t="s">
        <v>160</v>
      </c>
      <c r="M145" s="9">
        <v>5999</v>
      </c>
      <c r="N145" s="9" t="s">
        <v>160</v>
      </c>
      <c r="O145" s="9" t="s">
        <v>2016</v>
      </c>
      <c r="P145" s="9" t="s">
        <v>1578</v>
      </c>
      <c r="Q145" s="9" t="s">
        <v>1579</v>
      </c>
    </row>
    <row r="146" spans="1:17" ht="15" customHeight="1">
      <c r="A146" s="8">
        <v>145</v>
      </c>
      <c r="B146" s="8" t="s">
        <v>1574</v>
      </c>
      <c r="C146" s="8" t="s">
        <v>2017</v>
      </c>
      <c r="D146" s="8" t="s">
        <v>2018</v>
      </c>
      <c r="E146" s="8" t="s">
        <v>21</v>
      </c>
      <c r="F146" s="8" t="s">
        <v>22</v>
      </c>
      <c r="G146" s="8">
        <v>671</v>
      </c>
      <c r="H146" s="8" t="s">
        <v>23</v>
      </c>
      <c r="I146" s="8" t="s">
        <v>123</v>
      </c>
      <c r="J146" s="8" t="s">
        <v>41</v>
      </c>
      <c r="K146" s="8" t="s">
        <v>26</v>
      </c>
      <c r="L146" s="8" t="s">
        <v>124</v>
      </c>
      <c r="M146" s="8">
        <v>5541</v>
      </c>
      <c r="N146" s="8" t="s">
        <v>124</v>
      </c>
      <c r="O146" s="8" t="s">
        <v>2019</v>
      </c>
      <c r="P146" s="8" t="s">
        <v>1578</v>
      </c>
      <c r="Q146" s="8" t="s">
        <v>1579</v>
      </c>
    </row>
    <row r="147" spans="1:17" ht="15" customHeight="1">
      <c r="A147" s="9">
        <v>146</v>
      </c>
      <c r="B147" s="9" t="s">
        <v>1574</v>
      </c>
      <c r="C147" s="9" t="s">
        <v>2020</v>
      </c>
      <c r="D147" s="9" t="s">
        <v>2021</v>
      </c>
      <c r="E147" s="9" t="s">
        <v>21</v>
      </c>
      <c r="F147" s="9" t="s">
        <v>22</v>
      </c>
      <c r="G147" s="9">
        <v>980</v>
      </c>
      <c r="H147" s="9" t="s">
        <v>23</v>
      </c>
      <c r="I147" s="9" t="s">
        <v>115</v>
      </c>
      <c r="J147" s="9" t="s">
        <v>41</v>
      </c>
      <c r="K147" s="9" t="s">
        <v>26</v>
      </c>
      <c r="L147" s="9" t="s">
        <v>116</v>
      </c>
      <c r="M147" s="9">
        <v>5812</v>
      </c>
      <c r="N147" s="9" t="s">
        <v>116</v>
      </c>
      <c r="O147" s="9" t="s">
        <v>2022</v>
      </c>
      <c r="P147" s="9" t="s">
        <v>1578</v>
      </c>
      <c r="Q147" s="9" t="s">
        <v>1579</v>
      </c>
    </row>
    <row r="148" spans="1:17" ht="15" customHeight="1">
      <c r="A148" s="8">
        <v>147</v>
      </c>
      <c r="B148" s="8" t="s">
        <v>1574</v>
      </c>
      <c r="C148" s="8" t="s">
        <v>2023</v>
      </c>
      <c r="D148" s="8" t="s">
        <v>2024</v>
      </c>
      <c r="E148" s="8" t="s">
        <v>21</v>
      </c>
      <c r="F148" s="8" t="s">
        <v>22</v>
      </c>
      <c r="G148" s="8">
        <v>832</v>
      </c>
      <c r="H148" s="8" t="s">
        <v>23</v>
      </c>
      <c r="I148" s="8" t="s">
        <v>286</v>
      </c>
      <c r="J148" s="8" t="s">
        <v>41</v>
      </c>
      <c r="K148" s="8" t="s">
        <v>26</v>
      </c>
      <c r="L148" s="8" t="s">
        <v>287</v>
      </c>
      <c r="M148" s="8">
        <v>8011</v>
      </c>
      <c r="N148" s="8" t="s">
        <v>287</v>
      </c>
      <c r="O148" s="8" t="s">
        <v>2025</v>
      </c>
      <c r="P148" s="8" t="s">
        <v>1578</v>
      </c>
      <c r="Q148" s="8" t="s">
        <v>1579</v>
      </c>
    </row>
    <row r="149" spans="1:17" ht="15" customHeight="1">
      <c r="A149" s="9">
        <v>148</v>
      </c>
      <c r="B149" s="9" t="s">
        <v>1574</v>
      </c>
      <c r="C149" s="9" t="s">
        <v>2026</v>
      </c>
      <c r="D149" s="9" t="s">
        <v>2027</v>
      </c>
      <c r="E149" s="9" t="s">
        <v>21</v>
      </c>
      <c r="F149" s="9" t="s">
        <v>22</v>
      </c>
      <c r="G149" s="9">
        <v>981</v>
      </c>
      <c r="H149" s="9" t="s">
        <v>23</v>
      </c>
      <c r="I149" s="9" t="s">
        <v>340</v>
      </c>
      <c r="J149" s="9" t="s">
        <v>41</v>
      </c>
      <c r="K149" s="9" t="s">
        <v>26</v>
      </c>
      <c r="L149" s="9" t="s">
        <v>341</v>
      </c>
      <c r="M149" s="9">
        <v>5812</v>
      </c>
      <c r="N149" s="9" t="s">
        <v>341</v>
      </c>
      <c r="O149" s="9" t="s">
        <v>2028</v>
      </c>
      <c r="P149" s="9" t="s">
        <v>1578</v>
      </c>
      <c r="Q149" s="9" t="s">
        <v>1579</v>
      </c>
    </row>
    <row r="150" spans="1:17" ht="15" customHeight="1">
      <c r="A150" s="8">
        <v>149</v>
      </c>
      <c r="B150" s="8" t="s">
        <v>1574</v>
      </c>
      <c r="C150" s="8" t="s">
        <v>2029</v>
      </c>
      <c r="D150" s="8" t="s">
        <v>2030</v>
      </c>
      <c r="E150" s="8" t="s">
        <v>21</v>
      </c>
      <c r="F150" s="8" t="s">
        <v>22</v>
      </c>
      <c r="G150" s="8">
        <v>578</v>
      </c>
      <c r="H150" s="8" t="s">
        <v>23</v>
      </c>
      <c r="I150" s="8" t="s">
        <v>56</v>
      </c>
      <c r="J150" s="8" t="s">
        <v>41</v>
      </c>
      <c r="K150" s="8" t="s">
        <v>26</v>
      </c>
      <c r="L150" s="8" t="s">
        <v>57</v>
      </c>
      <c r="M150" s="8">
        <v>5999</v>
      </c>
      <c r="N150" s="8" t="s">
        <v>57</v>
      </c>
      <c r="O150" s="8" t="s">
        <v>2031</v>
      </c>
      <c r="P150" s="8" t="s">
        <v>1578</v>
      </c>
      <c r="Q150" s="8" t="s">
        <v>1579</v>
      </c>
    </row>
    <row r="151" spans="1:17" ht="15" customHeight="1">
      <c r="A151" s="9">
        <v>150</v>
      </c>
      <c r="B151" s="9" t="s">
        <v>1574</v>
      </c>
      <c r="C151" s="9" t="s">
        <v>2032</v>
      </c>
      <c r="D151" s="9" t="s">
        <v>2033</v>
      </c>
      <c r="E151" s="9" t="s">
        <v>21</v>
      </c>
      <c r="F151" s="9" t="s">
        <v>22</v>
      </c>
      <c r="G151" s="9">
        <v>674</v>
      </c>
      <c r="H151" s="9" t="s">
        <v>23</v>
      </c>
      <c r="I151" s="9" t="s">
        <v>379</v>
      </c>
      <c r="J151" s="9" t="s">
        <v>41</v>
      </c>
      <c r="K151" s="9" t="s">
        <v>26</v>
      </c>
      <c r="L151" s="9" t="s">
        <v>380</v>
      </c>
      <c r="M151" s="9">
        <v>5411</v>
      </c>
      <c r="N151" s="9" t="s">
        <v>380</v>
      </c>
      <c r="O151" s="9" t="s">
        <v>2034</v>
      </c>
      <c r="P151" s="9" t="s">
        <v>1578</v>
      </c>
      <c r="Q151" s="9" t="s">
        <v>1579</v>
      </c>
    </row>
    <row r="152" spans="1:17" ht="15" customHeight="1">
      <c r="A152" s="8">
        <v>151</v>
      </c>
      <c r="B152" s="8" t="s">
        <v>1574</v>
      </c>
      <c r="C152" s="8" t="s">
        <v>2035</v>
      </c>
      <c r="D152" s="8" t="s">
        <v>2036</v>
      </c>
      <c r="E152" s="8" t="s">
        <v>21</v>
      </c>
      <c r="F152" s="8" t="s">
        <v>22</v>
      </c>
      <c r="G152" s="8">
        <v>1018</v>
      </c>
      <c r="H152" s="8" t="s">
        <v>23</v>
      </c>
      <c r="I152" s="8" t="s">
        <v>212</v>
      </c>
      <c r="J152" s="8" t="s">
        <v>25</v>
      </c>
      <c r="K152" s="8" t="s">
        <v>26</v>
      </c>
      <c r="L152" s="8" t="s">
        <v>213</v>
      </c>
      <c r="M152" s="8">
        <v>5999</v>
      </c>
      <c r="N152" s="8" t="s">
        <v>213</v>
      </c>
      <c r="O152" s="8" t="s">
        <v>2037</v>
      </c>
      <c r="P152" s="8" t="s">
        <v>1578</v>
      </c>
      <c r="Q152" s="8" t="s">
        <v>1579</v>
      </c>
    </row>
    <row r="153" spans="1:17" ht="15" customHeight="1">
      <c r="A153" s="9">
        <v>152</v>
      </c>
      <c r="B153" s="9" t="s">
        <v>1574</v>
      </c>
      <c r="C153" s="9" t="s">
        <v>2038</v>
      </c>
      <c r="D153" s="9" t="s">
        <v>2039</v>
      </c>
      <c r="E153" s="9" t="s">
        <v>21</v>
      </c>
      <c r="F153" s="9" t="s">
        <v>22</v>
      </c>
      <c r="G153" s="9">
        <v>673</v>
      </c>
      <c r="H153" s="9" t="s">
        <v>23</v>
      </c>
      <c r="I153" s="9" t="s">
        <v>379</v>
      </c>
      <c r="J153" s="9" t="s">
        <v>41</v>
      </c>
      <c r="K153" s="9" t="s">
        <v>26</v>
      </c>
      <c r="L153" s="9" t="s">
        <v>380</v>
      </c>
      <c r="M153" s="9">
        <v>5411</v>
      </c>
      <c r="N153" s="9" t="s">
        <v>380</v>
      </c>
      <c r="O153" s="9" t="s">
        <v>2040</v>
      </c>
      <c r="P153" s="9" t="s">
        <v>1578</v>
      </c>
      <c r="Q153" s="9" t="s">
        <v>1579</v>
      </c>
    </row>
    <row r="154" spans="1:17" ht="15" customHeight="1">
      <c r="A154" s="8">
        <v>153</v>
      </c>
      <c r="B154" s="8" t="s">
        <v>1574</v>
      </c>
      <c r="C154" s="8" t="s">
        <v>2041</v>
      </c>
      <c r="D154" s="8" t="s">
        <v>2042</v>
      </c>
      <c r="E154" s="8" t="s">
        <v>21</v>
      </c>
      <c r="F154" s="8" t="s">
        <v>22</v>
      </c>
      <c r="G154" s="8">
        <v>1372</v>
      </c>
      <c r="H154" s="8" t="s">
        <v>23</v>
      </c>
      <c r="I154" s="8" t="s">
        <v>143</v>
      </c>
      <c r="J154" s="8" t="s">
        <v>41</v>
      </c>
      <c r="K154" s="8" t="s">
        <v>26</v>
      </c>
      <c r="L154" s="8" t="s">
        <v>144</v>
      </c>
      <c r="M154" s="8">
        <v>7996</v>
      </c>
      <c r="N154" s="8" t="s">
        <v>144</v>
      </c>
      <c r="O154" s="8" t="s">
        <v>2043</v>
      </c>
      <c r="P154" s="8" t="s">
        <v>1578</v>
      </c>
      <c r="Q154" s="8" t="s">
        <v>1579</v>
      </c>
    </row>
    <row r="155" spans="1:17" ht="15" customHeight="1">
      <c r="A155" s="9">
        <v>154</v>
      </c>
      <c r="B155" s="9" t="s">
        <v>1574</v>
      </c>
      <c r="C155" s="9" t="s">
        <v>2044</v>
      </c>
      <c r="D155" s="9" t="s">
        <v>2045</v>
      </c>
      <c r="E155" s="9" t="s">
        <v>21</v>
      </c>
      <c r="F155" s="9" t="s">
        <v>22</v>
      </c>
      <c r="G155" s="9">
        <v>1512</v>
      </c>
      <c r="H155" s="9" t="s">
        <v>23</v>
      </c>
      <c r="I155" s="9" t="s">
        <v>198</v>
      </c>
      <c r="J155" s="9" t="s">
        <v>36</v>
      </c>
      <c r="K155" s="9" t="s">
        <v>26</v>
      </c>
      <c r="L155" s="9" t="s">
        <v>199</v>
      </c>
      <c r="M155" s="9">
        <v>4900</v>
      </c>
      <c r="N155" s="9" t="s">
        <v>199</v>
      </c>
      <c r="O155" s="9" t="s">
        <v>2046</v>
      </c>
      <c r="P155" s="9" t="s">
        <v>1578</v>
      </c>
      <c r="Q155" s="9" t="s">
        <v>1579</v>
      </c>
    </row>
    <row r="156" spans="1:17" ht="15" customHeight="1">
      <c r="A156" s="8">
        <v>155</v>
      </c>
      <c r="B156" s="8" t="s">
        <v>1574</v>
      </c>
      <c r="C156" s="8" t="s">
        <v>2047</v>
      </c>
      <c r="D156" s="8" t="s">
        <v>2048</v>
      </c>
      <c r="E156" s="8" t="s">
        <v>94</v>
      </c>
      <c r="F156" s="8" t="s">
        <v>22</v>
      </c>
      <c r="G156" s="8">
        <v>27800</v>
      </c>
      <c r="H156" s="8" t="s">
        <v>23</v>
      </c>
      <c r="I156" s="8" t="s">
        <v>1645</v>
      </c>
      <c r="J156" s="8" t="s">
        <v>96</v>
      </c>
      <c r="K156" s="8" t="s">
        <v>97</v>
      </c>
      <c r="L156" s="8" t="s">
        <v>1646</v>
      </c>
      <c r="M156" s="8"/>
      <c r="N156" s="8" t="s">
        <v>1646</v>
      </c>
      <c r="O156" s="8" t="s">
        <v>2049</v>
      </c>
      <c r="P156" s="8" t="s">
        <v>1578</v>
      </c>
      <c r="Q156" s="8" t="s">
        <v>1579</v>
      </c>
    </row>
    <row r="157" spans="1:17" ht="15" customHeight="1">
      <c r="A157" s="9">
        <v>156</v>
      </c>
      <c r="B157" s="9" t="s">
        <v>1574</v>
      </c>
      <c r="C157" s="9" t="s">
        <v>2050</v>
      </c>
      <c r="D157" s="9" t="s">
        <v>2051</v>
      </c>
      <c r="E157" s="9" t="s">
        <v>21</v>
      </c>
      <c r="F157" s="9" t="s">
        <v>22</v>
      </c>
      <c r="G157" s="9">
        <v>1675</v>
      </c>
      <c r="H157" s="9" t="s">
        <v>23</v>
      </c>
      <c r="I157" s="9" t="s">
        <v>186</v>
      </c>
      <c r="J157" s="9" t="s">
        <v>41</v>
      </c>
      <c r="K157" s="9" t="s">
        <v>26</v>
      </c>
      <c r="L157" s="9" t="s">
        <v>187</v>
      </c>
      <c r="M157" s="9">
        <v>5999</v>
      </c>
      <c r="N157" s="9" t="s">
        <v>187</v>
      </c>
      <c r="O157" s="9" t="s">
        <v>2052</v>
      </c>
      <c r="P157" s="9" t="s">
        <v>1578</v>
      </c>
      <c r="Q157" s="9" t="s">
        <v>1579</v>
      </c>
    </row>
    <row r="158" spans="1:17" ht="15" customHeight="1">
      <c r="A158" s="8">
        <v>157</v>
      </c>
      <c r="B158" s="8" t="s">
        <v>1574</v>
      </c>
      <c r="C158" s="8" t="s">
        <v>2053</v>
      </c>
      <c r="D158" s="8" t="s">
        <v>2054</v>
      </c>
      <c r="E158" s="8" t="s">
        <v>94</v>
      </c>
      <c r="F158" s="8" t="s">
        <v>22</v>
      </c>
      <c r="G158" s="8">
        <v>24200</v>
      </c>
      <c r="H158" s="8" t="s">
        <v>23</v>
      </c>
      <c r="I158" s="8" t="s">
        <v>2055</v>
      </c>
      <c r="J158" s="8" t="s">
        <v>96</v>
      </c>
      <c r="K158" s="8" t="s">
        <v>97</v>
      </c>
      <c r="L158" s="8" t="s">
        <v>1646</v>
      </c>
      <c r="M158" s="8"/>
      <c r="N158" s="8" t="s">
        <v>1646</v>
      </c>
      <c r="O158" s="8" t="s">
        <v>2056</v>
      </c>
      <c r="P158" s="8" t="s">
        <v>1578</v>
      </c>
      <c r="Q158" s="8" t="s">
        <v>1579</v>
      </c>
    </row>
    <row r="159" spans="1:17" ht="15" customHeight="1">
      <c r="A159" s="9">
        <v>158</v>
      </c>
      <c r="B159" s="9" t="s">
        <v>1574</v>
      </c>
      <c r="C159" s="9" t="s">
        <v>2057</v>
      </c>
      <c r="D159" s="9" t="s">
        <v>2058</v>
      </c>
      <c r="E159" s="9" t="s">
        <v>21</v>
      </c>
      <c r="F159" s="9" t="s">
        <v>22</v>
      </c>
      <c r="G159" s="9">
        <v>674</v>
      </c>
      <c r="H159" s="9" t="s">
        <v>23</v>
      </c>
      <c r="I159" s="9" t="s">
        <v>102</v>
      </c>
      <c r="J159" s="9" t="s">
        <v>41</v>
      </c>
      <c r="K159" s="9" t="s">
        <v>26</v>
      </c>
      <c r="L159" s="9" t="s">
        <v>103</v>
      </c>
      <c r="M159" s="9">
        <v>5411</v>
      </c>
      <c r="N159" s="9" t="s">
        <v>103</v>
      </c>
      <c r="O159" s="9" t="s">
        <v>2059</v>
      </c>
      <c r="P159" s="9" t="s">
        <v>1578</v>
      </c>
      <c r="Q159" s="9" t="s">
        <v>1579</v>
      </c>
    </row>
    <row r="160" spans="1:17" ht="15" customHeight="1">
      <c r="A160" s="8">
        <v>159</v>
      </c>
      <c r="B160" s="8" t="s">
        <v>1574</v>
      </c>
      <c r="C160" s="8" t="s">
        <v>2060</v>
      </c>
      <c r="D160" s="8" t="s">
        <v>2061</v>
      </c>
      <c r="E160" s="8" t="s">
        <v>21</v>
      </c>
      <c r="F160" s="8" t="s">
        <v>22</v>
      </c>
      <c r="G160" s="8">
        <v>623</v>
      </c>
      <c r="H160" s="8" t="s">
        <v>23</v>
      </c>
      <c r="I160" s="8" t="s">
        <v>174</v>
      </c>
      <c r="J160" s="8" t="s">
        <v>36</v>
      </c>
      <c r="K160" s="8" t="s">
        <v>26</v>
      </c>
      <c r="L160" s="8" t="s">
        <v>175</v>
      </c>
      <c r="M160" s="8">
        <v>4813</v>
      </c>
      <c r="N160" s="8" t="s">
        <v>175</v>
      </c>
      <c r="O160" s="8" t="s">
        <v>2062</v>
      </c>
      <c r="P160" s="8" t="s">
        <v>1578</v>
      </c>
      <c r="Q160" s="8" t="s">
        <v>1579</v>
      </c>
    </row>
    <row r="161" spans="1:17" ht="15" customHeight="1">
      <c r="A161" s="9">
        <v>160</v>
      </c>
      <c r="B161" s="9" t="s">
        <v>1574</v>
      </c>
      <c r="C161" s="9" t="s">
        <v>2063</v>
      </c>
      <c r="D161" s="9" t="s">
        <v>2064</v>
      </c>
      <c r="E161" s="9" t="s">
        <v>21</v>
      </c>
      <c r="F161" s="9" t="s">
        <v>22</v>
      </c>
      <c r="G161" s="9">
        <v>671</v>
      </c>
      <c r="H161" s="9" t="s">
        <v>23</v>
      </c>
      <c r="I161" s="9" t="s">
        <v>70</v>
      </c>
      <c r="J161" s="9" t="s">
        <v>41</v>
      </c>
      <c r="K161" s="9" t="s">
        <v>26</v>
      </c>
      <c r="L161" s="9" t="s">
        <v>71</v>
      </c>
      <c r="M161" s="9">
        <v>5541</v>
      </c>
      <c r="N161" s="9" t="s">
        <v>71</v>
      </c>
      <c r="O161" s="9" t="s">
        <v>2065</v>
      </c>
      <c r="P161" s="9" t="s">
        <v>1578</v>
      </c>
      <c r="Q161" s="9" t="s">
        <v>1579</v>
      </c>
    </row>
    <row r="162" spans="1:17" ht="15" customHeight="1">
      <c r="A162" s="8">
        <v>161</v>
      </c>
      <c r="B162" s="8" t="s">
        <v>1574</v>
      </c>
      <c r="C162" s="8" t="s">
        <v>2066</v>
      </c>
      <c r="D162" s="8" t="s">
        <v>2067</v>
      </c>
      <c r="E162" s="8" t="s">
        <v>21</v>
      </c>
      <c r="F162" s="8" t="s">
        <v>22</v>
      </c>
      <c r="G162" s="8">
        <v>4000</v>
      </c>
      <c r="H162" s="8" t="s">
        <v>23</v>
      </c>
      <c r="I162" s="8" t="s">
        <v>1583</v>
      </c>
      <c r="J162" s="8" t="s">
        <v>36</v>
      </c>
      <c r="K162" s="8" t="s">
        <v>26</v>
      </c>
      <c r="L162" s="8" t="s">
        <v>1584</v>
      </c>
      <c r="M162" s="8">
        <v>6012</v>
      </c>
      <c r="N162" s="8" t="s">
        <v>1584</v>
      </c>
      <c r="O162" s="8" t="s">
        <v>2068</v>
      </c>
      <c r="P162" s="8" t="s">
        <v>1578</v>
      </c>
      <c r="Q162" s="8" t="s">
        <v>1579</v>
      </c>
    </row>
    <row r="163" spans="1:17" ht="15" customHeight="1">
      <c r="A163" s="9">
        <v>162</v>
      </c>
      <c r="B163" s="9" t="s">
        <v>1574</v>
      </c>
      <c r="C163" s="9" t="s">
        <v>2069</v>
      </c>
      <c r="D163" s="9" t="s">
        <v>2070</v>
      </c>
      <c r="E163" s="9" t="s">
        <v>21</v>
      </c>
      <c r="F163" s="9" t="s">
        <v>22</v>
      </c>
      <c r="G163" s="9">
        <v>1072</v>
      </c>
      <c r="H163" s="9" t="s">
        <v>23</v>
      </c>
      <c r="I163" s="9" t="s">
        <v>78</v>
      </c>
      <c r="J163" s="9" t="s">
        <v>41</v>
      </c>
      <c r="K163" s="9" t="s">
        <v>26</v>
      </c>
      <c r="L163" s="9" t="s">
        <v>79</v>
      </c>
      <c r="M163" s="9">
        <v>7996</v>
      </c>
      <c r="N163" s="9" t="s">
        <v>79</v>
      </c>
      <c r="O163" s="9" t="s">
        <v>2071</v>
      </c>
      <c r="P163" s="9" t="s">
        <v>1578</v>
      </c>
      <c r="Q163" s="9" t="s">
        <v>1579</v>
      </c>
    </row>
    <row r="164" spans="1:17" ht="15" customHeight="1">
      <c r="A164" s="8">
        <v>163</v>
      </c>
      <c r="B164" s="8" t="s">
        <v>1574</v>
      </c>
      <c r="C164" s="8" t="s">
        <v>2072</v>
      </c>
      <c r="D164" s="8" t="s">
        <v>2073</v>
      </c>
      <c r="E164" s="8" t="s">
        <v>21</v>
      </c>
      <c r="F164" s="8" t="s">
        <v>22</v>
      </c>
      <c r="G164" s="8">
        <v>707</v>
      </c>
      <c r="H164" s="8" t="s">
        <v>23</v>
      </c>
      <c r="I164" s="8" t="s">
        <v>379</v>
      </c>
      <c r="J164" s="8" t="s">
        <v>41</v>
      </c>
      <c r="K164" s="8" t="s">
        <v>26</v>
      </c>
      <c r="L164" s="8" t="s">
        <v>380</v>
      </c>
      <c r="M164" s="8">
        <v>5411</v>
      </c>
      <c r="N164" s="8" t="s">
        <v>380</v>
      </c>
      <c r="O164" s="8" t="s">
        <v>2074</v>
      </c>
      <c r="P164" s="8" t="s">
        <v>1578</v>
      </c>
      <c r="Q164" s="8" t="s">
        <v>1579</v>
      </c>
    </row>
    <row r="165" spans="1:17" ht="15" customHeight="1">
      <c r="A165" s="9">
        <v>164</v>
      </c>
      <c r="B165" s="9" t="s">
        <v>1574</v>
      </c>
      <c r="C165" s="9" t="s">
        <v>2075</v>
      </c>
      <c r="D165" s="9" t="s">
        <v>2076</v>
      </c>
      <c r="E165" s="9" t="s">
        <v>21</v>
      </c>
      <c r="F165" s="9" t="s">
        <v>22</v>
      </c>
      <c r="G165" s="9">
        <v>1597</v>
      </c>
      <c r="H165" s="9" t="s">
        <v>23</v>
      </c>
      <c r="I165" s="9" t="s">
        <v>56</v>
      </c>
      <c r="J165" s="9" t="s">
        <v>41</v>
      </c>
      <c r="K165" s="9" t="s">
        <v>26</v>
      </c>
      <c r="L165" s="9" t="s">
        <v>57</v>
      </c>
      <c r="M165" s="9">
        <v>5999</v>
      </c>
      <c r="N165" s="9" t="s">
        <v>57</v>
      </c>
      <c r="O165" s="9" t="s">
        <v>2077</v>
      </c>
      <c r="P165" s="9" t="s">
        <v>1578</v>
      </c>
      <c r="Q165" s="9" t="s">
        <v>1579</v>
      </c>
    </row>
    <row r="166" spans="1:17" ht="15" customHeight="1">
      <c r="A166" s="8">
        <v>165</v>
      </c>
      <c r="B166" s="8" t="s">
        <v>1574</v>
      </c>
      <c r="C166" s="8" t="s">
        <v>2078</v>
      </c>
      <c r="D166" s="8" t="s">
        <v>2079</v>
      </c>
      <c r="E166" s="8" t="s">
        <v>21</v>
      </c>
      <c r="F166" s="8" t="s">
        <v>22</v>
      </c>
      <c r="G166" s="8">
        <v>708</v>
      </c>
      <c r="H166" s="8" t="s">
        <v>23</v>
      </c>
      <c r="I166" s="8" t="s">
        <v>102</v>
      </c>
      <c r="J166" s="8" t="s">
        <v>41</v>
      </c>
      <c r="K166" s="8" t="s">
        <v>26</v>
      </c>
      <c r="L166" s="8" t="s">
        <v>103</v>
      </c>
      <c r="M166" s="8">
        <v>5411</v>
      </c>
      <c r="N166" s="8" t="s">
        <v>103</v>
      </c>
      <c r="O166" s="8" t="s">
        <v>2080</v>
      </c>
      <c r="P166" s="8" t="s">
        <v>1578</v>
      </c>
      <c r="Q166" s="8" t="s">
        <v>1579</v>
      </c>
    </row>
    <row r="167" spans="1:17" ht="15" customHeight="1">
      <c r="A167" s="9">
        <v>166</v>
      </c>
      <c r="B167" s="9" t="s">
        <v>1574</v>
      </c>
      <c r="C167" s="9" t="s">
        <v>2081</v>
      </c>
      <c r="D167" s="9" t="s">
        <v>2082</v>
      </c>
      <c r="E167" s="9" t="s">
        <v>21</v>
      </c>
      <c r="F167" s="9" t="s">
        <v>22</v>
      </c>
      <c r="G167" s="9">
        <v>834</v>
      </c>
      <c r="H167" s="9" t="s">
        <v>23</v>
      </c>
      <c r="I167" s="9" t="s">
        <v>234</v>
      </c>
      <c r="J167" s="9" t="s">
        <v>41</v>
      </c>
      <c r="K167" s="9" t="s">
        <v>26</v>
      </c>
      <c r="L167" s="9" t="s">
        <v>235</v>
      </c>
      <c r="M167" s="9">
        <v>8011</v>
      </c>
      <c r="N167" s="9" t="s">
        <v>235</v>
      </c>
      <c r="O167" s="9" t="s">
        <v>2083</v>
      </c>
      <c r="P167" s="9" t="s">
        <v>1578</v>
      </c>
      <c r="Q167" s="9" t="s">
        <v>1579</v>
      </c>
    </row>
    <row r="168" spans="1:17" ht="15" customHeight="1">
      <c r="A168" s="8">
        <v>167</v>
      </c>
      <c r="B168" s="8" t="s">
        <v>1574</v>
      </c>
      <c r="C168" s="8" t="s">
        <v>2084</v>
      </c>
      <c r="D168" s="8" t="s">
        <v>2085</v>
      </c>
      <c r="E168" s="8" t="s">
        <v>21</v>
      </c>
      <c r="F168" s="8" t="s">
        <v>22</v>
      </c>
      <c r="G168" s="8">
        <v>791</v>
      </c>
      <c r="H168" s="8" t="s">
        <v>23</v>
      </c>
      <c r="I168" s="8" t="s">
        <v>318</v>
      </c>
      <c r="J168" s="8" t="s">
        <v>25</v>
      </c>
      <c r="K168" s="8" t="s">
        <v>26</v>
      </c>
      <c r="L168" s="8" t="s">
        <v>319</v>
      </c>
      <c r="M168" s="8">
        <v>5999</v>
      </c>
      <c r="N168" s="8" t="s">
        <v>319</v>
      </c>
      <c r="O168" s="8" t="s">
        <v>2086</v>
      </c>
      <c r="P168" s="8" t="s">
        <v>1578</v>
      </c>
      <c r="Q168" s="8" t="s">
        <v>1579</v>
      </c>
    </row>
    <row r="169" spans="1:17" ht="15" customHeight="1">
      <c r="A169" s="9">
        <v>168</v>
      </c>
      <c r="B169" s="9" t="s">
        <v>1574</v>
      </c>
      <c r="C169" s="9" t="s">
        <v>2087</v>
      </c>
      <c r="D169" s="9" t="s">
        <v>2088</v>
      </c>
      <c r="E169" s="9" t="s">
        <v>21</v>
      </c>
      <c r="F169" s="9" t="s">
        <v>22</v>
      </c>
      <c r="G169" s="9">
        <v>708</v>
      </c>
      <c r="H169" s="9" t="s">
        <v>23</v>
      </c>
      <c r="I169" s="9" t="s">
        <v>379</v>
      </c>
      <c r="J169" s="9" t="s">
        <v>41</v>
      </c>
      <c r="K169" s="9" t="s">
        <v>26</v>
      </c>
      <c r="L169" s="9" t="s">
        <v>380</v>
      </c>
      <c r="M169" s="9">
        <v>5411</v>
      </c>
      <c r="N169" s="9" t="s">
        <v>380</v>
      </c>
      <c r="O169" s="9" t="s">
        <v>2089</v>
      </c>
      <c r="P169" s="9" t="s">
        <v>1578</v>
      </c>
      <c r="Q169" s="9" t="s">
        <v>1579</v>
      </c>
    </row>
    <row r="170" spans="1:17" ht="15" customHeight="1">
      <c r="A170" s="8">
        <v>169</v>
      </c>
      <c r="B170" s="8" t="s">
        <v>1574</v>
      </c>
      <c r="C170" s="8" t="s">
        <v>2090</v>
      </c>
      <c r="D170" s="8" t="s">
        <v>2091</v>
      </c>
      <c r="E170" s="8" t="s">
        <v>21</v>
      </c>
      <c r="F170" s="8" t="s">
        <v>22</v>
      </c>
      <c r="G170" s="8">
        <v>533</v>
      </c>
      <c r="H170" s="8" t="s">
        <v>23</v>
      </c>
      <c r="I170" s="8" t="s">
        <v>70</v>
      </c>
      <c r="J170" s="8" t="s">
        <v>41</v>
      </c>
      <c r="K170" s="8" t="s">
        <v>26</v>
      </c>
      <c r="L170" s="8" t="s">
        <v>71</v>
      </c>
      <c r="M170" s="8">
        <v>5541</v>
      </c>
      <c r="N170" s="8" t="s">
        <v>71</v>
      </c>
      <c r="O170" s="8" t="s">
        <v>2092</v>
      </c>
      <c r="P170" s="8" t="s">
        <v>1578</v>
      </c>
      <c r="Q170" s="8" t="s">
        <v>1579</v>
      </c>
    </row>
    <row r="171" spans="1:17" ht="15" customHeight="1">
      <c r="A171" s="9">
        <v>170</v>
      </c>
      <c r="B171" s="9" t="s">
        <v>1574</v>
      </c>
      <c r="C171" s="9" t="s">
        <v>2093</v>
      </c>
      <c r="D171" s="9" t="s">
        <v>2094</v>
      </c>
      <c r="E171" s="9" t="s">
        <v>21</v>
      </c>
      <c r="F171" s="9" t="s">
        <v>22</v>
      </c>
      <c r="G171" s="9">
        <v>791</v>
      </c>
      <c r="H171" s="9" t="s">
        <v>23</v>
      </c>
      <c r="I171" s="9" t="s">
        <v>318</v>
      </c>
      <c r="J171" s="9" t="s">
        <v>25</v>
      </c>
      <c r="K171" s="9" t="s">
        <v>26</v>
      </c>
      <c r="L171" s="9" t="s">
        <v>319</v>
      </c>
      <c r="M171" s="9">
        <v>5999</v>
      </c>
      <c r="N171" s="9" t="s">
        <v>319</v>
      </c>
      <c r="O171" s="9" t="s">
        <v>2095</v>
      </c>
      <c r="P171" s="9" t="s">
        <v>1578</v>
      </c>
      <c r="Q171" s="9" t="s">
        <v>1579</v>
      </c>
    </row>
    <row r="172" spans="1:17" ht="15" customHeight="1">
      <c r="A172" s="8">
        <v>171</v>
      </c>
      <c r="B172" s="8" t="s">
        <v>1574</v>
      </c>
      <c r="C172" s="8" t="s">
        <v>2096</v>
      </c>
      <c r="D172" s="8" t="s">
        <v>2097</v>
      </c>
      <c r="E172" s="8" t="s">
        <v>21</v>
      </c>
      <c r="F172" s="8" t="s">
        <v>22</v>
      </c>
      <c r="G172" s="8">
        <v>874</v>
      </c>
      <c r="H172" s="8" t="s">
        <v>23</v>
      </c>
      <c r="I172" s="8" t="s">
        <v>74</v>
      </c>
      <c r="J172" s="8" t="s">
        <v>41</v>
      </c>
      <c r="K172" s="8" t="s">
        <v>26</v>
      </c>
      <c r="L172" s="8" t="s">
        <v>75</v>
      </c>
      <c r="M172" s="8">
        <v>5812</v>
      </c>
      <c r="N172" s="8" t="s">
        <v>75</v>
      </c>
      <c r="O172" s="8" t="s">
        <v>2098</v>
      </c>
      <c r="P172" s="8" t="s">
        <v>1578</v>
      </c>
      <c r="Q172" s="8" t="s">
        <v>1579</v>
      </c>
    </row>
    <row r="173" spans="1:17" ht="15" customHeight="1">
      <c r="A173" s="9">
        <v>172</v>
      </c>
      <c r="B173" s="9" t="s">
        <v>1574</v>
      </c>
      <c r="C173" s="9" t="s">
        <v>2099</v>
      </c>
      <c r="D173" s="9" t="s">
        <v>2100</v>
      </c>
      <c r="E173" s="9" t="s">
        <v>21</v>
      </c>
      <c r="F173" s="9" t="s">
        <v>22</v>
      </c>
      <c r="G173" s="9">
        <v>533</v>
      </c>
      <c r="H173" s="9" t="s">
        <v>23</v>
      </c>
      <c r="I173" s="9" t="s">
        <v>111</v>
      </c>
      <c r="J173" s="9" t="s">
        <v>41</v>
      </c>
      <c r="K173" s="9" t="s">
        <v>26</v>
      </c>
      <c r="L173" s="9" t="s">
        <v>112</v>
      </c>
      <c r="M173" s="9">
        <v>5541</v>
      </c>
      <c r="N173" s="9" t="s">
        <v>112</v>
      </c>
      <c r="O173" s="9" t="s">
        <v>2101</v>
      </c>
      <c r="P173" s="9" t="s">
        <v>1578</v>
      </c>
      <c r="Q173" s="9" t="s">
        <v>1579</v>
      </c>
    </row>
    <row r="174" spans="1:17" ht="15" customHeight="1">
      <c r="A174" s="8">
        <v>173</v>
      </c>
      <c r="B174" s="8" t="s">
        <v>1574</v>
      </c>
      <c r="C174" s="8" t="s">
        <v>2102</v>
      </c>
      <c r="D174" s="8" t="s">
        <v>2103</v>
      </c>
      <c r="E174" s="8" t="s">
        <v>21</v>
      </c>
      <c r="F174" s="8" t="s">
        <v>22</v>
      </c>
      <c r="G174" s="8">
        <v>873</v>
      </c>
      <c r="H174" s="8" t="s">
        <v>23</v>
      </c>
      <c r="I174" s="8" t="s">
        <v>217</v>
      </c>
      <c r="J174" s="8" t="s">
        <v>41</v>
      </c>
      <c r="K174" s="8" t="s">
        <v>26</v>
      </c>
      <c r="L174" s="8" t="s">
        <v>218</v>
      </c>
      <c r="M174" s="8">
        <v>5812</v>
      </c>
      <c r="N174" s="8" t="s">
        <v>218</v>
      </c>
      <c r="O174" s="8" t="s">
        <v>2104</v>
      </c>
      <c r="P174" s="8" t="s">
        <v>1578</v>
      </c>
      <c r="Q174" s="8" t="s">
        <v>1579</v>
      </c>
    </row>
    <row r="175" spans="1:17" ht="15" customHeight="1">
      <c r="A175" s="9">
        <v>174</v>
      </c>
      <c r="B175" s="9" t="s">
        <v>1574</v>
      </c>
      <c r="C175" s="9" t="s">
        <v>2105</v>
      </c>
      <c r="D175" s="9" t="s">
        <v>2106</v>
      </c>
      <c r="E175" s="9" t="s">
        <v>21</v>
      </c>
      <c r="F175" s="9" t="s">
        <v>22</v>
      </c>
      <c r="G175" s="9">
        <v>1268</v>
      </c>
      <c r="H175" s="9" t="s">
        <v>23</v>
      </c>
      <c r="I175" s="9" t="s">
        <v>498</v>
      </c>
      <c r="J175" s="9" t="s">
        <v>36</v>
      </c>
      <c r="K175" s="9" t="s">
        <v>26</v>
      </c>
      <c r="L175" s="9" t="s">
        <v>499</v>
      </c>
      <c r="M175" s="9">
        <v>4900</v>
      </c>
      <c r="N175" s="9" t="s">
        <v>499</v>
      </c>
      <c r="O175" s="9" t="s">
        <v>2107</v>
      </c>
      <c r="P175" s="9" t="s">
        <v>1578</v>
      </c>
      <c r="Q175" s="9" t="s">
        <v>1579</v>
      </c>
    </row>
    <row r="176" spans="1:17" ht="15" customHeight="1">
      <c r="A176" s="8">
        <v>175</v>
      </c>
      <c r="B176" s="8" t="s">
        <v>1574</v>
      </c>
      <c r="C176" s="8" t="s">
        <v>2108</v>
      </c>
      <c r="D176" s="8" t="s">
        <v>2109</v>
      </c>
      <c r="E176" s="8" t="s">
        <v>21</v>
      </c>
      <c r="F176" s="8" t="s">
        <v>22</v>
      </c>
      <c r="G176" s="8">
        <v>2234</v>
      </c>
      <c r="H176" s="8" t="s">
        <v>23</v>
      </c>
      <c r="I176" s="8" t="s">
        <v>24</v>
      </c>
      <c r="J176" s="8" t="s">
        <v>25</v>
      </c>
      <c r="K176" s="8" t="s">
        <v>26</v>
      </c>
      <c r="L176" s="8" t="s">
        <v>27</v>
      </c>
      <c r="M176" s="8">
        <v>8299</v>
      </c>
      <c r="N176" s="8" t="s">
        <v>27</v>
      </c>
      <c r="O176" s="8" t="s">
        <v>2110</v>
      </c>
      <c r="P176" s="8" t="s">
        <v>1578</v>
      </c>
      <c r="Q176" s="8" t="s">
        <v>1579</v>
      </c>
    </row>
    <row r="177" spans="1:17" ht="15" customHeight="1">
      <c r="A177" s="9">
        <v>176</v>
      </c>
      <c r="B177" s="9" t="s">
        <v>1574</v>
      </c>
      <c r="C177" s="9" t="s">
        <v>2111</v>
      </c>
      <c r="D177" s="9" t="s">
        <v>2112</v>
      </c>
      <c r="E177" s="9" t="s">
        <v>21</v>
      </c>
      <c r="F177" s="9" t="s">
        <v>22</v>
      </c>
      <c r="G177" s="9">
        <v>708</v>
      </c>
      <c r="H177" s="9" t="s">
        <v>23</v>
      </c>
      <c r="I177" s="9" t="s">
        <v>131</v>
      </c>
      <c r="J177" s="9" t="s">
        <v>41</v>
      </c>
      <c r="K177" s="9" t="s">
        <v>26</v>
      </c>
      <c r="L177" s="9" t="s">
        <v>132</v>
      </c>
      <c r="M177" s="9">
        <v>5411</v>
      </c>
      <c r="N177" s="9" t="s">
        <v>132</v>
      </c>
      <c r="O177" s="9" t="s">
        <v>2113</v>
      </c>
      <c r="P177" s="9" t="s">
        <v>1578</v>
      </c>
      <c r="Q177" s="9" t="s">
        <v>1579</v>
      </c>
    </row>
    <row r="178" spans="1:17" ht="15" customHeight="1">
      <c r="A178" s="8">
        <v>177</v>
      </c>
      <c r="B178" s="8" t="s">
        <v>1574</v>
      </c>
      <c r="C178" s="8" t="s">
        <v>2114</v>
      </c>
      <c r="D178" s="8" t="s">
        <v>2115</v>
      </c>
      <c r="E178" s="8" t="s">
        <v>21</v>
      </c>
      <c r="F178" s="8" t="s">
        <v>22</v>
      </c>
      <c r="G178" s="8">
        <v>669</v>
      </c>
      <c r="H178" s="8" t="s">
        <v>23</v>
      </c>
      <c r="I178" s="8" t="s">
        <v>174</v>
      </c>
      <c r="J178" s="8" t="s">
        <v>36</v>
      </c>
      <c r="K178" s="8" t="s">
        <v>26</v>
      </c>
      <c r="L178" s="8" t="s">
        <v>175</v>
      </c>
      <c r="M178" s="8">
        <v>4813</v>
      </c>
      <c r="N178" s="8" t="s">
        <v>175</v>
      </c>
      <c r="O178" s="8" t="s">
        <v>2116</v>
      </c>
      <c r="P178" s="8" t="s">
        <v>1578</v>
      </c>
      <c r="Q178" s="8" t="s">
        <v>1579</v>
      </c>
    </row>
    <row r="179" spans="1:17" ht="15" customHeight="1">
      <c r="A179" s="9">
        <v>178</v>
      </c>
      <c r="B179" s="9" t="s">
        <v>1574</v>
      </c>
      <c r="C179" s="9" t="s">
        <v>2117</v>
      </c>
      <c r="D179" s="9" t="s">
        <v>2118</v>
      </c>
      <c r="E179" s="9" t="s">
        <v>94</v>
      </c>
      <c r="F179" s="9" t="s">
        <v>22</v>
      </c>
      <c r="G179" s="9">
        <v>28100</v>
      </c>
      <c r="H179" s="9" t="s">
        <v>23</v>
      </c>
      <c r="I179" s="9" t="s">
        <v>1645</v>
      </c>
      <c r="J179" s="9" t="s">
        <v>96</v>
      </c>
      <c r="K179" s="9" t="s">
        <v>97</v>
      </c>
      <c r="L179" s="9" t="s">
        <v>1646</v>
      </c>
      <c r="M179" s="9"/>
      <c r="N179" s="9" t="s">
        <v>1646</v>
      </c>
      <c r="O179" s="9" t="s">
        <v>2119</v>
      </c>
      <c r="P179" s="9" t="s">
        <v>1578</v>
      </c>
      <c r="Q179" s="9" t="s">
        <v>1579</v>
      </c>
    </row>
    <row r="180" spans="1:17" ht="15" customHeight="1">
      <c r="A180" s="8">
        <v>179</v>
      </c>
      <c r="B180" s="8" t="s">
        <v>1574</v>
      </c>
      <c r="C180" s="8" t="s">
        <v>2120</v>
      </c>
      <c r="D180" s="8" t="s">
        <v>2121</v>
      </c>
      <c r="E180" s="8" t="s">
        <v>21</v>
      </c>
      <c r="F180" s="8" t="s">
        <v>22</v>
      </c>
      <c r="G180" s="8">
        <v>4000</v>
      </c>
      <c r="H180" s="8" t="s">
        <v>23</v>
      </c>
      <c r="I180" s="8" t="s">
        <v>1583</v>
      </c>
      <c r="J180" s="8" t="s">
        <v>36</v>
      </c>
      <c r="K180" s="8" t="s">
        <v>26</v>
      </c>
      <c r="L180" s="8" t="s">
        <v>1584</v>
      </c>
      <c r="M180" s="8">
        <v>6012</v>
      </c>
      <c r="N180" s="8" t="s">
        <v>1584</v>
      </c>
      <c r="O180" s="8" t="s">
        <v>2122</v>
      </c>
      <c r="P180" s="8" t="s">
        <v>1578</v>
      </c>
      <c r="Q180" s="8" t="s">
        <v>1579</v>
      </c>
    </row>
    <row r="181" spans="1:17" ht="15" customHeight="1">
      <c r="A181" s="9">
        <v>180</v>
      </c>
      <c r="B181" s="9" t="s">
        <v>1574</v>
      </c>
      <c r="C181" s="9" t="s">
        <v>2123</v>
      </c>
      <c r="D181" s="9" t="s">
        <v>2124</v>
      </c>
      <c r="E181" s="9" t="s">
        <v>21</v>
      </c>
      <c r="F181" s="9" t="s">
        <v>22</v>
      </c>
      <c r="G181" s="9">
        <v>1048</v>
      </c>
      <c r="H181" s="9" t="s">
        <v>23</v>
      </c>
      <c r="I181" s="9" t="s">
        <v>198</v>
      </c>
      <c r="J181" s="9" t="s">
        <v>36</v>
      </c>
      <c r="K181" s="9" t="s">
        <v>26</v>
      </c>
      <c r="L181" s="9" t="s">
        <v>199</v>
      </c>
      <c r="M181" s="9">
        <v>4900</v>
      </c>
      <c r="N181" s="9" t="s">
        <v>199</v>
      </c>
      <c r="O181" s="9" t="s">
        <v>2125</v>
      </c>
      <c r="P181" s="9" t="s">
        <v>1578</v>
      </c>
      <c r="Q181" s="9" t="s">
        <v>1579</v>
      </c>
    </row>
    <row r="182" spans="1:17" ht="15" customHeight="1">
      <c r="A182" s="8">
        <v>181</v>
      </c>
      <c r="B182" s="8" t="s">
        <v>1574</v>
      </c>
      <c r="C182" s="8" t="s">
        <v>2126</v>
      </c>
      <c r="D182" s="8" t="s">
        <v>2127</v>
      </c>
      <c r="E182" s="8" t="s">
        <v>21</v>
      </c>
      <c r="F182" s="8" t="s">
        <v>22</v>
      </c>
      <c r="G182" s="8">
        <v>745</v>
      </c>
      <c r="H182" s="8" t="s">
        <v>23</v>
      </c>
      <c r="I182" s="8" t="s">
        <v>82</v>
      </c>
      <c r="J182" s="8" t="s">
        <v>41</v>
      </c>
      <c r="K182" s="8" t="s">
        <v>26</v>
      </c>
      <c r="L182" s="8" t="s">
        <v>83</v>
      </c>
      <c r="M182" s="8">
        <v>5411</v>
      </c>
      <c r="N182" s="8" t="s">
        <v>83</v>
      </c>
      <c r="O182" s="8" t="s">
        <v>2128</v>
      </c>
      <c r="P182" s="8" t="s">
        <v>1578</v>
      </c>
      <c r="Q182" s="8" t="s">
        <v>1579</v>
      </c>
    </row>
    <row r="183" spans="1:17" ht="15" customHeight="1">
      <c r="A183" s="9">
        <v>182</v>
      </c>
      <c r="B183" s="9" t="s">
        <v>1574</v>
      </c>
      <c r="C183" s="9" t="s">
        <v>2129</v>
      </c>
      <c r="D183" s="9" t="s">
        <v>2130</v>
      </c>
      <c r="E183" s="9" t="s">
        <v>21</v>
      </c>
      <c r="F183" s="9" t="s">
        <v>22</v>
      </c>
      <c r="G183" s="9">
        <v>539</v>
      </c>
      <c r="H183" s="9" t="s">
        <v>23</v>
      </c>
      <c r="I183" s="9" t="s">
        <v>86</v>
      </c>
      <c r="J183" s="9" t="s">
        <v>36</v>
      </c>
      <c r="K183" s="9" t="s">
        <v>26</v>
      </c>
      <c r="L183" s="9" t="s">
        <v>87</v>
      </c>
      <c r="M183" s="9">
        <v>4813</v>
      </c>
      <c r="N183" s="9" t="s">
        <v>87</v>
      </c>
      <c r="O183" s="9" t="s">
        <v>2131</v>
      </c>
      <c r="P183" s="9" t="s">
        <v>1578</v>
      </c>
      <c r="Q183" s="9" t="s">
        <v>1579</v>
      </c>
    </row>
    <row r="184" spans="1:17" ht="15" customHeight="1">
      <c r="A184" s="8">
        <v>183</v>
      </c>
      <c r="B184" s="8" t="s">
        <v>1574</v>
      </c>
      <c r="C184" s="8" t="s">
        <v>2132</v>
      </c>
      <c r="D184" s="8" t="s">
        <v>2133</v>
      </c>
      <c r="E184" s="8" t="s">
        <v>21</v>
      </c>
      <c r="F184" s="8" t="s">
        <v>22</v>
      </c>
      <c r="G184" s="8">
        <v>1218</v>
      </c>
      <c r="H184" s="8" t="s">
        <v>23</v>
      </c>
      <c r="I184" s="8" t="s">
        <v>111</v>
      </c>
      <c r="J184" s="8" t="s">
        <v>41</v>
      </c>
      <c r="K184" s="8" t="s">
        <v>26</v>
      </c>
      <c r="L184" s="8" t="s">
        <v>112</v>
      </c>
      <c r="M184" s="8">
        <v>5541</v>
      </c>
      <c r="N184" s="8" t="s">
        <v>112</v>
      </c>
      <c r="O184" s="8" t="s">
        <v>2134</v>
      </c>
      <c r="P184" s="8" t="s">
        <v>1578</v>
      </c>
      <c r="Q184" s="8" t="s">
        <v>1579</v>
      </c>
    </row>
    <row r="185" spans="1:17" ht="15" customHeight="1">
      <c r="A185" s="9">
        <v>184</v>
      </c>
      <c r="B185" s="9" t="s">
        <v>1574</v>
      </c>
      <c r="C185" s="9" t="s">
        <v>2135</v>
      </c>
      <c r="D185" s="9" t="s">
        <v>2136</v>
      </c>
      <c r="E185" s="9" t="s">
        <v>21</v>
      </c>
      <c r="F185" s="9" t="s">
        <v>22</v>
      </c>
      <c r="G185" s="9">
        <v>1296</v>
      </c>
      <c r="H185" s="9" t="s">
        <v>23</v>
      </c>
      <c r="I185" s="9" t="s">
        <v>56</v>
      </c>
      <c r="J185" s="9" t="s">
        <v>41</v>
      </c>
      <c r="K185" s="9" t="s">
        <v>26</v>
      </c>
      <c r="L185" s="9" t="s">
        <v>57</v>
      </c>
      <c r="M185" s="9">
        <v>5999</v>
      </c>
      <c r="N185" s="9" t="s">
        <v>57</v>
      </c>
      <c r="O185" s="9" t="s">
        <v>2137</v>
      </c>
      <c r="P185" s="9" t="s">
        <v>1578</v>
      </c>
      <c r="Q185" s="9" t="s">
        <v>1579</v>
      </c>
    </row>
    <row r="186" spans="1:17" ht="15" customHeight="1">
      <c r="A186" s="8">
        <v>185</v>
      </c>
      <c r="B186" s="8" t="s">
        <v>1574</v>
      </c>
      <c r="C186" s="8" t="s">
        <v>2138</v>
      </c>
      <c r="D186" s="8" t="s">
        <v>2139</v>
      </c>
      <c r="E186" s="8" t="s">
        <v>21</v>
      </c>
      <c r="F186" s="8" t="s">
        <v>22</v>
      </c>
      <c r="G186" s="8">
        <v>746</v>
      </c>
      <c r="H186" s="8" t="s">
        <v>23</v>
      </c>
      <c r="I186" s="8" t="s">
        <v>82</v>
      </c>
      <c r="J186" s="8" t="s">
        <v>41</v>
      </c>
      <c r="K186" s="8" t="s">
        <v>26</v>
      </c>
      <c r="L186" s="8" t="s">
        <v>83</v>
      </c>
      <c r="M186" s="8">
        <v>5411</v>
      </c>
      <c r="N186" s="8" t="s">
        <v>83</v>
      </c>
      <c r="O186" s="8" t="s">
        <v>2140</v>
      </c>
      <c r="P186" s="8" t="s">
        <v>1578</v>
      </c>
      <c r="Q186" s="8" t="s">
        <v>1579</v>
      </c>
    </row>
    <row r="187" spans="1:17" ht="15" customHeight="1">
      <c r="A187" s="9">
        <v>186</v>
      </c>
      <c r="B187" s="9" t="s">
        <v>1574</v>
      </c>
      <c r="C187" s="9" t="s">
        <v>2141</v>
      </c>
      <c r="D187" s="9" t="s">
        <v>2142</v>
      </c>
      <c r="E187" s="9" t="s">
        <v>21</v>
      </c>
      <c r="F187" s="9" t="s">
        <v>22</v>
      </c>
      <c r="G187" s="9">
        <v>637</v>
      </c>
      <c r="H187" s="9" t="s">
        <v>23</v>
      </c>
      <c r="I187" s="9" t="s">
        <v>78</v>
      </c>
      <c r="J187" s="9" t="s">
        <v>41</v>
      </c>
      <c r="K187" s="9" t="s">
        <v>26</v>
      </c>
      <c r="L187" s="9" t="s">
        <v>79</v>
      </c>
      <c r="M187" s="9">
        <v>7996</v>
      </c>
      <c r="N187" s="9" t="s">
        <v>79</v>
      </c>
      <c r="O187" s="9" t="s">
        <v>2143</v>
      </c>
      <c r="P187" s="9" t="s">
        <v>1578</v>
      </c>
      <c r="Q187" s="9" t="s">
        <v>1579</v>
      </c>
    </row>
    <row r="188" spans="1:17" ht="15" customHeight="1">
      <c r="A188" s="8">
        <v>187</v>
      </c>
      <c r="B188" s="8" t="s">
        <v>1574</v>
      </c>
      <c r="C188" s="8" t="s">
        <v>2144</v>
      </c>
      <c r="D188" s="8" t="s">
        <v>2145</v>
      </c>
      <c r="E188" s="8" t="s">
        <v>21</v>
      </c>
      <c r="F188" s="8" t="s">
        <v>22</v>
      </c>
      <c r="G188" s="8">
        <v>1848</v>
      </c>
      <c r="H188" s="8" t="s">
        <v>23</v>
      </c>
      <c r="I188" s="8" t="s">
        <v>119</v>
      </c>
      <c r="J188" s="8" t="s">
        <v>25</v>
      </c>
      <c r="K188" s="8" t="s">
        <v>26</v>
      </c>
      <c r="L188" s="8" t="s">
        <v>120</v>
      </c>
      <c r="M188" s="8">
        <v>8299</v>
      </c>
      <c r="N188" s="8" t="s">
        <v>120</v>
      </c>
      <c r="O188" s="8" t="s">
        <v>2146</v>
      </c>
      <c r="P188" s="8" t="s">
        <v>1578</v>
      </c>
      <c r="Q188" s="8" t="s">
        <v>1579</v>
      </c>
    </row>
    <row r="189" spans="1:17" ht="15" customHeight="1">
      <c r="A189" s="9">
        <v>188</v>
      </c>
      <c r="B189" s="9" t="s">
        <v>1574</v>
      </c>
      <c r="C189" s="9" t="s">
        <v>2147</v>
      </c>
      <c r="D189" s="9" t="s">
        <v>2148</v>
      </c>
      <c r="E189" s="9" t="s">
        <v>21</v>
      </c>
      <c r="F189" s="9" t="s">
        <v>22</v>
      </c>
      <c r="G189" s="9">
        <v>636</v>
      </c>
      <c r="H189" s="9" t="s">
        <v>23</v>
      </c>
      <c r="I189" s="9" t="s">
        <v>143</v>
      </c>
      <c r="J189" s="9" t="s">
        <v>41</v>
      </c>
      <c r="K189" s="9" t="s">
        <v>26</v>
      </c>
      <c r="L189" s="9" t="s">
        <v>144</v>
      </c>
      <c r="M189" s="9">
        <v>7996</v>
      </c>
      <c r="N189" s="9" t="s">
        <v>144</v>
      </c>
      <c r="O189" s="9" t="s">
        <v>2149</v>
      </c>
      <c r="P189" s="9" t="s">
        <v>1578</v>
      </c>
      <c r="Q189" s="9" t="s">
        <v>1579</v>
      </c>
    </row>
    <row r="190" spans="1:17" ht="15" customHeight="1">
      <c r="A190" s="8">
        <v>189</v>
      </c>
      <c r="B190" s="8" t="s">
        <v>1574</v>
      </c>
      <c r="C190" s="8" t="s">
        <v>2150</v>
      </c>
      <c r="D190" s="8" t="s">
        <v>2151</v>
      </c>
      <c r="E190" s="8" t="s">
        <v>21</v>
      </c>
      <c r="F190" s="8" t="s">
        <v>22</v>
      </c>
      <c r="G190" s="8">
        <v>1669</v>
      </c>
      <c r="H190" s="8" t="s">
        <v>23</v>
      </c>
      <c r="I190" s="8" t="s">
        <v>318</v>
      </c>
      <c r="J190" s="8" t="s">
        <v>25</v>
      </c>
      <c r="K190" s="8" t="s">
        <v>26</v>
      </c>
      <c r="L190" s="8" t="s">
        <v>319</v>
      </c>
      <c r="M190" s="8">
        <v>5999</v>
      </c>
      <c r="N190" s="8" t="s">
        <v>319</v>
      </c>
      <c r="O190" s="8" t="s">
        <v>2152</v>
      </c>
      <c r="P190" s="8" t="s">
        <v>1578</v>
      </c>
      <c r="Q190" s="8" t="s">
        <v>1579</v>
      </c>
    </row>
    <row r="191" spans="1:17" ht="15" customHeight="1">
      <c r="A191" s="9">
        <v>190</v>
      </c>
      <c r="B191" s="9" t="s">
        <v>1574</v>
      </c>
      <c r="C191" s="9" t="s">
        <v>2153</v>
      </c>
      <c r="D191" s="9" t="s">
        <v>2154</v>
      </c>
      <c r="E191" s="9" t="s">
        <v>21</v>
      </c>
      <c r="F191" s="9" t="s">
        <v>22</v>
      </c>
      <c r="G191" s="9">
        <v>1225</v>
      </c>
      <c r="H191" s="9" t="s">
        <v>23</v>
      </c>
      <c r="I191" s="9" t="s">
        <v>186</v>
      </c>
      <c r="J191" s="9" t="s">
        <v>41</v>
      </c>
      <c r="K191" s="9" t="s">
        <v>26</v>
      </c>
      <c r="L191" s="9" t="s">
        <v>187</v>
      </c>
      <c r="M191" s="9">
        <v>5999</v>
      </c>
      <c r="N191" s="9" t="s">
        <v>187</v>
      </c>
      <c r="O191" s="9" t="s">
        <v>2155</v>
      </c>
      <c r="P191" s="9" t="s">
        <v>1578</v>
      </c>
      <c r="Q191" s="9" t="s">
        <v>1579</v>
      </c>
    </row>
    <row r="192" spans="1:17" ht="15" customHeight="1">
      <c r="A192" s="8">
        <v>191</v>
      </c>
      <c r="B192" s="8" t="s">
        <v>1574</v>
      </c>
      <c r="C192" s="8" t="s">
        <v>2156</v>
      </c>
      <c r="D192" s="8" t="s">
        <v>2157</v>
      </c>
      <c r="E192" s="8" t="s">
        <v>21</v>
      </c>
      <c r="F192" s="8" t="s">
        <v>22</v>
      </c>
      <c r="G192" s="8">
        <v>801</v>
      </c>
      <c r="H192" s="8" t="s">
        <v>23</v>
      </c>
      <c r="I192" s="8" t="s">
        <v>340</v>
      </c>
      <c r="J192" s="8" t="s">
        <v>41</v>
      </c>
      <c r="K192" s="8" t="s">
        <v>26</v>
      </c>
      <c r="L192" s="8" t="s">
        <v>341</v>
      </c>
      <c r="M192" s="8">
        <v>5812</v>
      </c>
      <c r="N192" s="8" t="s">
        <v>341</v>
      </c>
      <c r="O192" s="8" t="s">
        <v>2158</v>
      </c>
      <c r="P192" s="8" t="s">
        <v>1578</v>
      </c>
      <c r="Q192" s="8" t="s">
        <v>1579</v>
      </c>
    </row>
    <row r="193" spans="1:17" ht="15" customHeight="1">
      <c r="A193" s="9">
        <v>192</v>
      </c>
      <c r="B193" s="9" t="s">
        <v>1574</v>
      </c>
      <c r="C193" s="9" t="s">
        <v>2159</v>
      </c>
      <c r="D193" s="9" t="s">
        <v>2160</v>
      </c>
      <c r="E193" s="9" t="s">
        <v>21</v>
      </c>
      <c r="F193" s="9" t="s">
        <v>22</v>
      </c>
      <c r="G193" s="9">
        <v>745</v>
      </c>
      <c r="H193" s="9" t="s">
        <v>23</v>
      </c>
      <c r="I193" s="9" t="s">
        <v>102</v>
      </c>
      <c r="J193" s="9" t="s">
        <v>41</v>
      </c>
      <c r="K193" s="9" t="s">
        <v>26</v>
      </c>
      <c r="L193" s="9" t="s">
        <v>103</v>
      </c>
      <c r="M193" s="9">
        <v>5411</v>
      </c>
      <c r="N193" s="9" t="s">
        <v>103</v>
      </c>
      <c r="O193" s="9" t="s">
        <v>2161</v>
      </c>
      <c r="P193" s="9" t="s">
        <v>1578</v>
      </c>
      <c r="Q193" s="9" t="s">
        <v>1579</v>
      </c>
    </row>
    <row r="194" spans="1:17" ht="15" customHeight="1">
      <c r="A194" s="8">
        <v>193</v>
      </c>
      <c r="B194" s="8" t="s">
        <v>1574</v>
      </c>
      <c r="C194" s="8" t="s">
        <v>2162</v>
      </c>
      <c r="D194" s="8" t="s">
        <v>2163</v>
      </c>
      <c r="E194" s="8" t="s">
        <v>21</v>
      </c>
      <c r="F194" s="8" t="s">
        <v>22</v>
      </c>
      <c r="G194" s="8">
        <v>801</v>
      </c>
      <c r="H194" s="8" t="s">
        <v>23</v>
      </c>
      <c r="I194" s="8" t="s">
        <v>40</v>
      </c>
      <c r="J194" s="8" t="s">
        <v>41</v>
      </c>
      <c r="K194" s="8" t="s">
        <v>26</v>
      </c>
      <c r="L194" s="8" t="s">
        <v>42</v>
      </c>
      <c r="M194" s="8">
        <v>5812</v>
      </c>
      <c r="N194" s="8" t="s">
        <v>42</v>
      </c>
      <c r="O194" s="8" t="s">
        <v>2164</v>
      </c>
      <c r="P194" s="8" t="s">
        <v>1578</v>
      </c>
      <c r="Q194" s="8" t="s">
        <v>1579</v>
      </c>
    </row>
    <row r="195" spans="1:17" ht="15" customHeight="1">
      <c r="A195" s="9">
        <v>194</v>
      </c>
      <c r="B195" s="9" t="s">
        <v>1574</v>
      </c>
      <c r="C195" s="9" t="s">
        <v>2165</v>
      </c>
      <c r="D195" s="9" t="s">
        <v>2166</v>
      </c>
      <c r="E195" s="9" t="s">
        <v>94</v>
      </c>
      <c r="F195" s="9" t="s">
        <v>22</v>
      </c>
      <c r="G195" s="9">
        <v>27800</v>
      </c>
      <c r="H195" s="9" t="s">
        <v>23</v>
      </c>
      <c r="I195" s="9" t="s">
        <v>1645</v>
      </c>
      <c r="J195" s="9" t="s">
        <v>96</v>
      </c>
      <c r="K195" s="9" t="s">
        <v>97</v>
      </c>
      <c r="L195" s="9" t="s">
        <v>1646</v>
      </c>
      <c r="M195" s="9"/>
      <c r="N195" s="9" t="s">
        <v>1646</v>
      </c>
      <c r="O195" s="9" t="s">
        <v>2167</v>
      </c>
      <c r="P195" s="9" t="s">
        <v>1578</v>
      </c>
      <c r="Q195" s="9" t="s">
        <v>1579</v>
      </c>
    </row>
    <row r="196" spans="1:17" ht="15" customHeight="1">
      <c r="A196" s="8">
        <v>195</v>
      </c>
      <c r="B196" s="8" t="s">
        <v>1574</v>
      </c>
      <c r="C196" s="8" t="s">
        <v>2168</v>
      </c>
      <c r="D196" s="8" t="s">
        <v>2169</v>
      </c>
      <c r="E196" s="8" t="s">
        <v>21</v>
      </c>
      <c r="F196" s="8" t="s">
        <v>22</v>
      </c>
      <c r="G196" s="8">
        <v>500</v>
      </c>
      <c r="H196" s="8" t="s">
        <v>23</v>
      </c>
      <c r="I196" s="8" t="s">
        <v>391</v>
      </c>
      <c r="J196" s="8" t="s">
        <v>331</v>
      </c>
      <c r="K196" s="8" t="s">
        <v>26</v>
      </c>
      <c r="L196" s="8" t="s">
        <v>392</v>
      </c>
      <c r="M196" s="8">
        <v>6011</v>
      </c>
      <c r="N196" s="8" t="s">
        <v>392</v>
      </c>
      <c r="O196" s="8" t="s">
        <v>2170</v>
      </c>
      <c r="P196" s="8" t="s">
        <v>1578</v>
      </c>
      <c r="Q196" s="8" t="s">
        <v>1579</v>
      </c>
    </row>
    <row r="197" spans="1:17" ht="15" customHeight="1">
      <c r="A197" s="9">
        <v>196</v>
      </c>
      <c r="B197" s="9" t="s">
        <v>1574</v>
      </c>
      <c r="C197" s="9" t="s">
        <v>2171</v>
      </c>
      <c r="D197" s="9" t="s">
        <v>2172</v>
      </c>
      <c r="E197" s="9" t="s">
        <v>21</v>
      </c>
      <c r="F197" s="9" t="s">
        <v>22</v>
      </c>
      <c r="G197" s="9">
        <v>746</v>
      </c>
      <c r="H197" s="9" t="s">
        <v>23</v>
      </c>
      <c r="I197" s="9" t="s">
        <v>82</v>
      </c>
      <c r="J197" s="9" t="s">
        <v>41</v>
      </c>
      <c r="K197" s="9" t="s">
        <v>26</v>
      </c>
      <c r="L197" s="9" t="s">
        <v>83</v>
      </c>
      <c r="M197" s="9">
        <v>5411</v>
      </c>
      <c r="N197" s="9" t="s">
        <v>83</v>
      </c>
      <c r="O197" s="9" t="s">
        <v>2173</v>
      </c>
      <c r="P197" s="9" t="s">
        <v>1578</v>
      </c>
      <c r="Q197" s="9" t="s">
        <v>1579</v>
      </c>
    </row>
    <row r="198" spans="1:17" ht="15" customHeight="1">
      <c r="A198" s="8">
        <v>197</v>
      </c>
      <c r="B198" s="8" t="s">
        <v>1574</v>
      </c>
      <c r="C198" s="8" t="s">
        <v>2174</v>
      </c>
      <c r="D198" s="8" t="s">
        <v>2175</v>
      </c>
      <c r="E198" s="8" t="s">
        <v>21</v>
      </c>
      <c r="F198" s="8" t="s">
        <v>22</v>
      </c>
      <c r="G198" s="8">
        <v>591</v>
      </c>
      <c r="H198" s="8" t="s">
        <v>23</v>
      </c>
      <c r="I198" s="8" t="s">
        <v>174</v>
      </c>
      <c r="J198" s="8" t="s">
        <v>36</v>
      </c>
      <c r="K198" s="8" t="s">
        <v>26</v>
      </c>
      <c r="L198" s="8" t="s">
        <v>175</v>
      </c>
      <c r="M198" s="8">
        <v>4813</v>
      </c>
      <c r="N198" s="8" t="s">
        <v>175</v>
      </c>
      <c r="O198" s="8" t="s">
        <v>2176</v>
      </c>
      <c r="P198" s="8" t="s">
        <v>1578</v>
      </c>
      <c r="Q198" s="8" t="s">
        <v>1579</v>
      </c>
    </row>
    <row r="199" spans="1:17" ht="15" customHeight="1">
      <c r="A199" s="9">
        <v>198</v>
      </c>
      <c r="B199" s="9" t="s">
        <v>1574</v>
      </c>
      <c r="C199" s="9" t="s">
        <v>2177</v>
      </c>
      <c r="D199" s="9" t="s">
        <v>2178</v>
      </c>
      <c r="E199" s="9" t="s">
        <v>21</v>
      </c>
      <c r="F199" s="9" t="s">
        <v>22</v>
      </c>
      <c r="G199" s="9">
        <v>1123</v>
      </c>
      <c r="H199" s="9" t="s">
        <v>23</v>
      </c>
      <c r="I199" s="9" t="s">
        <v>506</v>
      </c>
      <c r="J199" s="9" t="s">
        <v>41</v>
      </c>
      <c r="K199" s="9" t="s">
        <v>26</v>
      </c>
      <c r="L199" s="9" t="s">
        <v>507</v>
      </c>
      <c r="M199" s="9">
        <v>7996</v>
      </c>
      <c r="N199" s="9" t="s">
        <v>507</v>
      </c>
      <c r="O199" s="9" t="s">
        <v>2179</v>
      </c>
      <c r="P199" s="9" t="s">
        <v>1578</v>
      </c>
      <c r="Q199" s="9" t="s">
        <v>1579</v>
      </c>
    </row>
    <row r="200" spans="1:17" ht="15" customHeight="1">
      <c r="A200" s="8">
        <v>199</v>
      </c>
      <c r="B200" s="8" t="s">
        <v>1574</v>
      </c>
      <c r="C200" s="8" t="s">
        <v>2180</v>
      </c>
      <c r="D200" s="8" t="s">
        <v>2181</v>
      </c>
      <c r="E200" s="8" t="s">
        <v>21</v>
      </c>
      <c r="F200" s="8" t="s">
        <v>22</v>
      </c>
      <c r="G200" s="8">
        <v>4000</v>
      </c>
      <c r="H200" s="8" t="s">
        <v>23</v>
      </c>
      <c r="I200" s="8" t="s">
        <v>1583</v>
      </c>
      <c r="J200" s="8" t="s">
        <v>36</v>
      </c>
      <c r="K200" s="8" t="s">
        <v>26</v>
      </c>
      <c r="L200" s="8" t="s">
        <v>1584</v>
      </c>
      <c r="M200" s="8">
        <v>6012</v>
      </c>
      <c r="N200" s="8" t="s">
        <v>1584</v>
      </c>
      <c r="O200" s="8" t="s">
        <v>2182</v>
      </c>
      <c r="P200" s="8" t="s">
        <v>1578</v>
      </c>
      <c r="Q200" s="8" t="s">
        <v>1579</v>
      </c>
    </row>
    <row r="201" spans="1:17" ht="15" customHeight="1">
      <c r="A201" s="9">
        <v>200</v>
      </c>
      <c r="B201" s="9" t="s">
        <v>1574</v>
      </c>
      <c r="C201" s="9" t="s">
        <v>2183</v>
      </c>
      <c r="D201" s="9" t="s">
        <v>2184</v>
      </c>
      <c r="E201" s="9" t="s">
        <v>21</v>
      </c>
      <c r="F201" s="9" t="s">
        <v>22</v>
      </c>
      <c r="G201" s="9">
        <v>766</v>
      </c>
      <c r="H201" s="9" t="s">
        <v>23</v>
      </c>
      <c r="I201" s="9" t="s">
        <v>46</v>
      </c>
      <c r="J201" s="9" t="s">
        <v>41</v>
      </c>
      <c r="K201" s="9" t="s">
        <v>26</v>
      </c>
      <c r="L201" s="9" t="s">
        <v>47</v>
      </c>
      <c r="M201" s="9">
        <v>8011</v>
      </c>
      <c r="N201" s="9" t="s">
        <v>47</v>
      </c>
      <c r="O201" s="9" t="s">
        <v>2185</v>
      </c>
      <c r="P201" s="9" t="s">
        <v>1578</v>
      </c>
      <c r="Q201" s="9" t="s">
        <v>1579</v>
      </c>
    </row>
    <row r="202" spans="1:17" ht="15" customHeight="1">
      <c r="A202" s="8">
        <v>201</v>
      </c>
      <c r="B202" s="8" t="s">
        <v>1574</v>
      </c>
      <c r="C202" s="8" t="s">
        <v>2186</v>
      </c>
      <c r="D202" s="8" t="s">
        <v>2187</v>
      </c>
      <c r="E202" s="8" t="s">
        <v>21</v>
      </c>
      <c r="F202" s="8" t="s">
        <v>22</v>
      </c>
      <c r="G202" s="8">
        <v>315</v>
      </c>
      <c r="H202" s="8" t="s">
        <v>23</v>
      </c>
      <c r="I202" s="8" t="s">
        <v>574</v>
      </c>
      <c r="J202" s="8" t="s">
        <v>41</v>
      </c>
      <c r="K202" s="8" t="s">
        <v>26</v>
      </c>
      <c r="L202" s="8" t="s">
        <v>575</v>
      </c>
      <c r="M202" s="8">
        <v>5812</v>
      </c>
      <c r="N202" s="8" t="s">
        <v>575</v>
      </c>
      <c r="O202" s="8" t="s">
        <v>2188</v>
      </c>
      <c r="P202" s="8" t="s">
        <v>1578</v>
      </c>
      <c r="Q202" s="8" t="s">
        <v>1579</v>
      </c>
    </row>
    <row r="203" spans="1:17" ht="15" customHeight="1">
      <c r="A203" s="9">
        <v>202</v>
      </c>
      <c r="B203" s="9" t="s">
        <v>1574</v>
      </c>
      <c r="C203" s="9" t="s">
        <v>2189</v>
      </c>
      <c r="D203" s="9" t="s">
        <v>2190</v>
      </c>
      <c r="E203" s="9" t="s">
        <v>21</v>
      </c>
      <c r="F203" s="9" t="s">
        <v>22</v>
      </c>
      <c r="G203" s="9">
        <v>1344</v>
      </c>
      <c r="H203" s="9" t="s">
        <v>23</v>
      </c>
      <c r="I203" s="9" t="s">
        <v>108</v>
      </c>
      <c r="J203" s="9" t="s">
        <v>41</v>
      </c>
      <c r="K203" s="9" t="s">
        <v>26</v>
      </c>
      <c r="L203" s="9" t="s">
        <v>57</v>
      </c>
      <c r="M203" s="9">
        <v>5999</v>
      </c>
      <c r="N203" s="9" t="s">
        <v>57</v>
      </c>
      <c r="O203" s="9" t="s">
        <v>2191</v>
      </c>
      <c r="P203" s="9" t="s">
        <v>1578</v>
      </c>
      <c r="Q203" s="9" t="s">
        <v>1579</v>
      </c>
    </row>
    <row r="204" spans="1:17" ht="15" customHeight="1">
      <c r="A204" s="8">
        <v>203</v>
      </c>
      <c r="B204" s="8" t="s">
        <v>1574</v>
      </c>
      <c r="C204" s="8" t="s">
        <v>2192</v>
      </c>
      <c r="D204" s="8" t="s">
        <v>2193</v>
      </c>
      <c r="E204" s="8" t="s">
        <v>21</v>
      </c>
      <c r="F204" s="8" t="s">
        <v>22</v>
      </c>
      <c r="G204" s="8">
        <v>654</v>
      </c>
      <c r="H204" s="8" t="s">
        <v>23</v>
      </c>
      <c r="I204" s="8" t="s">
        <v>56</v>
      </c>
      <c r="J204" s="8" t="s">
        <v>41</v>
      </c>
      <c r="K204" s="8" t="s">
        <v>26</v>
      </c>
      <c r="L204" s="8" t="s">
        <v>57</v>
      </c>
      <c r="M204" s="8">
        <v>5999</v>
      </c>
      <c r="N204" s="8" t="s">
        <v>57</v>
      </c>
      <c r="O204" s="8" t="s">
        <v>2194</v>
      </c>
      <c r="P204" s="8" t="s">
        <v>1578</v>
      </c>
      <c r="Q204" s="8" t="s">
        <v>1579</v>
      </c>
    </row>
    <row r="205" spans="1:17" ht="15" customHeight="1">
      <c r="A205" s="9">
        <v>204</v>
      </c>
      <c r="B205" s="9" t="s">
        <v>1574</v>
      </c>
      <c r="C205" s="9" t="s">
        <v>2195</v>
      </c>
      <c r="D205" s="9" t="s">
        <v>2196</v>
      </c>
      <c r="E205" s="9" t="s">
        <v>21</v>
      </c>
      <c r="F205" s="9" t="s">
        <v>22</v>
      </c>
      <c r="G205" s="9">
        <v>631</v>
      </c>
      <c r="H205" s="9" t="s">
        <v>23</v>
      </c>
      <c r="I205" s="9" t="s">
        <v>82</v>
      </c>
      <c r="J205" s="9" t="s">
        <v>41</v>
      </c>
      <c r="K205" s="9" t="s">
        <v>26</v>
      </c>
      <c r="L205" s="9" t="s">
        <v>83</v>
      </c>
      <c r="M205" s="9">
        <v>5411</v>
      </c>
      <c r="N205" s="9" t="s">
        <v>83</v>
      </c>
      <c r="O205" s="9" t="s">
        <v>2197</v>
      </c>
      <c r="P205" s="9" t="s">
        <v>1578</v>
      </c>
      <c r="Q205" s="9" t="s">
        <v>1579</v>
      </c>
    </row>
    <row r="206" spans="1:17" ht="15" customHeight="1">
      <c r="A206" s="8">
        <v>205</v>
      </c>
      <c r="B206" s="8" t="s">
        <v>1574</v>
      </c>
      <c r="C206" s="8" t="s">
        <v>2198</v>
      </c>
      <c r="D206" s="8" t="s">
        <v>2199</v>
      </c>
      <c r="E206" s="8" t="s">
        <v>21</v>
      </c>
      <c r="F206" s="8" t="s">
        <v>22</v>
      </c>
      <c r="G206" s="8">
        <v>530</v>
      </c>
      <c r="H206" s="8" t="s">
        <v>23</v>
      </c>
      <c r="I206" s="8" t="s">
        <v>70</v>
      </c>
      <c r="J206" s="8" t="s">
        <v>41</v>
      </c>
      <c r="K206" s="8" t="s">
        <v>26</v>
      </c>
      <c r="L206" s="8" t="s">
        <v>71</v>
      </c>
      <c r="M206" s="8">
        <v>5541</v>
      </c>
      <c r="N206" s="8" t="s">
        <v>71</v>
      </c>
      <c r="O206" s="8" t="s">
        <v>2200</v>
      </c>
      <c r="P206" s="8" t="s">
        <v>1578</v>
      </c>
      <c r="Q206" s="8" t="s">
        <v>1579</v>
      </c>
    </row>
    <row r="207" spans="1:17" ht="15" customHeight="1">
      <c r="A207" s="9">
        <v>206</v>
      </c>
      <c r="B207" s="9" t="s">
        <v>1574</v>
      </c>
      <c r="C207" s="9" t="s">
        <v>2201</v>
      </c>
      <c r="D207" s="9" t="s">
        <v>2202</v>
      </c>
      <c r="E207" s="9" t="s">
        <v>21</v>
      </c>
      <c r="F207" s="9" t="s">
        <v>22</v>
      </c>
      <c r="G207" s="9">
        <v>1251</v>
      </c>
      <c r="H207" s="9" t="s">
        <v>23</v>
      </c>
      <c r="I207" s="9" t="s">
        <v>498</v>
      </c>
      <c r="J207" s="9" t="s">
        <v>36</v>
      </c>
      <c r="K207" s="9" t="s">
        <v>26</v>
      </c>
      <c r="L207" s="9" t="s">
        <v>499</v>
      </c>
      <c r="M207" s="9">
        <v>4900</v>
      </c>
      <c r="N207" s="9" t="s">
        <v>499</v>
      </c>
      <c r="O207" s="9" t="s">
        <v>2203</v>
      </c>
      <c r="P207" s="9" t="s">
        <v>1578</v>
      </c>
      <c r="Q207" s="9" t="s">
        <v>1579</v>
      </c>
    </row>
    <row r="208" spans="1:17" ht="15" customHeight="1">
      <c r="A208" s="8">
        <v>207</v>
      </c>
      <c r="B208" s="8" t="s">
        <v>1574</v>
      </c>
      <c r="C208" s="8" t="s">
        <v>2204</v>
      </c>
      <c r="D208" s="8" t="s">
        <v>2205</v>
      </c>
      <c r="E208" s="8" t="s">
        <v>21</v>
      </c>
      <c r="F208" s="8" t="s">
        <v>22</v>
      </c>
      <c r="G208" s="8">
        <v>631</v>
      </c>
      <c r="H208" s="8" t="s">
        <v>23</v>
      </c>
      <c r="I208" s="8" t="s">
        <v>131</v>
      </c>
      <c r="J208" s="8" t="s">
        <v>41</v>
      </c>
      <c r="K208" s="8" t="s">
        <v>26</v>
      </c>
      <c r="L208" s="8" t="s">
        <v>132</v>
      </c>
      <c r="M208" s="8">
        <v>5411</v>
      </c>
      <c r="N208" s="8" t="s">
        <v>132</v>
      </c>
      <c r="O208" s="8" t="s">
        <v>2206</v>
      </c>
      <c r="P208" s="8" t="s">
        <v>1578</v>
      </c>
      <c r="Q208" s="8" t="s">
        <v>1579</v>
      </c>
    </row>
    <row r="209" spans="1:17" ht="15" customHeight="1">
      <c r="A209" s="9">
        <v>208</v>
      </c>
      <c r="B209" s="9" t="s">
        <v>1574</v>
      </c>
      <c r="C209" s="9" t="s">
        <v>2207</v>
      </c>
      <c r="D209" s="9" t="s">
        <v>2208</v>
      </c>
      <c r="E209" s="9" t="s">
        <v>21</v>
      </c>
      <c r="F209" s="9" t="s">
        <v>22</v>
      </c>
      <c r="G209" s="9">
        <v>315</v>
      </c>
      <c r="H209" s="9" t="s">
        <v>23</v>
      </c>
      <c r="I209" s="9" t="s">
        <v>40</v>
      </c>
      <c r="J209" s="9" t="s">
        <v>41</v>
      </c>
      <c r="K209" s="9" t="s">
        <v>26</v>
      </c>
      <c r="L209" s="9" t="s">
        <v>42</v>
      </c>
      <c r="M209" s="9">
        <v>5812</v>
      </c>
      <c r="N209" s="9" t="s">
        <v>42</v>
      </c>
      <c r="O209" s="9" t="s">
        <v>2209</v>
      </c>
      <c r="P209" s="9" t="s">
        <v>1578</v>
      </c>
      <c r="Q209" s="9" t="s">
        <v>1579</v>
      </c>
    </row>
    <row r="210" spans="1:17" ht="15" customHeight="1">
      <c r="A210" s="8">
        <v>209</v>
      </c>
      <c r="B210" s="8" t="s">
        <v>1574</v>
      </c>
      <c r="C210" s="8" t="s">
        <v>2210</v>
      </c>
      <c r="D210" s="8" t="s">
        <v>2211</v>
      </c>
      <c r="E210" s="8" t="s">
        <v>21</v>
      </c>
      <c r="F210" s="8" t="s">
        <v>22</v>
      </c>
      <c r="G210" s="8">
        <v>315</v>
      </c>
      <c r="H210" s="8" t="s">
        <v>23</v>
      </c>
      <c r="I210" s="8" t="s">
        <v>138</v>
      </c>
      <c r="J210" s="8" t="s">
        <v>41</v>
      </c>
      <c r="K210" s="8" t="s">
        <v>26</v>
      </c>
      <c r="L210" s="8" t="s">
        <v>139</v>
      </c>
      <c r="M210" s="8">
        <v>5812</v>
      </c>
      <c r="N210" s="8" t="s">
        <v>139</v>
      </c>
      <c r="O210" s="8" t="s">
        <v>2212</v>
      </c>
      <c r="P210" s="8" t="s">
        <v>1578</v>
      </c>
      <c r="Q210" s="8" t="s">
        <v>1579</v>
      </c>
    </row>
    <row r="211" spans="1:17" ht="15" customHeight="1">
      <c r="A211" s="9">
        <v>210</v>
      </c>
      <c r="B211" s="9" t="s">
        <v>1574</v>
      </c>
      <c r="C211" s="9" t="s">
        <v>2213</v>
      </c>
      <c r="D211" s="9" t="s">
        <v>2214</v>
      </c>
      <c r="E211" s="9" t="s">
        <v>21</v>
      </c>
      <c r="F211" s="9" t="s">
        <v>22</v>
      </c>
      <c r="G211" s="9">
        <v>315</v>
      </c>
      <c r="H211" s="9" t="s">
        <v>23</v>
      </c>
      <c r="I211" s="9" t="s">
        <v>254</v>
      </c>
      <c r="J211" s="9" t="s">
        <v>41</v>
      </c>
      <c r="K211" s="9" t="s">
        <v>26</v>
      </c>
      <c r="L211" s="9" t="s">
        <v>255</v>
      </c>
      <c r="M211" s="9">
        <v>5812</v>
      </c>
      <c r="N211" s="9" t="s">
        <v>255</v>
      </c>
      <c r="O211" s="9" t="s">
        <v>2215</v>
      </c>
      <c r="P211" s="9" t="s">
        <v>1578</v>
      </c>
      <c r="Q211" s="9" t="s">
        <v>1579</v>
      </c>
    </row>
    <row r="212" spans="1:17" ht="15" customHeight="1">
      <c r="A212" s="8">
        <v>211</v>
      </c>
      <c r="B212" s="8" t="s">
        <v>1574</v>
      </c>
      <c r="C212" s="8" t="s">
        <v>2216</v>
      </c>
      <c r="D212" s="8" t="s">
        <v>2217</v>
      </c>
      <c r="E212" s="8" t="s">
        <v>21</v>
      </c>
      <c r="F212" s="8" t="s">
        <v>22</v>
      </c>
      <c r="G212" s="8">
        <v>631</v>
      </c>
      <c r="H212" s="8" t="s">
        <v>23</v>
      </c>
      <c r="I212" s="8" t="s">
        <v>82</v>
      </c>
      <c r="J212" s="8" t="s">
        <v>41</v>
      </c>
      <c r="K212" s="8" t="s">
        <v>26</v>
      </c>
      <c r="L212" s="8" t="s">
        <v>83</v>
      </c>
      <c r="M212" s="8">
        <v>5411</v>
      </c>
      <c r="N212" s="8" t="s">
        <v>83</v>
      </c>
      <c r="O212" s="8" t="s">
        <v>2218</v>
      </c>
      <c r="P212" s="8" t="s">
        <v>1578</v>
      </c>
      <c r="Q212" s="8" t="s">
        <v>1579</v>
      </c>
    </row>
    <row r="213" spans="1:17" ht="15" customHeight="1">
      <c r="A213" s="9">
        <v>212</v>
      </c>
      <c r="B213" s="9" t="s">
        <v>1574</v>
      </c>
      <c r="C213" s="9" t="s">
        <v>2219</v>
      </c>
      <c r="D213" s="9" t="s">
        <v>2220</v>
      </c>
      <c r="E213" s="9" t="s">
        <v>21</v>
      </c>
      <c r="F213" s="9" t="s">
        <v>22</v>
      </c>
      <c r="G213" s="9">
        <v>315</v>
      </c>
      <c r="H213" s="9" t="s">
        <v>23</v>
      </c>
      <c r="I213" s="9" t="s">
        <v>254</v>
      </c>
      <c r="J213" s="9" t="s">
        <v>41</v>
      </c>
      <c r="K213" s="9" t="s">
        <v>26</v>
      </c>
      <c r="L213" s="9" t="s">
        <v>255</v>
      </c>
      <c r="M213" s="9">
        <v>5812</v>
      </c>
      <c r="N213" s="9" t="s">
        <v>255</v>
      </c>
      <c r="O213" s="9" t="s">
        <v>2221</v>
      </c>
      <c r="P213" s="9" t="s">
        <v>1578</v>
      </c>
      <c r="Q213" s="9" t="s">
        <v>1579</v>
      </c>
    </row>
    <row r="214" spans="1:17" ht="15" customHeight="1">
      <c r="A214" s="8">
        <v>213</v>
      </c>
      <c r="B214" s="8" t="s">
        <v>1574</v>
      </c>
      <c r="C214" s="8" t="s">
        <v>2222</v>
      </c>
      <c r="D214" s="8" t="s">
        <v>2223</v>
      </c>
      <c r="E214" s="8" t="s">
        <v>21</v>
      </c>
      <c r="F214" s="8" t="s">
        <v>22</v>
      </c>
      <c r="G214" s="8">
        <v>631</v>
      </c>
      <c r="H214" s="8" t="s">
        <v>23</v>
      </c>
      <c r="I214" s="8" t="s">
        <v>244</v>
      </c>
      <c r="J214" s="8" t="s">
        <v>41</v>
      </c>
      <c r="K214" s="8" t="s">
        <v>26</v>
      </c>
      <c r="L214" s="8" t="s">
        <v>245</v>
      </c>
      <c r="M214" s="8">
        <v>5411</v>
      </c>
      <c r="N214" s="8" t="s">
        <v>245</v>
      </c>
      <c r="O214" s="8" t="s">
        <v>2224</v>
      </c>
      <c r="P214" s="8" t="s">
        <v>1578</v>
      </c>
      <c r="Q214" s="8" t="s">
        <v>1579</v>
      </c>
    </row>
    <row r="215" spans="1:17" ht="15" customHeight="1">
      <c r="A215" s="9">
        <v>214</v>
      </c>
      <c r="B215" s="9" t="s">
        <v>1574</v>
      </c>
      <c r="C215" s="9" t="s">
        <v>2225</v>
      </c>
      <c r="D215" s="9" t="s">
        <v>2226</v>
      </c>
      <c r="E215" s="9" t="s">
        <v>21</v>
      </c>
      <c r="F215" s="9" t="s">
        <v>22</v>
      </c>
      <c r="G215" s="9">
        <v>1742</v>
      </c>
      <c r="H215" s="9" t="s">
        <v>23</v>
      </c>
      <c r="I215" s="9" t="s">
        <v>61</v>
      </c>
      <c r="J215" s="9" t="s">
        <v>25</v>
      </c>
      <c r="K215" s="9" t="s">
        <v>26</v>
      </c>
      <c r="L215" s="9" t="s">
        <v>62</v>
      </c>
      <c r="M215" s="9">
        <v>5999</v>
      </c>
      <c r="N215" s="9" t="s">
        <v>62</v>
      </c>
      <c r="O215" s="9" t="s">
        <v>2227</v>
      </c>
      <c r="P215" s="9" t="s">
        <v>1578</v>
      </c>
      <c r="Q215" s="9" t="s">
        <v>1579</v>
      </c>
    </row>
    <row r="216" spans="1:17" ht="15" customHeight="1">
      <c r="A216" s="8">
        <v>215</v>
      </c>
      <c r="B216" s="8" t="s">
        <v>1574</v>
      </c>
      <c r="C216" s="8" t="s">
        <v>2228</v>
      </c>
      <c r="D216" s="8" t="s">
        <v>2229</v>
      </c>
      <c r="E216" s="8" t="s">
        <v>21</v>
      </c>
      <c r="F216" s="8" t="s">
        <v>22</v>
      </c>
      <c r="G216" s="8">
        <v>2170</v>
      </c>
      <c r="H216" s="8" t="s">
        <v>23</v>
      </c>
      <c r="I216" s="8" t="s">
        <v>262</v>
      </c>
      <c r="J216" s="8" t="s">
        <v>25</v>
      </c>
      <c r="K216" s="8" t="s">
        <v>26</v>
      </c>
      <c r="L216" s="8" t="s">
        <v>263</v>
      </c>
      <c r="M216" s="8">
        <v>8299</v>
      </c>
      <c r="N216" s="8" t="s">
        <v>263</v>
      </c>
      <c r="O216" s="8" t="s">
        <v>2230</v>
      </c>
      <c r="P216" s="8" t="s">
        <v>1578</v>
      </c>
      <c r="Q216" s="8" t="s">
        <v>1579</v>
      </c>
    </row>
    <row r="217" spans="1:17" ht="15" customHeight="1">
      <c r="A217" s="9">
        <v>216</v>
      </c>
      <c r="B217" s="9" t="s">
        <v>1574</v>
      </c>
      <c r="C217" s="9" t="s">
        <v>2231</v>
      </c>
      <c r="D217" s="9" t="s">
        <v>2232</v>
      </c>
      <c r="E217" s="9" t="s">
        <v>21</v>
      </c>
      <c r="F217" s="9" t="s">
        <v>22</v>
      </c>
      <c r="G217" s="9">
        <v>530</v>
      </c>
      <c r="H217" s="9" t="s">
        <v>23</v>
      </c>
      <c r="I217" s="9" t="s">
        <v>111</v>
      </c>
      <c r="J217" s="9" t="s">
        <v>41</v>
      </c>
      <c r="K217" s="9" t="s">
        <v>26</v>
      </c>
      <c r="L217" s="9" t="s">
        <v>112</v>
      </c>
      <c r="M217" s="9">
        <v>5541</v>
      </c>
      <c r="N217" s="9" t="s">
        <v>112</v>
      </c>
      <c r="O217" s="9" t="s">
        <v>2233</v>
      </c>
      <c r="P217" s="9" t="s">
        <v>1578</v>
      </c>
      <c r="Q217" s="9" t="s">
        <v>1579</v>
      </c>
    </row>
    <row r="218" spans="1:17" ht="15" customHeight="1">
      <c r="A218" s="8">
        <v>217</v>
      </c>
      <c r="B218" s="8" t="s">
        <v>1574</v>
      </c>
      <c r="C218" s="8" t="s">
        <v>2234</v>
      </c>
      <c r="D218" s="8" t="s">
        <v>2235</v>
      </c>
      <c r="E218" s="8" t="s">
        <v>94</v>
      </c>
      <c r="F218" s="8" t="s">
        <v>22</v>
      </c>
      <c r="G218" s="8">
        <v>28300</v>
      </c>
      <c r="H218" s="8" t="s">
        <v>23</v>
      </c>
      <c r="I218" s="8" t="s">
        <v>1645</v>
      </c>
      <c r="J218" s="8" t="s">
        <v>96</v>
      </c>
      <c r="K218" s="8" t="s">
        <v>97</v>
      </c>
      <c r="L218" s="8" t="s">
        <v>1646</v>
      </c>
      <c r="M218" s="8"/>
      <c r="N218" s="8" t="s">
        <v>1646</v>
      </c>
      <c r="O218" s="8" t="s">
        <v>2236</v>
      </c>
      <c r="P218" s="8" t="s">
        <v>1578</v>
      </c>
      <c r="Q218" s="8" t="s">
        <v>1579</v>
      </c>
    </row>
    <row r="219" spans="1:17" ht="15" customHeight="1">
      <c r="A219" s="9">
        <v>218</v>
      </c>
      <c r="B219" s="9" t="s">
        <v>1574</v>
      </c>
      <c r="C219" s="9" t="s">
        <v>2237</v>
      </c>
      <c r="D219" s="9" t="s">
        <v>2238</v>
      </c>
      <c r="E219" s="9" t="s">
        <v>21</v>
      </c>
      <c r="F219" s="9" t="s">
        <v>22</v>
      </c>
      <c r="G219" s="9">
        <v>4000</v>
      </c>
      <c r="H219" s="9" t="s">
        <v>23</v>
      </c>
      <c r="I219" s="9" t="s">
        <v>1583</v>
      </c>
      <c r="J219" s="9" t="s">
        <v>36</v>
      </c>
      <c r="K219" s="9" t="s">
        <v>26</v>
      </c>
      <c r="L219" s="9" t="s">
        <v>1584</v>
      </c>
      <c r="M219" s="9">
        <v>6012</v>
      </c>
      <c r="N219" s="9" t="s">
        <v>1584</v>
      </c>
      <c r="O219" s="9" t="s">
        <v>2239</v>
      </c>
      <c r="P219" s="9" t="s">
        <v>1578</v>
      </c>
      <c r="Q219" s="9" t="s">
        <v>1579</v>
      </c>
    </row>
    <row r="220" spans="1:17" ht="15" customHeight="1">
      <c r="A220" s="8">
        <v>219</v>
      </c>
      <c r="B220" s="8" t="s">
        <v>1574</v>
      </c>
      <c r="C220" s="8" t="s">
        <v>2240</v>
      </c>
      <c r="D220" s="8" t="s">
        <v>2241</v>
      </c>
      <c r="E220" s="8" t="s">
        <v>21</v>
      </c>
      <c r="F220" s="8" t="s">
        <v>22</v>
      </c>
      <c r="G220" s="8">
        <v>789</v>
      </c>
      <c r="H220" s="8" t="s">
        <v>23</v>
      </c>
      <c r="I220" s="8" t="s">
        <v>318</v>
      </c>
      <c r="J220" s="8" t="s">
        <v>25</v>
      </c>
      <c r="K220" s="8" t="s">
        <v>26</v>
      </c>
      <c r="L220" s="8" t="s">
        <v>319</v>
      </c>
      <c r="M220" s="8">
        <v>5999</v>
      </c>
      <c r="N220" s="8" t="s">
        <v>319</v>
      </c>
      <c r="O220" s="8" t="s">
        <v>2242</v>
      </c>
      <c r="P220" s="8" t="s">
        <v>1578</v>
      </c>
      <c r="Q220" s="8" t="s">
        <v>1579</v>
      </c>
    </row>
    <row r="221" spans="1:17" ht="15" customHeight="1">
      <c r="A221" s="9">
        <v>220</v>
      </c>
      <c r="B221" s="9" t="s">
        <v>1574</v>
      </c>
      <c r="C221" s="9" t="s">
        <v>2243</v>
      </c>
      <c r="D221" s="9" t="s">
        <v>2244</v>
      </c>
      <c r="E221" s="9" t="s">
        <v>21</v>
      </c>
      <c r="F221" s="9" t="s">
        <v>22</v>
      </c>
      <c r="G221" s="9">
        <v>1065</v>
      </c>
      <c r="H221" s="9" t="s">
        <v>23</v>
      </c>
      <c r="I221" s="9" t="s">
        <v>111</v>
      </c>
      <c r="J221" s="9" t="s">
        <v>41</v>
      </c>
      <c r="K221" s="9" t="s">
        <v>26</v>
      </c>
      <c r="L221" s="9" t="s">
        <v>112</v>
      </c>
      <c r="M221" s="9">
        <v>5541</v>
      </c>
      <c r="N221" s="9" t="s">
        <v>112</v>
      </c>
      <c r="O221" s="9" t="s">
        <v>2245</v>
      </c>
      <c r="P221" s="9" t="s">
        <v>1578</v>
      </c>
      <c r="Q221" s="9" t="s">
        <v>1579</v>
      </c>
    </row>
    <row r="222" spans="1:17" ht="15" customHeight="1">
      <c r="A222" s="8">
        <v>221</v>
      </c>
      <c r="B222" s="8" t="s">
        <v>1574</v>
      </c>
      <c r="C222" s="8" t="s">
        <v>2246</v>
      </c>
      <c r="D222" s="8" t="s">
        <v>2247</v>
      </c>
      <c r="E222" s="8" t="s">
        <v>21</v>
      </c>
      <c r="F222" s="8" t="s">
        <v>22</v>
      </c>
      <c r="G222" s="8">
        <v>613</v>
      </c>
      <c r="H222" s="8" t="s">
        <v>23</v>
      </c>
      <c r="I222" s="8" t="s">
        <v>363</v>
      </c>
      <c r="J222" s="8" t="s">
        <v>41</v>
      </c>
      <c r="K222" s="8" t="s">
        <v>26</v>
      </c>
      <c r="L222" s="8" t="s">
        <v>364</v>
      </c>
      <c r="M222" s="8">
        <v>5999</v>
      </c>
      <c r="N222" s="8" t="s">
        <v>364</v>
      </c>
      <c r="O222" s="8" t="s">
        <v>2248</v>
      </c>
      <c r="P222" s="8" t="s">
        <v>1578</v>
      </c>
      <c r="Q222" s="8" t="s">
        <v>1579</v>
      </c>
    </row>
    <row r="223" spans="1:17" ht="15" customHeight="1">
      <c r="A223" s="9">
        <v>222</v>
      </c>
      <c r="B223" s="9" t="s">
        <v>1574</v>
      </c>
      <c r="C223" s="9" t="s">
        <v>2249</v>
      </c>
      <c r="D223" s="9" t="s">
        <v>2250</v>
      </c>
      <c r="E223" s="9" t="s">
        <v>21</v>
      </c>
      <c r="F223" s="9" t="s">
        <v>22</v>
      </c>
      <c r="G223" s="9">
        <v>377</v>
      </c>
      <c r="H223" s="9" t="s">
        <v>23</v>
      </c>
      <c r="I223" s="9" t="s">
        <v>574</v>
      </c>
      <c r="J223" s="9" t="s">
        <v>41</v>
      </c>
      <c r="K223" s="9" t="s">
        <v>26</v>
      </c>
      <c r="L223" s="9" t="s">
        <v>575</v>
      </c>
      <c r="M223" s="9">
        <v>5812</v>
      </c>
      <c r="N223" s="9" t="s">
        <v>575</v>
      </c>
      <c r="O223" s="9" t="s">
        <v>2251</v>
      </c>
      <c r="P223" s="9" t="s">
        <v>1578</v>
      </c>
      <c r="Q223" s="9" t="s">
        <v>1579</v>
      </c>
    </row>
    <row r="224" spans="1:17" ht="15" customHeight="1">
      <c r="A224" s="8">
        <v>223</v>
      </c>
      <c r="B224" s="8" t="s">
        <v>1574</v>
      </c>
      <c r="C224" s="8" t="s">
        <v>2252</v>
      </c>
      <c r="D224" s="8" t="s">
        <v>2253</v>
      </c>
      <c r="E224" s="8" t="s">
        <v>21</v>
      </c>
      <c r="F224" s="8" t="s">
        <v>22</v>
      </c>
      <c r="G224" s="8">
        <v>850</v>
      </c>
      <c r="H224" s="8" t="s">
        <v>23</v>
      </c>
      <c r="I224" s="8" t="s">
        <v>180</v>
      </c>
      <c r="J224" s="8" t="s">
        <v>41</v>
      </c>
      <c r="K224" s="8" t="s">
        <v>26</v>
      </c>
      <c r="L224" s="8" t="s">
        <v>181</v>
      </c>
      <c r="M224" s="8">
        <v>5411</v>
      </c>
      <c r="N224" s="8" t="s">
        <v>181</v>
      </c>
      <c r="O224" s="8" t="s">
        <v>2254</v>
      </c>
      <c r="P224" s="8" t="s">
        <v>1578</v>
      </c>
      <c r="Q224" s="8" t="s">
        <v>1579</v>
      </c>
    </row>
    <row r="225" spans="1:17" ht="15" customHeight="1">
      <c r="A225" s="9">
        <v>224</v>
      </c>
      <c r="B225" s="9" t="s">
        <v>1574</v>
      </c>
      <c r="C225" s="9" t="s">
        <v>2255</v>
      </c>
      <c r="D225" s="9" t="s">
        <v>2256</v>
      </c>
      <c r="E225" s="9" t="s">
        <v>21</v>
      </c>
      <c r="F225" s="9" t="s">
        <v>22</v>
      </c>
      <c r="G225" s="9">
        <v>2316</v>
      </c>
      <c r="H225" s="9" t="s">
        <v>23</v>
      </c>
      <c r="I225" s="9" t="s">
        <v>119</v>
      </c>
      <c r="J225" s="9" t="s">
        <v>25</v>
      </c>
      <c r="K225" s="9" t="s">
        <v>26</v>
      </c>
      <c r="L225" s="9" t="s">
        <v>120</v>
      </c>
      <c r="M225" s="9">
        <v>8299</v>
      </c>
      <c r="N225" s="9" t="s">
        <v>120</v>
      </c>
      <c r="O225" s="9" t="s">
        <v>2257</v>
      </c>
      <c r="P225" s="9" t="s">
        <v>1578</v>
      </c>
      <c r="Q225" s="9" t="s">
        <v>1579</v>
      </c>
    </row>
    <row r="226" spans="1:17" ht="15" customHeight="1">
      <c r="A226" s="8">
        <v>225</v>
      </c>
      <c r="B226" s="8" t="s">
        <v>1574</v>
      </c>
      <c r="C226" s="8" t="s">
        <v>2258</v>
      </c>
      <c r="D226" s="8" t="s">
        <v>2259</v>
      </c>
      <c r="E226" s="8" t="s">
        <v>21</v>
      </c>
      <c r="F226" s="8" t="s">
        <v>22</v>
      </c>
      <c r="G226" s="8">
        <v>376</v>
      </c>
      <c r="H226" s="8" t="s">
        <v>23</v>
      </c>
      <c r="I226" s="8" t="s">
        <v>138</v>
      </c>
      <c r="J226" s="8" t="s">
        <v>41</v>
      </c>
      <c r="K226" s="8" t="s">
        <v>26</v>
      </c>
      <c r="L226" s="8" t="s">
        <v>139</v>
      </c>
      <c r="M226" s="8">
        <v>5812</v>
      </c>
      <c r="N226" s="8" t="s">
        <v>139</v>
      </c>
      <c r="O226" s="8" t="s">
        <v>2260</v>
      </c>
      <c r="P226" s="8" t="s">
        <v>1578</v>
      </c>
      <c r="Q226" s="8" t="s">
        <v>1579</v>
      </c>
    </row>
    <row r="227" spans="1:17" ht="15" customHeight="1">
      <c r="A227" s="9">
        <v>226</v>
      </c>
      <c r="B227" s="9" t="s">
        <v>1574</v>
      </c>
      <c r="C227" s="9" t="s">
        <v>2261</v>
      </c>
      <c r="D227" s="9" t="s">
        <v>2262</v>
      </c>
      <c r="E227" s="9" t="s">
        <v>21</v>
      </c>
      <c r="F227" s="9" t="s">
        <v>22</v>
      </c>
      <c r="G227" s="9">
        <v>850</v>
      </c>
      <c r="H227" s="9" t="s">
        <v>23</v>
      </c>
      <c r="I227" s="9" t="s">
        <v>244</v>
      </c>
      <c r="J227" s="9" t="s">
        <v>41</v>
      </c>
      <c r="K227" s="9" t="s">
        <v>26</v>
      </c>
      <c r="L227" s="9" t="s">
        <v>245</v>
      </c>
      <c r="M227" s="9">
        <v>5411</v>
      </c>
      <c r="N227" s="9" t="s">
        <v>245</v>
      </c>
      <c r="O227" s="9" t="s">
        <v>2263</v>
      </c>
      <c r="P227" s="9" t="s">
        <v>1578</v>
      </c>
      <c r="Q227" s="9" t="s">
        <v>1579</v>
      </c>
    </row>
    <row r="228" spans="1:17" ht="15" customHeight="1">
      <c r="A228" s="8">
        <v>227</v>
      </c>
      <c r="B228" s="8" t="s">
        <v>1574</v>
      </c>
      <c r="C228" s="8" t="s">
        <v>2264</v>
      </c>
      <c r="D228" s="8" t="s">
        <v>2265</v>
      </c>
      <c r="E228" s="8" t="s">
        <v>21</v>
      </c>
      <c r="F228" s="8" t="s">
        <v>22</v>
      </c>
      <c r="G228" s="8">
        <v>377</v>
      </c>
      <c r="H228" s="8" t="s">
        <v>23</v>
      </c>
      <c r="I228" s="8" t="s">
        <v>254</v>
      </c>
      <c r="J228" s="8" t="s">
        <v>41</v>
      </c>
      <c r="K228" s="8" t="s">
        <v>26</v>
      </c>
      <c r="L228" s="8" t="s">
        <v>255</v>
      </c>
      <c r="M228" s="8">
        <v>5812</v>
      </c>
      <c r="N228" s="8" t="s">
        <v>255</v>
      </c>
      <c r="O228" s="8" t="s">
        <v>2266</v>
      </c>
      <c r="P228" s="8" t="s">
        <v>1578</v>
      </c>
      <c r="Q228" s="8" t="s">
        <v>1579</v>
      </c>
    </row>
    <row r="229" spans="1:17" ht="15" customHeight="1">
      <c r="A229" s="9">
        <v>228</v>
      </c>
      <c r="B229" s="9" t="s">
        <v>1574</v>
      </c>
      <c r="C229" s="9" t="s">
        <v>2267</v>
      </c>
      <c r="D229" s="9" t="s">
        <v>2268</v>
      </c>
      <c r="E229" s="9" t="s">
        <v>21</v>
      </c>
      <c r="F229" s="9" t="s">
        <v>22</v>
      </c>
      <c r="G229" s="9">
        <v>850</v>
      </c>
      <c r="H229" s="9" t="s">
        <v>23</v>
      </c>
      <c r="I229" s="9" t="s">
        <v>180</v>
      </c>
      <c r="J229" s="9" t="s">
        <v>41</v>
      </c>
      <c r="K229" s="9" t="s">
        <v>26</v>
      </c>
      <c r="L229" s="9" t="s">
        <v>181</v>
      </c>
      <c r="M229" s="9">
        <v>5411</v>
      </c>
      <c r="N229" s="9" t="s">
        <v>181</v>
      </c>
      <c r="O229" s="9" t="s">
        <v>2269</v>
      </c>
      <c r="P229" s="9" t="s">
        <v>1578</v>
      </c>
      <c r="Q229" s="9" t="s">
        <v>1579</v>
      </c>
    </row>
    <row r="230" spans="1:17" ht="15" customHeight="1">
      <c r="A230" s="8">
        <v>229</v>
      </c>
      <c r="B230" s="8" t="s">
        <v>1574</v>
      </c>
      <c r="C230" s="8" t="s">
        <v>2270</v>
      </c>
      <c r="D230" s="8" t="s">
        <v>2271</v>
      </c>
      <c r="E230" s="8" t="s">
        <v>21</v>
      </c>
      <c r="F230" s="8" t="s">
        <v>22</v>
      </c>
      <c r="G230" s="8">
        <v>1167</v>
      </c>
      <c r="H230" s="8" t="s">
        <v>23</v>
      </c>
      <c r="I230" s="8" t="s">
        <v>78</v>
      </c>
      <c r="J230" s="8" t="s">
        <v>41</v>
      </c>
      <c r="K230" s="8" t="s">
        <v>26</v>
      </c>
      <c r="L230" s="8" t="s">
        <v>79</v>
      </c>
      <c r="M230" s="8">
        <v>7996</v>
      </c>
      <c r="N230" s="8" t="s">
        <v>79</v>
      </c>
      <c r="O230" s="8" t="s">
        <v>2272</v>
      </c>
      <c r="P230" s="8" t="s">
        <v>1578</v>
      </c>
      <c r="Q230" s="8" t="s">
        <v>1579</v>
      </c>
    </row>
    <row r="231" spans="1:17" ht="15" customHeight="1">
      <c r="A231" s="9">
        <v>230</v>
      </c>
      <c r="B231" s="9" t="s">
        <v>1574</v>
      </c>
      <c r="C231" s="9" t="s">
        <v>2273</v>
      </c>
      <c r="D231" s="9" t="s">
        <v>2274</v>
      </c>
      <c r="E231" s="9" t="s">
        <v>21</v>
      </c>
      <c r="F231" s="9" t="s">
        <v>22</v>
      </c>
      <c r="G231" s="9">
        <v>1087</v>
      </c>
      <c r="H231" s="9" t="s">
        <v>23</v>
      </c>
      <c r="I231" s="9" t="s">
        <v>56</v>
      </c>
      <c r="J231" s="9" t="s">
        <v>41</v>
      </c>
      <c r="K231" s="9" t="s">
        <v>26</v>
      </c>
      <c r="L231" s="9" t="s">
        <v>57</v>
      </c>
      <c r="M231" s="9">
        <v>5999</v>
      </c>
      <c r="N231" s="9" t="s">
        <v>57</v>
      </c>
      <c r="O231" s="9" t="s">
        <v>2275</v>
      </c>
      <c r="P231" s="9" t="s">
        <v>1578</v>
      </c>
      <c r="Q231" s="9" t="s">
        <v>1579</v>
      </c>
    </row>
    <row r="232" spans="1:17" ht="15" customHeight="1">
      <c r="A232" s="8">
        <v>231</v>
      </c>
      <c r="B232" s="8" t="s">
        <v>1574</v>
      </c>
      <c r="C232" s="8" t="s">
        <v>2276</v>
      </c>
      <c r="D232" s="8" t="s">
        <v>2277</v>
      </c>
      <c r="E232" s="8" t="s">
        <v>21</v>
      </c>
      <c r="F232" s="8" t="s">
        <v>22</v>
      </c>
      <c r="G232" s="8">
        <v>789</v>
      </c>
      <c r="H232" s="8" t="s">
        <v>23</v>
      </c>
      <c r="I232" s="8" t="s">
        <v>212</v>
      </c>
      <c r="J232" s="8" t="s">
        <v>25</v>
      </c>
      <c r="K232" s="8" t="s">
        <v>26</v>
      </c>
      <c r="L232" s="8" t="s">
        <v>213</v>
      </c>
      <c r="M232" s="8">
        <v>5999</v>
      </c>
      <c r="N232" s="8" t="s">
        <v>213</v>
      </c>
      <c r="O232" s="8" t="s">
        <v>2278</v>
      </c>
      <c r="P232" s="8" t="s">
        <v>1578</v>
      </c>
      <c r="Q232" s="8" t="s">
        <v>1579</v>
      </c>
    </row>
    <row r="233" spans="1:17" ht="15" customHeight="1">
      <c r="A233" s="9">
        <v>232</v>
      </c>
      <c r="B233" s="9" t="s">
        <v>1574</v>
      </c>
      <c r="C233" s="9" t="s">
        <v>2279</v>
      </c>
      <c r="D233" s="9" t="s">
        <v>2280</v>
      </c>
      <c r="E233" s="9" t="s">
        <v>21</v>
      </c>
      <c r="F233" s="9" t="s">
        <v>22</v>
      </c>
      <c r="G233" s="9">
        <v>613</v>
      </c>
      <c r="H233" s="9" t="s">
        <v>23</v>
      </c>
      <c r="I233" s="9" t="s">
        <v>363</v>
      </c>
      <c r="J233" s="9" t="s">
        <v>41</v>
      </c>
      <c r="K233" s="9" t="s">
        <v>26</v>
      </c>
      <c r="L233" s="9" t="s">
        <v>364</v>
      </c>
      <c r="M233" s="9">
        <v>5999</v>
      </c>
      <c r="N233" s="9" t="s">
        <v>364</v>
      </c>
      <c r="O233" s="9" t="s">
        <v>2281</v>
      </c>
      <c r="P233" s="9" t="s">
        <v>1578</v>
      </c>
      <c r="Q233" s="9" t="s">
        <v>1579</v>
      </c>
    </row>
    <row r="234" spans="1:17" ht="15" customHeight="1">
      <c r="A234" s="8">
        <v>233</v>
      </c>
      <c r="B234" s="8" t="s">
        <v>1574</v>
      </c>
      <c r="C234" s="8" t="s">
        <v>2282</v>
      </c>
      <c r="D234" s="8" t="s">
        <v>2283</v>
      </c>
      <c r="E234" s="8" t="s">
        <v>21</v>
      </c>
      <c r="F234" s="8" t="s">
        <v>22</v>
      </c>
      <c r="G234" s="8">
        <v>376</v>
      </c>
      <c r="H234" s="8" t="s">
        <v>23</v>
      </c>
      <c r="I234" s="8" t="s">
        <v>115</v>
      </c>
      <c r="J234" s="8" t="s">
        <v>41</v>
      </c>
      <c r="K234" s="8" t="s">
        <v>26</v>
      </c>
      <c r="L234" s="8" t="s">
        <v>116</v>
      </c>
      <c r="M234" s="8">
        <v>5812</v>
      </c>
      <c r="N234" s="8" t="s">
        <v>116</v>
      </c>
      <c r="O234" s="8" t="s">
        <v>2284</v>
      </c>
      <c r="P234" s="8" t="s">
        <v>1578</v>
      </c>
      <c r="Q234" s="8" t="s">
        <v>1579</v>
      </c>
    </row>
    <row r="235" spans="1:17" ht="15" customHeight="1">
      <c r="A235" s="9">
        <v>234</v>
      </c>
      <c r="B235" s="9" t="s">
        <v>1574</v>
      </c>
      <c r="C235" s="9" t="s">
        <v>2285</v>
      </c>
      <c r="D235" s="9" t="s">
        <v>2286</v>
      </c>
      <c r="E235" s="9" t="s">
        <v>21</v>
      </c>
      <c r="F235" s="9" t="s">
        <v>22</v>
      </c>
      <c r="G235" s="9">
        <v>1108</v>
      </c>
      <c r="H235" s="9" t="s">
        <v>23</v>
      </c>
      <c r="I235" s="9" t="s">
        <v>90</v>
      </c>
      <c r="J235" s="9" t="s">
        <v>36</v>
      </c>
      <c r="K235" s="9" t="s">
        <v>26</v>
      </c>
      <c r="L235" s="9" t="s">
        <v>91</v>
      </c>
      <c r="M235" s="9">
        <v>4900</v>
      </c>
      <c r="N235" s="9" t="s">
        <v>91</v>
      </c>
      <c r="O235" s="9" t="s">
        <v>2287</v>
      </c>
      <c r="P235" s="9" t="s">
        <v>1578</v>
      </c>
      <c r="Q235" s="9" t="s">
        <v>1579</v>
      </c>
    </row>
    <row r="236" spans="1:17" ht="15" customHeight="1">
      <c r="A236" s="8">
        <v>235</v>
      </c>
      <c r="B236" s="8" t="s">
        <v>1574</v>
      </c>
      <c r="C236" s="8" t="s">
        <v>2288</v>
      </c>
      <c r="D236" s="8" t="s">
        <v>2289</v>
      </c>
      <c r="E236" s="8" t="s">
        <v>21</v>
      </c>
      <c r="F236" s="8" t="s">
        <v>22</v>
      </c>
      <c r="G236" s="8">
        <v>376</v>
      </c>
      <c r="H236" s="8" t="s">
        <v>23</v>
      </c>
      <c r="I236" s="8" t="s">
        <v>254</v>
      </c>
      <c r="J236" s="8" t="s">
        <v>41</v>
      </c>
      <c r="K236" s="8" t="s">
        <v>26</v>
      </c>
      <c r="L236" s="8" t="s">
        <v>255</v>
      </c>
      <c r="M236" s="8">
        <v>5812</v>
      </c>
      <c r="N236" s="8" t="s">
        <v>255</v>
      </c>
      <c r="O236" s="8" t="s">
        <v>2290</v>
      </c>
      <c r="P236" s="8" t="s">
        <v>1578</v>
      </c>
      <c r="Q236" s="8" t="s">
        <v>1579</v>
      </c>
    </row>
    <row r="237" spans="1:17" ht="15" customHeight="1">
      <c r="A237" s="9">
        <v>236</v>
      </c>
      <c r="B237" s="9" t="s">
        <v>1574</v>
      </c>
      <c r="C237" s="9" t="s">
        <v>2291</v>
      </c>
      <c r="D237" s="9" t="s">
        <v>2292</v>
      </c>
      <c r="E237" s="9" t="s">
        <v>94</v>
      </c>
      <c r="F237" s="9" t="s">
        <v>22</v>
      </c>
      <c r="G237" s="9">
        <v>27900</v>
      </c>
      <c r="H237" s="9" t="s">
        <v>23</v>
      </c>
      <c r="I237" s="9" t="s">
        <v>1645</v>
      </c>
      <c r="J237" s="9" t="s">
        <v>96</v>
      </c>
      <c r="K237" s="9" t="s">
        <v>97</v>
      </c>
      <c r="L237" s="9" t="s">
        <v>1646</v>
      </c>
      <c r="M237" s="9"/>
      <c r="N237" s="9" t="s">
        <v>1646</v>
      </c>
      <c r="O237" s="9" t="s">
        <v>2293</v>
      </c>
      <c r="P237" s="9" t="s">
        <v>1578</v>
      </c>
      <c r="Q237" s="9" t="s">
        <v>1579</v>
      </c>
    </row>
    <row r="238" spans="1:17" ht="15" customHeight="1">
      <c r="A238" s="8">
        <v>237</v>
      </c>
      <c r="B238" s="8" t="s">
        <v>1574</v>
      </c>
      <c r="C238" s="8" t="s">
        <v>2294</v>
      </c>
      <c r="D238" s="8" t="s">
        <v>2295</v>
      </c>
      <c r="E238" s="8" t="s">
        <v>21</v>
      </c>
      <c r="F238" s="8" t="s">
        <v>22</v>
      </c>
      <c r="G238" s="8">
        <v>618</v>
      </c>
      <c r="H238" s="8" t="s">
        <v>23</v>
      </c>
      <c r="I238" s="8" t="s">
        <v>174</v>
      </c>
      <c r="J238" s="8" t="s">
        <v>36</v>
      </c>
      <c r="K238" s="8" t="s">
        <v>26</v>
      </c>
      <c r="L238" s="8" t="s">
        <v>175</v>
      </c>
      <c r="M238" s="8">
        <v>4813</v>
      </c>
      <c r="N238" s="8" t="s">
        <v>175</v>
      </c>
      <c r="O238" s="8" t="s">
        <v>2296</v>
      </c>
      <c r="P238" s="8" t="s">
        <v>1578</v>
      </c>
      <c r="Q238" s="8" t="s">
        <v>1579</v>
      </c>
    </row>
    <row r="239" spans="1:17" ht="15" customHeight="1">
      <c r="A239" s="9">
        <v>238</v>
      </c>
      <c r="B239" s="9" t="s">
        <v>1574</v>
      </c>
      <c r="C239" s="9" t="s">
        <v>2297</v>
      </c>
      <c r="D239" s="9" t="s">
        <v>2298</v>
      </c>
      <c r="E239" s="9" t="s">
        <v>21</v>
      </c>
      <c r="F239" s="9" t="s">
        <v>22</v>
      </c>
      <c r="G239" s="9">
        <v>503</v>
      </c>
      <c r="H239" s="9" t="s">
        <v>23</v>
      </c>
      <c r="I239" s="9" t="s">
        <v>560</v>
      </c>
      <c r="J239" s="9" t="s">
        <v>331</v>
      </c>
      <c r="K239" s="9" t="s">
        <v>26</v>
      </c>
      <c r="L239" s="9" t="s">
        <v>561</v>
      </c>
      <c r="M239" s="9">
        <v>6011</v>
      </c>
      <c r="N239" s="9" t="s">
        <v>561</v>
      </c>
      <c r="O239" s="9" t="s">
        <v>2299</v>
      </c>
      <c r="P239" s="9" t="s">
        <v>1578</v>
      </c>
      <c r="Q239" s="9" t="s">
        <v>1579</v>
      </c>
    </row>
    <row r="240" spans="1:17" ht="15" customHeight="1">
      <c r="A240" s="8">
        <v>239</v>
      </c>
      <c r="B240" s="8" t="s">
        <v>1574</v>
      </c>
      <c r="C240" s="8" t="s">
        <v>2300</v>
      </c>
      <c r="D240" s="8" t="s">
        <v>2301</v>
      </c>
      <c r="E240" s="8" t="s">
        <v>21</v>
      </c>
      <c r="F240" s="8" t="s">
        <v>22</v>
      </c>
      <c r="G240" s="8">
        <v>548</v>
      </c>
      <c r="H240" s="8" t="s">
        <v>23</v>
      </c>
      <c r="I240" s="8" t="s">
        <v>695</v>
      </c>
      <c r="J240" s="8" t="s">
        <v>41</v>
      </c>
      <c r="K240" s="8" t="s">
        <v>26</v>
      </c>
      <c r="L240" s="8" t="s">
        <v>696</v>
      </c>
      <c r="M240" s="8">
        <v>7996</v>
      </c>
      <c r="N240" s="8" t="s">
        <v>696</v>
      </c>
      <c r="O240" s="8" t="s">
        <v>2302</v>
      </c>
      <c r="P240" s="8" t="s">
        <v>1578</v>
      </c>
      <c r="Q240" s="8" t="s">
        <v>1579</v>
      </c>
    </row>
    <row r="241" spans="1:17" ht="15" customHeight="1">
      <c r="A241" s="9">
        <v>240</v>
      </c>
      <c r="B241" s="9" t="s">
        <v>1574</v>
      </c>
      <c r="C241" s="9" t="s">
        <v>2303</v>
      </c>
      <c r="D241" s="9" t="s">
        <v>2304</v>
      </c>
      <c r="E241" s="9" t="s">
        <v>21</v>
      </c>
      <c r="F241" s="9" t="s">
        <v>22</v>
      </c>
      <c r="G241" s="9">
        <v>4000</v>
      </c>
      <c r="H241" s="9" t="s">
        <v>23</v>
      </c>
      <c r="I241" s="9" t="s">
        <v>1583</v>
      </c>
      <c r="J241" s="9" t="s">
        <v>36</v>
      </c>
      <c r="K241" s="9" t="s">
        <v>26</v>
      </c>
      <c r="L241" s="9" t="s">
        <v>1584</v>
      </c>
      <c r="M241" s="9">
        <v>6012</v>
      </c>
      <c r="N241" s="9" t="s">
        <v>1584</v>
      </c>
      <c r="O241" s="9" t="s">
        <v>2305</v>
      </c>
      <c r="P241" s="9" t="s">
        <v>1578</v>
      </c>
      <c r="Q241" s="9" t="s">
        <v>1579</v>
      </c>
    </row>
    <row r="242" spans="1:17" ht="15" customHeight="1">
      <c r="A242" s="8">
        <v>241</v>
      </c>
      <c r="B242" s="8" t="s">
        <v>1574</v>
      </c>
      <c r="C242" s="8" t="s">
        <v>2306</v>
      </c>
      <c r="D242" s="8" t="s">
        <v>2307</v>
      </c>
      <c r="E242" s="8" t="s">
        <v>21</v>
      </c>
      <c r="F242" s="8" t="s">
        <v>22</v>
      </c>
      <c r="G242" s="8">
        <v>503</v>
      </c>
      <c r="H242" s="8" t="s">
        <v>23</v>
      </c>
      <c r="I242" s="8" t="s">
        <v>111</v>
      </c>
      <c r="J242" s="8" t="s">
        <v>41</v>
      </c>
      <c r="K242" s="8" t="s">
        <v>26</v>
      </c>
      <c r="L242" s="8" t="s">
        <v>112</v>
      </c>
      <c r="M242" s="8">
        <v>5541</v>
      </c>
      <c r="N242" s="8" t="s">
        <v>112</v>
      </c>
      <c r="O242" s="8" t="s">
        <v>2308</v>
      </c>
      <c r="P242" s="8" t="s">
        <v>1578</v>
      </c>
      <c r="Q242" s="8" t="s">
        <v>1579</v>
      </c>
    </row>
    <row r="243" spans="1:17" ht="15" customHeight="1">
      <c r="A243" s="9">
        <v>242</v>
      </c>
      <c r="B243" s="9" t="s">
        <v>1574</v>
      </c>
      <c r="C243" s="9" t="s">
        <v>2309</v>
      </c>
      <c r="D243" s="9" t="s">
        <v>2310</v>
      </c>
      <c r="E243" s="9" t="s">
        <v>21</v>
      </c>
      <c r="F243" s="9" t="s">
        <v>22</v>
      </c>
      <c r="G243" s="9">
        <v>904</v>
      </c>
      <c r="H243" s="9" t="s">
        <v>23</v>
      </c>
      <c r="I243" s="9" t="s">
        <v>159</v>
      </c>
      <c r="J243" s="9" t="s">
        <v>25</v>
      </c>
      <c r="K243" s="9" t="s">
        <v>26</v>
      </c>
      <c r="L243" s="9" t="s">
        <v>160</v>
      </c>
      <c r="M243" s="9">
        <v>5999</v>
      </c>
      <c r="N243" s="9" t="s">
        <v>160</v>
      </c>
      <c r="O243" s="9" t="s">
        <v>2311</v>
      </c>
      <c r="P243" s="9" t="s">
        <v>1578</v>
      </c>
      <c r="Q243" s="9" t="s">
        <v>1579</v>
      </c>
    </row>
    <row r="244" spans="1:17" ht="15" customHeight="1">
      <c r="A244" s="8">
        <v>243</v>
      </c>
      <c r="B244" s="8" t="s">
        <v>1574</v>
      </c>
      <c r="C244" s="8" t="s">
        <v>2312</v>
      </c>
      <c r="D244" s="8" t="s">
        <v>2313</v>
      </c>
      <c r="E244" s="8" t="s">
        <v>21</v>
      </c>
      <c r="F244" s="8" t="s">
        <v>22</v>
      </c>
      <c r="G244" s="8">
        <v>904</v>
      </c>
      <c r="H244" s="8" t="s">
        <v>23</v>
      </c>
      <c r="I244" s="8" t="s">
        <v>127</v>
      </c>
      <c r="J244" s="8" t="s">
        <v>25</v>
      </c>
      <c r="K244" s="8" t="s">
        <v>26</v>
      </c>
      <c r="L244" s="8" t="s">
        <v>128</v>
      </c>
      <c r="M244" s="8">
        <v>5999</v>
      </c>
      <c r="N244" s="8" t="s">
        <v>128</v>
      </c>
      <c r="O244" s="8" t="s">
        <v>2314</v>
      </c>
      <c r="P244" s="8" t="s">
        <v>1578</v>
      </c>
      <c r="Q244" s="8" t="s">
        <v>1579</v>
      </c>
    </row>
    <row r="245" spans="1:17" ht="15" customHeight="1">
      <c r="A245" s="9">
        <v>244</v>
      </c>
      <c r="B245" s="9" t="s">
        <v>1574</v>
      </c>
      <c r="C245" s="9" t="s">
        <v>2315</v>
      </c>
      <c r="D245" s="9" t="s">
        <v>2316</v>
      </c>
      <c r="E245" s="9" t="s">
        <v>21</v>
      </c>
      <c r="F245" s="9" t="s">
        <v>22</v>
      </c>
      <c r="G245" s="9">
        <v>1175</v>
      </c>
      <c r="H245" s="9" t="s">
        <v>23</v>
      </c>
      <c r="I245" s="9" t="s">
        <v>198</v>
      </c>
      <c r="J245" s="9" t="s">
        <v>36</v>
      </c>
      <c r="K245" s="9" t="s">
        <v>26</v>
      </c>
      <c r="L245" s="9" t="s">
        <v>199</v>
      </c>
      <c r="M245" s="9">
        <v>4900</v>
      </c>
      <c r="N245" s="9" t="s">
        <v>199</v>
      </c>
      <c r="O245" s="9" t="s">
        <v>2317</v>
      </c>
      <c r="P245" s="9" t="s">
        <v>1578</v>
      </c>
      <c r="Q245" s="9" t="s">
        <v>1579</v>
      </c>
    </row>
    <row r="246" spans="1:17" ht="15" customHeight="1">
      <c r="A246" s="8">
        <v>245</v>
      </c>
      <c r="B246" s="8" t="s">
        <v>1574</v>
      </c>
      <c r="C246" s="8" t="s">
        <v>2318</v>
      </c>
      <c r="D246" s="8" t="s">
        <v>2319</v>
      </c>
      <c r="E246" s="8" t="s">
        <v>21</v>
      </c>
      <c r="F246" s="8" t="s">
        <v>22</v>
      </c>
      <c r="G246" s="8">
        <v>817</v>
      </c>
      <c r="H246" s="8" t="s">
        <v>23</v>
      </c>
      <c r="I246" s="8" t="s">
        <v>74</v>
      </c>
      <c r="J246" s="8" t="s">
        <v>41</v>
      </c>
      <c r="K246" s="8" t="s">
        <v>26</v>
      </c>
      <c r="L246" s="8" t="s">
        <v>75</v>
      </c>
      <c r="M246" s="8">
        <v>5812</v>
      </c>
      <c r="N246" s="8" t="s">
        <v>75</v>
      </c>
      <c r="O246" s="8" t="s">
        <v>2320</v>
      </c>
      <c r="P246" s="8" t="s">
        <v>1578</v>
      </c>
      <c r="Q246" s="8" t="s">
        <v>1579</v>
      </c>
    </row>
    <row r="247" spans="1:17" ht="15" customHeight="1">
      <c r="A247" s="9">
        <v>246</v>
      </c>
      <c r="B247" s="9" t="s">
        <v>1574</v>
      </c>
      <c r="C247" s="9" t="s">
        <v>2321</v>
      </c>
      <c r="D247" s="9" t="s">
        <v>2322</v>
      </c>
      <c r="E247" s="9" t="s">
        <v>21</v>
      </c>
      <c r="F247" s="9" t="s">
        <v>22</v>
      </c>
      <c r="G247" s="9">
        <v>391</v>
      </c>
      <c r="H247" s="9" t="s">
        <v>23</v>
      </c>
      <c r="I247" s="9" t="s">
        <v>391</v>
      </c>
      <c r="J247" s="9" t="s">
        <v>331</v>
      </c>
      <c r="K247" s="9" t="s">
        <v>26</v>
      </c>
      <c r="L247" s="9" t="s">
        <v>392</v>
      </c>
      <c r="M247" s="9">
        <v>6011</v>
      </c>
      <c r="N247" s="9" t="s">
        <v>392</v>
      </c>
      <c r="O247" s="9" t="s">
        <v>2323</v>
      </c>
      <c r="P247" s="9" t="s">
        <v>1578</v>
      </c>
      <c r="Q247" s="9" t="s">
        <v>1579</v>
      </c>
    </row>
    <row r="248" spans="1:17" ht="15" customHeight="1">
      <c r="A248" s="8">
        <v>247</v>
      </c>
      <c r="B248" s="8" t="s">
        <v>1574</v>
      </c>
      <c r="C248" s="8" t="s">
        <v>2324</v>
      </c>
      <c r="D248" s="8" t="s">
        <v>2325</v>
      </c>
      <c r="E248" s="8" t="s">
        <v>21</v>
      </c>
      <c r="F248" s="8" t="s">
        <v>22</v>
      </c>
      <c r="G248" s="8">
        <v>503</v>
      </c>
      <c r="H248" s="8" t="s">
        <v>23</v>
      </c>
      <c r="I248" s="8" t="s">
        <v>123</v>
      </c>
      <c r="J248" s="8" t="s">
        <v>41</v>
      </c>
      <c r="K248" s="8" t="s">
        <v>26</v>
      </c>
      <c r="L248" s="8" t="s">
        <v>124</v>
      </c>
      <c r="M248" s="8">
        <v>5541</v>
      </c>
      <c r="N248" s="8" t="s">
        <v>124</v>
      </c>
      <c r="O248" s="8" t="s">
        <v>2326</v>
      </c>
      <c r="P248" s="8" t="s">
        <v>1578</v>
      </c>
      <c r="Q248" s="8" t="s">
        <v>1579</v>
      </c>
    </row>
    <row r="249" spans="1:17" ht="15" customHeight="1">
      <c r="A249" s="9">
        <v>248</v>
      </c>
      <c r="B249" s="9" t="s">
        <v>1574</v>
      </c>
      <c r="C249" s="9" t="s">
        <v>2327</v>
      </c>
      <c r="D249" s="9" t="s">
        <v>2328</v>
      </c>
      <c r="E249" s="9" t="s">
        <v>21</v>
      </c>
      <c r="F249" s="9" t="s">
        <v>22</v>
      </c>
      <c r="G249" s="9">
        <v>2083</v>
      </c>
      <c r="H249" s="9" t="s">
        <v>23</v>
      </c>
      <c r="I249" s="9" t="s">
        <v>262</v>
      </c>
      <c r="J249" s="9" t="s">
        <v>25</v>
      </c>
      <c r="K249" s="9" t="s">
        <v>26</v>
      </c>
      <c r="L249" s="9" t="s">
        <v>263</v>
      </c>
      <c r="M249" s="9">
        <v>8299</v>
      </c>
      <c r="N249" s="9" t="s">
        <v>263</v>
      </c>
      <c r="O249" s="9" t="s">
        <v>2329</v>
      </c>
      <c r="P249" s="9" t="s">
        <v>1578</v>
      </c>
      <c r="Q249" s="9" t="s">
        <v>1579</v>
      </c>
    </row>
    <row r="250" spans="1:17" ht="15" customHeight="1">
      <c r="A250" s="8">
        <v>249</v>
      </c>
      <c r="B250" s="8" t="s">
        <v>1574</v>
      </c>
      <c r="C250" s="8" t="s">
        <v>2330</v>
      </c>
      <c r="D250" s="8" t="s">
        <v>2331</v>
      </c>
      <c r="E250" s="8" t="s">
        <v>21</v>
      </c>
      <c r="F250" s="8" t="s">
        <v>22</v>
      </c>
      <c r="G250" s="8">
        <v>816</v>
      </c>
      <c r="H250" s="8" t="s">
        <v>23</v>
      </c>
      <c r="I250" s="8" t="s">
        <v>574</v>
      </c>
      <c r="J250" s="8" t="s">
        <v>41</v>
      </c>
      <c r="K250" s="8" t="s">
        <v>26</v>
      </c>
      <c r="L250" s="8" t="s">
        <v>575</v>
      </c>
      <c r="M250" s="8">
        <v>5812</v>
      </c>
      <c r="N250" s="8" t="s">
        <v>575</v>
      </c>
      <c r="O250" s="8" t="s">
        <v>2332</v>
      </c>
      <c r="P250" s="8" t="s">
        <v>1578</v>
      </c>
      <c r="Q250" s="8" t="s">
        <v>1579</v>
      </c>
    </row>
    <row r="251" spans="1:17" ht="15" customHeight="1">
      <c r="A251" s="9">
        <v>250</v>
      </c>
      <c r="B251" s="9" t="s">
        <v>1574</v>
      </c>
      <c r="C251" s="9" t="s">
        <v>2333</v>
      </c>
      <c r="D251" s="9" t="s">
        <v>2334</v>
      </c>
      <c r="E251" s="9" t="s">
        <v>21</v>
      </c>
      <c r="F251" s="9" t="s">
        <v>22</v>
      </c>
      <c r="G251" s="9">
        <v>877</v>
      </c>
      <c r="H251" s="9" t="s">
        <v>23</v>
      </c>
      <c r="I251" s="9" t="s">
        <v>102</v>
      </c>
      <c r="J251" s="9" t="s">
        <v>41</v>
      </c>
      <c r="K251" s="9" t="s">
        <v>26</v>
      </c>
      <c r="L251" s="9" t="s">
        <v>103</v>
      </c>
      <c r="M251" s="9">
        <v>5411</v>
      </c>
      <c r="N251" s="9" t="s">
        <v>103</v>
      </c>
      <c r="O251" s="9" t="s">
        <v>2335</v>
      </c>
      <c r="P251" s="9" t="s">
        <v>1578</v>
      </c>
      <c r="Q251" s="9" t="s">
        <v>1579</v>
      </c>
    </row>
    <row r="252" spans="1:17" ht="15" customHeight="1">
      <c r="A252" s="8">
        <v>251</v>
      </c>
      <c r="B252" s="8" t="s">
        <v>1574</v>
      </c>
      <c r="C252" s="8" t="s">
        <v>2336</v>
      </c>
      <c r="D252" s="8" t="s">
        <v>2337</v>
      </c>
      <c r="E252" s="8" t="s">
        <v>21</v>
      </c>
      <c r="F252" s="8" t="s">
        <v>22</v>
      </c>
      <c r="G252" s="8">
        <v>549</v>
      </c>
      <c r="H252" s="8" t="s">
        <v>23</v>
      </c>
      <c r="I252" s="8" t="s">
        <v>143</v>
      </c>
      <c r="J252" s="8" t="s">
        <v>41</v>
      </c>
      <c r="K252" s="8" t="s">
        <v>26</v>
      </c>
      <c r="L252" s="8" t="s">
        <v>144</v>
      </c>
      <c r="M252" s="8">
        <v>7996</v>
      </c>
      <c r="N252" s="8" t="s">
        <v>144</v>
      </c>
      <c r="O252" s="8" t="s">
        <v>2338</v>
      </c>
      <c r="P252" s="8" t="s">
        <v>1578</v>
      </c>
      <c r="Q252" s="8" t="s">
        <v>1579</v>
      </c>
    </row>
    <row r="253" spans="1:17" ht="15" customHeight="1">
      <c r="A253" s="9">
        <v>252</v>
      </c>
      <c r="B253" s="9" t="s">
        <v>1574</v>
      </c>
      <c r="C253" s="9" t="s">
        <v>2339</v>
      </c>
      <c r="D253" s="9" t="s">
        <v>2340</v>
      </c>
      <c r="E253" s="9" t="s">
        <v>21</v>
      </c>
      <c r="F253" s="9" t="s">
        <v>22</v>
      </c>
      <c r="G253" s="9">
        <v>759</v>
      </c>
      <c r="H253" s="9" t="s">
        <v>23</v>
      </c>
      <c r="I253" s="9" t="s">
        <v>286</v>
      </c>
      <c r="J253" s="9" t="s">
        <v>41</v>
      </c>
      <c r="K253" s="9" t="s">
        <v>26</v>
      </c>
      <c r="L253" s="9" t="s">
        <v>287</v>
      </c>
      <c r="M253" s="9">
        <v>8011</v>
      </c>
      <c r="N253" s="9" t="s">
        <v>287</v>
      </c>
      <c r="O253" s="9" t="s">
        <v>2341</v>
      </c>
      <c r="P253" s="9" t="s">
        <v>1578</v>
      </c>
      <c r="Q253" s="9" t="s">
        <v>1579</v>
      </c>
    </row>
    <row r="254" spans="1:17" ht="15" customHeight="1">
      <c r="A254" s="8">
        <v>253</v>
      </c>
      <c r="B254" s="8" t="s">
        <v>1574</v>
      </c>
      <c r="C254" s="8" t="s">
        <v>2342</v>
      </c>
      <c r="D254" s="8" t="s">
        <v>2343</v>
      </c>
      <c r="E254" s="8" t="s">
        <v>21</v>
      </c>
      <c r="F254" s="8" t="s">
        <v>22</v>
      </c>
      <c r="G254" s="8">
        <v>1795</v>
      </c>
      <c r="H254" s="8" t="s">
        <v>23</v>
      </c>
      <c r="I254" s="8" t="s">
        <v>56</v>
      </c>
      <c r="J254" s="8" t="s">
        <v>41</v>
      </c>
      <c r="K254" s="8" t="s">
        <v>26</v>
      </c>
      <c r="L254" s="8" t="s">
        <v>57</v>
      </c>
      <c r="M254" s="8">
        <v>5999</v>
      </c>
      <c r="N254" s="8" t="s">
        <v>57</v>
      </c>
      <c r="O254" s="8" t="s">
        <v>2344</v>
      </c>
      <c r="P254" s="8" t="s">
        <v>1578</v>
      </c>
      <c r="Q254" s="8" t="s">
        <v>1579</v>
      </c>
    </row>
    <row r="255" spans="1:17" ht="15" customHeight="1">
      <c r="A255" s="9">
        <v>254</v>
      </c>
      <c r="B255" s="9" t="s">
        <v>1574</v>
      </c>
      <c r="C255" s="9" t="s">
        <v>2345</v>
      </c>
      <c r="D255" s="9" t="s">
        <v>2346</v>
      </c>
      <c r="E255" s="9" t="s">
        <v>94</v>
      </c>
      <c r="F255" s="9" t="s">
        <v>22</v>
      </c>
      <c r="G255" s="9">
        <v>28200</v>
      </c>
      <c r="H255" s="9" t="s">
        <v>23</v>
      </c>
      <c r="I255" s="9" t="s">
        <v>1645</v>
      </c>
      <c r="J255" s="9" t="s">
        <v>96</v>
      </c>
      <c r="K255" s="9" t="s">
        <v>97</v>
      </c>
      <c r="L255" s="9" t="s">
        <v>1646</v>
      </c>
      <c r="M255" s="9"/>
      <c r="N255" s="9" t="s">
        <v>1646</v>
      </c>
      <c r="O255" s="9" t="s">
        <v>2347</v>
      </c>
      <c r="P255" s="9" t="s">
        <v>1578</v>
      </c>
      <c r="Q255" s="9" t="s">
        <v>1579</v>
      </c>
    </row>
    <row r="256" spans="1:17" ht="15" customHeight="1">
      <c r="A256" s="8">
        <v>255</v>
      </c>
      <c r="B256" s="8" t="s">
        <v>1574</v>
      </c>
      <c r="C256" s="8" t="s">
        <v>2348</v>
      </c>
      <c r="D256" s="8" t="s">
        <v>2349</v>
      </c>
      <c r="E256" s="8" t="s">
        <v>21</v>
      </c>
      <c r="F256" s="8" t="s">
        <v>22</v>
      </c>
      <c r="G256" s="8">
        <v>877</v>
      </c>
      <c r="H256" s="8" t="s">
        <v>23</v>
      </c>
      <c r="I256" s="8" t="s">
        <v>244</v>
      </c>
      <c r="J256" s="8" t="s">
        <v>41</v>
      </c>
      <c r="K256" s="8" t="s">
        <v>26</v>
      </c>
      <c r="L256" s="8" t="s">
        <v>245</v>
      </c>
      <c r="M256" s="8">
        <v>5411</v>
      </c>
      <c r="N256" s="8" t="s">
        <v>245</v>
      </c>
      <c r="O256" s="8" t="s">
        <v>2350</v>
      </c>
      <c r="P256" s="8" t="s">
        <v>1578</v>
      </c>
      <c r="Q256" s="8" t="s">
        <v>1579</v>
      </c>
    </row>
    <row r="257" spans="1:17" ht="15" customHeight="1">
      <c r="A257" s="9">
        <v>256</v>
      </c>
      <c r="B257" s="9" t="s">
        <v>1574</v>
      </c>
      <c r="C257" s="9" t="s">
        <v>2351</v>
      </c>
      <c r="D257" s="9" t="s">
        <v>2352</v>
      </c>
      <c r="E257" s="9" t="s">
        <v>21</v>
      </c>
      <c r="F257" s="9" t="s">
        <v>22</v>
      </c>
      <c r="G257" s="9">
        <v>877</v>
      </c>
      <c r="H257" s="9" t="s">
        <v>23</v>
      </c>
      <c r="I257" s="9" t="s">
        <v>379</v>
      </c>
      <c r="J257" s="9" t="s">
        <v>41</v>
      </c>
      <c r="K257" s="9" t="s">
        <v>26</v>
      </c>
      <c r="L257" s="9" t="s">
        <v>380</v>
      </c>
      <c r="M257" s="9">
        <v>5411</v>
      </c>
      <c r="N257" s="9" t="s">
        <v>380</v>
      </c>
      <c r="O257" s="9" t="s">
        <v>2353</v>
      </c>
      <c r="P257" s="9" t="s">
        <v>1578</v>
      </c>
      <c r="Q257" s="9" t="s">
        <v>1579</v>
      </c>
    </row>
    <row r="258" spans="1:17" ht="15" customHeight="1">
      <c r="A258" s="8">
        <v>257</v>
      </c>
      <c r="B258" s="8" t="s">
        <v>1574</v>
      </c>
      <c r="C258" s="8" t="s">
        <v>2354</v>
      </c>
      <c r="D258" s="8" t="s">
        <v>2355</v>
      </c>
      <c r="E258" s="8" t="s">
        <v>21</v>
      </c>
      <c r="F258" s="8" t="s">
        <v>22</v>
      </c>
      <c r="G258" s="8">
        <v>622</v>
      </c>
      <c r="H258" s="8" t="s">
        <v>23</v>
      </c>
      <c r="I258" s="8" t="s">
        <v>174</v>
      </c>
      <c r="J258" s="8" t="s">
        <v>36</v>
      </c>
      <c r="K258" s="8" t="s">
        <v>26</v>
      </c>
      <c r="L258" s="8" t="s">
        <v>175</v>
      </c>
      <c r="M258" s="8">
        <v>4813</v>
      </c>
      <c r="N258" s="8" t="s">
        <v>175</v>
      </c>
      <c r="O258" s="8" t="s">
        <v>2356</v>
      </c>
      <c r="P258" s="8" t="s">
        <v>1578</v>
      </c>
      <c r="Q258" s="8" t="s">
        <v>1579</v>
      </c>
    </row>
    <row r="259" spans="1:17" ht="15" customHeight="1">
      <c r="A259" s="9">
        <v>258</v>
      </c>
      <c r="B259" s="9" t="s">
        <v>1574</v>
      </c>
      <c r="C259" s="9" t="s">
        <v>2357</v>
      </c>
      <c r="D259" s="9" t="s">
        <v>2358</v>
      </c>
      <c r="E259" s="9" t="s">
        <v>21</v>
      </c>
      <c r="F259" s="9" t="s">
        <v>22</v>
      </c>
      <c r="G259" s="9">
        <v>4000</v>
      </c>
      <c r="H259" s="9" t="s">
        <v>23</v>
      </c>
      <c r="I259" s="9" t="s">
        <v>1583</v>
      </c>
      <c r="J259" s="9" t="s">
        <v>36</v>
      </c>
      <c r="K259" s="9" t="s">
        <v>26</v>
      </c>
      <c r="L259" s="9" t="s">
        <v>1584</v>
      </c>
      <c r="M259" s="9">
        <v>6012</v>
      </c>
      <c r="N259" s="9" t="s">
        <v>1584</v>
      </c>
      <c r="O259" s="9" t="s">
        <v>2359</v>
      </c>
      <c r="P259" s="9" t="s">
        <v>1578</v>
      </c>
      <c r="Q259" s="9" t="s">
        <v>1579</v>
      </c>
    </row>
    <row r="260" spans="1:17" ht="15" customHeight="1">
      <c r="A260" s="8">
        <v>259</v>
      </c>
      <c r="B260" s="8" t="s">
        <v>1574</v>
      </c>
      <c r="C260" s="8" t="s">
        <v>2360</v>
      </c>
      <c r="D260" s="8" t="s">
        <v>2361</v>
      </c>
      <c r="E260" s="8" t="s">
        <v>21</v>
      </c>
      <c r="F260" s="8" t="s">
        <v>22</v>
      </c>
      <c r="G260" s="8">
        <v>1287</v>
      </c>
      <c r="H260" s="8" t="s">
        <v>23</v>
      </c>
      <c r="I260" s="8" t="s">
        <v>143</v>
      </c>
      <c r="J260" s="8" t="s">
        <v>41</v>
      </c>
      <c r="K260" s="8" t="s">
        <v>26</v>
      </c>
      <c r="L260" s="8" t="s">
        <v>144</v>
      </c>
      <c r="M260" s="8">
        <v>7996</v>
      </c>
      <c r="N260" s="8" t="s">
        <v>144</v>
      </c>
      <c r="O260" s="8" t="s">
        <v>2362</v>
      </c>
      <c r="P260" s="8" t="s">
        <v>1578</v>
      </c>
      <c r="Q260" s="8" t="s">
        <v>1579</v>
      </c>
    </row>
    <row r="261" spans="1:17" ht="15" customHeight="1">
      <c r="A261" s="9">
        <v>260</v>
      </c>
      <c r="B261" s="9" t="s">
        <v>1574</v>
      </c>
      <c r="C261" s="9" t="s">
        <v>2363</v>
      </c>
      <c r="D261" s="9" t="s">
        <v>2364</v>
      </c>
      <c r="E261" s="9" t="s">
        <v>21</v>
      </c>
      <c r="F261" s="9" t="s">
        <v>22</v>
      </c>
      <c r="G261" s="9">
        <v>954</v>
      </c>
      <c r="H261" s="9" t="s">
        <v>23</v>
      </c>
      <c r="I261" s="9" t="s">
        <v>74</v>
      </c>
      <c r="J261" s="9" t="s">
        <v>41</v>
      </c>
      <c r="K261" s="9" t="s">
        <v>26</v>
      </c>
      <c r="L261" s="9" t="s">
        <v>75</v>
      </c>
      <c r="M261" s="9">
        <v>5812</v>
      </c>
      <c r="N261" s="9" t="s">
        <v>75</v>
      </c>
      <c r="O261" s="9" t="s">
        <v>2365</v>
      </c>
      <c r="P261" s="9" t="s">
        <v>1578</v>
      </c>
      <c r="Q261" s="9" t="s">
        <v>1579</v>
      </c>
    </row>
    <row r="262" spans="1:17" ht="15" customHeight="1">
      <c r="A262" s="8">
        <v>261</v>
      </c>
      <c r="B262" s="8" t="s">
        <v>1574</v>
      </c>
      <c r="C262" s="8" t="s">
        <v>2366</v>
      </c>
      <c r="D262" s="8" t="s">
        <v>2367</v>
      </c>
      <c r="E262" s="8" t="s">
        <v>21</v>
      </c>
      <c r="F262" s="8" t="s">
        <v>22</v>
      </c>
      <c r="G262" s="8">
        <v>526</v>
      </c>
      <c r="H262" s="8" t="s">
        <v>23</v>
      </c>
      <c r="I262" s="8" t="s">
        <v>86</v>
      </c>
      <c r="J262" s="8" t="s">
        <v>36</v>
      </c>
      <c r="K262" s="8" t="s">
        <v>26</v>
      </c>
      <c r="L262" s="8" t="s">
        <v>87</v>
      </c>
      <c r="M262" s="8">
        <v>4813</v>
      </c>
      <c r="N262" s="8" t="s">
        <v>87</v>
      </c>
      <c r="O262" s="8" t="s">
        <v>2368</v>
      </c>
      <c r="P262" s="8" t="s">
        <v>1578</v>
      </c>
      <c r="Q262" s="8" t="s">
        <v>1579</v>
      </c>
    </row>
    <row r="263" spans="1:17" ht="15" customHeight="1">
      <c r="A263" s="9">
        <v>262</v>
      </c>
      <c r="B263" s="9" t="s">
        <v>1574</v>
      </c>
      <c r="C263" s="9" t="s">
        <v>2369</v>
      </c>
      <c r="D263" s="9" t="s">
        <v>2370</v>
      </c>
      <c r="E263" s="9" t="s">
        <v>21</v>
      </c>
      <c r="F263" s="9" t="s">
        <v>22</v>
      </c>
      <c r="G263" s="9">
        <v>905</v>
      </c>
      <c r="H263" s="9" t="s">
        <v>23</v>
      </c>
      <c r="I263" s="9" t="s">
        <v>127</v>
      </c>
      <c r="J263" s="9" t="s">
        <v>25</v>
      </c>
      <c r="K263" s="9" t="s">
        <v>26</v>
      </c>
      <c r="L263" s="9" t="s">
        <v>128</v>
      </c>
      <c r="M263" s="9">
        <v>5999</v>
      </c>
      <c r="N263" s="9" t="s">
        <v>128</v>
      </c>
      <c r="O263" s="9" t="s">
        <v>2371</v>
      </c>
      <c r="P263" s="9" t="s">
        <v>1578</v>
      </c>
      <c r="Q263" s="9" t="s">
        <v>1579</v>
      </c>
    </row>
    <row r="264" spans="1:17" ht="15" customHeight="1">
      <c r="A264" s="8">
        <v>263</v>
      </c>
      <c r="B264" s="8" t="s">
        <v>1574</v>
      </c>
      <c r="C264" s="8" t="s">
        <v>2372</v>
      </c>
      <c r="D264" s="8" t="s">
        <v>2373</v>
      </c>
      <c r="E264" s="8" t="s">
        <v>21</v>
      </c>
      <c r="F264" s="8" t="s">
        <v>22</v>
      </c>
      <c r="G264" s="8">
        <v>813</v>
      </c>
      <c r="H264" s="8" t="s">
        <v>23</v>
      </c>
      <c r="I264" s="8" t="s">
        <v>244</v>
      </c>
      <c r="J264" s="8" t="s">
        <v>41</v>
      </c>
      <c r="K264" s="8" t="s">
        <v>26</v>
      </c>
      <c r="L264" s="8" t="s">
        <v>245</v>
      </c>
      <c r="M264" s="8">
        <v>5411</v>
      </c>
      <c r="N264" s="8" t="s">
        <v>245</v>
      </c>
      <c r="O264" s="8" t="s">
        <v>2374</v>
      </c>
      <c r="P264" s="8" t="s">
        <v>1578</v>
      </c>
      <c r="Q264" s="8" t="s">
        <v>1579</v>
      </c>
    </row>
    <row r="265" spans="1:17" ht="15" customHeight="1">
      <c r="A265" s="9">
        <v>264</v>
      </c>
      <c r="B265" s="9" t="s">
        <v>1574</v>
      </c>
      <c r="C265" s="9" t="s">
        <v>2375</v>
      </c>
      <c r="D265" s="9" t="s">
        <v>2376</v>
      </c>
      <c r="E265" s="9" t="s">
        <v>21</v>
      </c>
      <c r="F265" s="9" t="s">
        <v>22</v>
      </c>
      <c r="G265" s="9">
        <v>955</v>
      </c>
      <c r="H265" s="9" t="s">
        <v>23</v>
      </c>
      <c r="I265" s="9" t="s">
        <v>217</v>
      </c>
      <c r="J265" s="9" t="s">
        <v>41</v>
      </c>
      <c r="K265" s="9" t="s">
        <v>26</v>
      </c>
      <c r="L265" s="9" t="s">
        <v>218</v>
      </c>
      <c r="M265" s="9">
        <v>5812</v>
      </c>
      <c r="N265" s="9" t="s">
        <v>218</v>
      </c>
      <c r="O265" s="9" t="s">
        <v>2377</v>
      </c>
      <c r="P265" s="9" t="s">
        <v>1578</v>
      </c>
      <c r="Q265" s="9" t="s">
        <v>1579</v>
      </c>
    </row>
    <row r="266" spans="1:17" ht="15" customHeight="1">
      <c r="A266" s="8">
        <v>265</v>
      </c>
      <c r="B266" s="8" t="s">
        <v>1574</v>
      </c>
      <c r="C266" s="8" t="s">
        <v>2378</v>
      </c>
      <c r="D266" s="8" t="s">
        <v>2379</v>
      </c>
      <c r="E266" s="8" t="s">
        <v>21</v>
      </c>
      <c r="F266" s="8" t="s">
        <v>22</v>
      </c>
      <c r="G266" s="8">
        <v>1190</v>
      </c>
      <c r="H266" s="8" t="s">
        <v>23</v>
      </c>
      <c r="I266" s="8" t="s">
        <v>70</v>
      </c>
      <c r="J266" s="8" t="s">
        <v>41</v>
      </c>
      <c r="K266" s="8" t="s">
        <v>26</v>
      </c>
      <c r="L266" s="8" t="s">
        <v>71</v>
      </c>
      <c r="M266" s="8">
        <v>5541</v>
      </c>
      <c r="N266" s="8" t="s">
        <v>71</v>
      </c>
      <c r="O266" s="8" t="s">
        <v>2380</v>
      </c>
      <c r="P266" s="8" t="s">
        <v>1578</v>
      </c>
      <c r="Q266" s="8" t="s">
        <v>1579</v>
      </c>
    </row>
    <row r="267" spans="1:17" ht="15" customHeight="1">
      <c r="A267" s="9">
        <v>266</v>
      </c>
      <c r="B267" s="9" t="s">
        <v>1574</v>
      </c>
      <c r="C267" s="9" t="s">
        <v>2381</v>
      </c>
      <c r="D267" s="9" t="s">
        <v>2382</v>
      </c>
      <c r="E267" s="9" t="s">
        <v>21</v>
      </c>
      <c r="F267" s="9" t="s">
        <v>22</v>
      </c>
      <c r="G267" s="9">
        <v>814</v>
      </c>
      <c r="H267" s="9" t="s">
        <v>23</v>
      </c>
      <c r="I267" s="9" t="s">
        <v>379</v>
      </c>
      <c r="J267" s="9" t="s">
        <v>41</v>
      </c>
      <c r="K267" s="9" t="s">
        <v>26</v>
      </c>
      <c r="L267" s="9" t="s">
        <v>380</v>
      </c>
      <c r="M267" s="9">
        <v>5411</v>
      </c>
      <c r="N267" s="9" t="s">
        <v>380</v>
      </c>
      <c r="O267" s="9" t="s">
        <v>2383</v>
      </c>
      <c r="P267" s="9" t="s">
        <v>1578</v>
      </c>
      <c r="Q267" s="9" t="s">
        <v>1579</v>
      </c>
    </row>
    <row r="268" spans="1:17" ht="15" customHeight="1">
      <c r="A268" s="8">
        <v>267</v>
      </c>
      <c r="B268" s="8" t="s">
        <v>1574</v>
      </c>
      <c r="C268" s="8" t="s">
        <v>2384</v>
      </c>
      <c r="D268" s="8" t="s">
        <v>2385</v>
      </c>
      <c r="E268" s="8" t="s">
        <v>21</v>
      </c>
      <c r="F268" s="8" t="s">
        <v>22</v>
      </c>
      <c r="G268" s="8">
        <v>724</v>
      </c>
      <c r="H268" s="8" t="s">
        <v>23</v>
      </c>
      <c r="I268" s="8" t="s">
        <v>56</v>
      </c>
      <c r="J268" s="8" t="s">
        <v>41</v>
      </c>
      <c r="K268" s="8" t="s">
        <v>26</v>
      </c>
      <c r="L268" s="8" t="s">
        <v>57</v>
      </c>
      <c r="M268" s="8">
        <v>5999</v>
      </c>
      <c r="N268" s="8" t="s">
        <v>57</v>
      </c>
      <c r="O268" s="8" t="s">
        <v>2386</v>
      </c>
      <c r="P268" s="8" t="s">
        <v>1578</v>
      </c>
      <c r="Q268" s="8" t="s">
        <v>1579</v>
      </c>
    </row>
    <row r="269" spans="1:17" ht="15" customHeight="1">
      <c r="A269" s="9">
        <v>268</v>
      </c>
      <c r="B269" s="9" t="s">
        <v>1574</v>
      </c>
      <c r="C269" s="9" t="s">
        <v>2387</v>
      </c>
      <c r="D269" s="9" t="s">
        <v>2388</v>
      </c>
      <c r="E269" s="9" t="s">
        <v>21</v>
      </c>
      <c r="F269" s="9" t="s">
        <v>22</v>
      </c>
      <c r="G269" s="9">
        <v>904</v>
      </c>
      <c r="H269" s="9" t="s">
        <v>23</v>
      </c>
      <c r="I269" s="9" t="s">
        <v>127</v>
      </c>
      <c r="J269" s="9" t="s">
        <v>25</v>
      </c>
      <c r="K269" s="9" t="s">
        <v>26</v>
      </c>
      <c r="L269" s="9" t="s">
        <v>128</v>
      </c>
      <c r="M269" s="9">
        <v>5999</v>
      </c>
      <c r="N269" s="9" t="s">
        <v>128</v>
      </c>
      <c r="O269" s="9" t="s">
        <v>2389</v>
      </c>
      <c r="P269" s="9" t="s">
        <v>1578</v>
      </c>
      <c r="Q269" s="9" t="s">
        <v>1579</v>
      </c>
    </row>
    <row r="270" spans="1:17" ht="15" customHeight="1">
      <c r="A270" s="8">
        <v>269</v>
      </c>
      <c r="B270" s="8" t="s">
        <v>1574</v>
      </c>
      <c r="C270" s="8" t="s">
        <v>2390</v>
      </c>
      <c r="D270" s="8" t="s">
        <v>2391</v>
      </c>
      <c r="E270" s="8" t="s">
        <v>21</v>
      </c>
      <c r="F270" s="8" t="s">
        <v>22</v>
      </c>
      <c r="G270" s="8">
        <v>2405</v>
      </c>
      <c r="H270" s="8" t="s">
        <v>23</v>
      </c>
      <c r="I270" s="8" t="s">
        <v>262</v>
      </c>
      <c r="J270" s="8" t="s">
        <v>25</v>
      </c>
      <c r="K270" s="8" t="s">
        <v>26</v>
      </c>
      <c r="L270" s="8" t="s">
        <v>263</v>
      </c>
      <c r="M270" s="8">
        <v>8299</v>
      </c>
      <c r="N270" s="8" t="s">
        <v>263</v>
      </c>
      <c r="O270" s="8" t="s">
        <v>2392</v>
      </c>
      <c r="P270" s="8" t="s">
        <v>1578</v>
      </c>
      <c r="Q270" s="8" t="s">
        <v>1579</v>
      </c>
    </row>
    <row r="271" spans="1:17" ht="15" customHeight="1">
      <c r="A271" s="9">
        <v>270</v>
      </c>
      <c r="B271" s="9" t="s">
        <v>1574</v>
      </c>
      <c r="C271" s="9" t="s">
        <v>2393</v>
      </c>
      <c r="D271" s="9" t="s">
        <v>2394</v>
      </c>
      <c r="E271" s="9" t="s">
        <v>21</v>
      </c>
      <c r="F271" s="9" t="s">
        <v>22</v>
      </c>
      <c r="G271" s="9">
        <v>1163</v>
      </c>
      <c r="H271" s="9" t="s">
        <v>23</v>
      </c>
      <c r="I271" s="9" t="s">
        <v>108</v>
      </c>
      <c r="J271" s="9" t="s">
        <v>41</v>
      </c>
      <c r="K271" s="9" t="s">
        <v>26</v>
      </c>
      <c r="L271" s="9" t="s">
        <v>57</v>
      </c>
      <c r="M271" s="9">
        <v>5999</v>
      </c>
      <c r="N271" s="9" t="s">
        <v>57</v>
      </c>
      <c r="O271" s="9" t="s">
        <v>2395</v>
      </c>
      <c r="P271" s="9" t="s">
        <v>1578</v>
      </c>
      <c r="Q271" s="9" t="s">
        <v>1579</v>
      </c>
    </row>
    <row r="272" spans="1:17" ht="15" customHeight="1">
      <c r="A272" s="8">
        <v>271</v>
      </c>
      <c r="B272" s="8" t="s">
        <v>1574</v>
      </c>
      <c r="C272" s="8" t="s">
        <v>2396</v>
      </c>
      <c r="D272" s="8" t="s">
        <v>2397</v>
      </c>
      <c r="E272" s="8" t="s">
        <v>21</v>
      </c>
      <c r="F272" s="8" t="s">
        <v>22</v>
      </c>
      <c r="G272" s="8">
        <v>1342</v>
      </c>
      <c r="H272" s="8" t="s">
        <v>23</v>
      </c>
      <c r="I272" s="8" t="s">
        <v>198</v>
      </c>
      <c r="J272" s="8" t="s">
        <v>36</v>
      </c>
      <c r="K272" s="8" t="s">
        <v>26</v>
      </c>
      <c r="L272" s="8" t="s">
        <v>199</v>
      </c>
      <c r="M272" s="8">
        <v>4900</v>
      </c>
      <c r="N272" s="8" t="s">
        <v>199</v>
      </c>
      <c r="O272" s="8" t="s">
        <v>2398</v>
      </c>
      <c r="P272" s="8" t="s">
        <v>1578</v>
      </c>
      <c r="Q272" s="8" t="s">
        <v>1579</v>
      </c>
    </row>
    <row r="273" spans="1:17" ht="15" customHeight="1">
      <c r="A273" s="9">
        <v>272</v>
      </c>
      <c r="B273" s="9" t="s">
        <v>1574</v>
      </c>
      <c r="C273" s="9" t="s">
        <v>2399</v>
      </c>
      <c r="D273" s="9" t="s">
        <v>2400</v>
      </c>
      <c r="E273" s="9" t="s">
        <v>21</v>
      </c>
      <c r="F273" s="9" t="s">
        <v>22</v>
      </c>
      <c r="G273" s="9">
        <v>405</v>
      </c>
      <c r="H273" s="9" t="s">
        <v>23</v>
      </c>
      <c r="I273" s="9" t="s">
        <v>593</v>
      </c>
      <c r="J273" s="9" t="s">
        <v>331</v>
      </c>
      <c r="K273" s="9" t="s">
        <v>26</v>
      </c>
      <c r="L273" s="9" t="s">
        <v>594</v>
      </c>
      <c r="M273" s="9">
        <v>6011</v>
      </c>
      <c r="N273" s="9" t="s">
        <v>594</v>
      </c>
      <c r="O273" s="9" t="s">
        <v>2401</v>
      </c>
      <c r="P273" s="9" t="s">
        <v>1578</v>
      </c>
      <c r="Q273" s="9" t="s">
        <v>1579</v>
      </c>
    </row>
    <row r="274" spans="1:17" ht="15" customHeight="1">
      <c r="A274" s="8">
        <v>273</v>
      </c>
      <c r="B274" s="8" t="s">
        <v>1574</v>
      </c>
      <c r="C274" s="8" t="s">
        <v>2402</v>
      </c>
      <c r="D274" s="8" t="s">
        <v>2403</v>
      </c>
      <c r="E274" s="8" t="s">
        <v>94</v>
      </c>
      <c r="F274" s="8" t="s">
        <v>22</v>
      </c>
      <c r="G274" s="8">
        <v>27800</v>
      </c>
      <c r="H274" s="8" t="s">
        <v>23</v>
      </c>
      <c r="I274" s="8" t="s">
        <v>1645</v>
      </c>
      <c r="J274" s="8" t="s">
        <v>96</v>
      </c>
      <c r="K274" s="8" t="s">
        <v>97</v>
      </c>
      <c r="L274" s="8" t="s">
        <v>1646</v>
      </c>
      <c r="M274" s="8"/>
      <c r="N274" s="8" t="s">
        <v>1646</v>
      </c>
      <c r="O274" s="8" t="s">
        <v>2404</v>
      </c>
      <c r="P274" s="8" t="s">
        <v>1578</v>
      </c>
      <c r="Q274" s="8" t="s">
        <v>1579</v>
      </c>
    </row>
    <row r="275" spans="1:17" ht="15" customHeight="1">
      <c r="A275" s="9">
        <v>274</v>
      </c>
      <c r="B275" s="9" t="s">
        <v>1574</v>
      </c>
      <c r="C275" s="9" t="s">
        <v>2405</v>
      </c>
      <c r="D275" s="9" t="s">
        <v>2406</v>
      </c>
      <c r="E275" s="9" t="s">
        <v>21</v>
      </c>
      <c r="F275" s="9" t="s">
        <v>22</v>
      </c>
      <c r="G275" s="9">
        <v>813</v>
      </c>
      <c r="H275" s="9" t="s">
        <v>23</v>
      </c>
      <c r="I275" s="9" t="s">
        <v>379</v>
      </c>
      <c r="J275" s="9" t="s">
        <v>41</v>
      </c>
      <c r="K275" s="9" t="s">
        <v>26</v>
      </c>
      <c r="L275" s="9" t="s">
        <v>380</v>
      </c>
      <c r="M275" s="9">
        <v>5411</v>
      </c>
      <c r="N275" s="9" t="s">
        <v>380</v>
      </c>
      <c r="O275" s="9" t="s">
        <v>2407</v>
      </c>
      <c r="P275" s="9" t="s">
        <v>1578</v>
      </c>
      <c r="Q275" s="9" t="s">
        <v>1579</v>
      </c>
    </row>
    <row r="276" spans="1:17" ht="15" customHeight="1">
      <c r="A276" s="8">
        <v>275</v>
      </c>
      <c r="B276" s="8" t="s">
        <v>1574</v>
      </c>
      <c r="C276" s="8" t="s">
        <v>2408</v>
      </c>
      <c r="D276" s="8" t="s">
        <v>2409</v>
      </c>
      <c r="E276" s="8" t="s">
        <v>21</v>
      </c>
      <c r="F276" s="8" t="s">
        <v>22</v>
      </c>
      <c r="G276" s="8">
        <v>4000</v>
      </c>
      <c r="H276" s="8" t="s">
        <v>23</v>
      </c>
      <c r="I276" s="8" t="s">
        <v>1583</v>
      </c>
      <c r="J276" s="8" t="s">
        <v>36</v>
      </c>
      <c r="K276" s="8" t="s">
        <v>26</v>
      </c>
      <c r="L276" s="8" t="s">
        <v>1584</v>
      </c>
      <c r="M276" s="8">
        <v>6012</v>
      </c>
      <c r="N276" s="8" t="s">
        <v>1584</v>
      </c>
      <c r="O276" s="8" t="s">
        <v>2410</v>
      </c>
      <c r="P276" s="8" t="s">
        <v>1578</v>
      </c>
      <c r="Q276" s="8" t="s">
        <v>1579</v>
      </c>
    </row>
    <row r="277" spans="1:17" ht="15" customHeight="1">
      <c r="A277" s="9">
        <v>276</v>
      </c>
      <c r="B277" s="9" t="s">
        <v>1574</v>
      </c>
      <c r="C277" s="9" t="s">
        <v>2411</v>
      </c>
      <c r="D277" s="9" t="s">
        <v>2412</v>
      </c>
      <c r="E277" s="9" t="s">
        <v>21</v>
      </c>
      <c r="F277" s="9" t="s">
        <v>22</v>
      </c>
      <c r="G277" s="9">
        <v>546</v>
      </c>
      <c r="H277" s="9" t="s">
        <v>23</v>
      </c>
      <c r="I277" s="9" t="s">
        <v>340</v>
      </c>
      <c r="J277" s="9" t="s">
        <v>41</v>
      </c>
      <c r="K277" s="9" t="s">
        <v>26</v>
      </c>
      <c r="L277" s="9" t="s">
        <v>341</v>
      </c>
      <c r="M277" s="9">
        <v>5812</v>
      </c>
      <c r="N277" s="9" t="s">
        <v>341</v>
      </c>
      <c r="O277" s="9" t="s">
        <v>2413</v>
      </c>
      <c r="P277" s="9" t="s">
        <v>1578</v>
      </c>
      <c r="Q277" s="9" t="s">
        <v>1579</v>
      </c>
    </row>
    <row r="278" spans="1:17" ht="15" customHeight="1">
      <c r="A278" s="8">
        <v>277</v>
      </c>
      <c r="B278" s="8" t="s">
        <v>1574</v>
      </c>
      <c r="C278" s="8" t="s">
        <v>2414</v>
      </c>
      <c r="D278" s="8" t="s">
        <v>2415</v>
      </c>
      <c r="E278" s="8" t="s">
        <v>21</v>
      </c>
      <c r="F278" s="8" t="s">
        <v>22</v>
      </c>
      <c r="G278" s="8">
        <v>746</v>
      </c>
      <c r="H278" s="8" t="s">
        <v>23</v>
      </c>
      <c r="I278" s="8" t="s">
        <v>82</v>
      </c>
      <c r="J278" s="8" t="s">
        <v>41</v>
      </c>
      <c r="K278" s="8" t="s">
        <v>26</v>
      </c>
      <c r="L278" s="8" t="s">
        <v>83</v>
      </c>
      <c r="M278" s="8">
        <v>5411</v>
      </c>
      <c r="N278" s="8" t="s">
        <v>83</v>
      </c>
      <c r="O278" s="8" t="s">
        <v>2416</v>
      </c>
      <c r="P278" s="8" t="s">
        <v>1578</v>
      </c>
      <c r="Q278" s="8" t="s">
        <v>1579</v>
      </c>
    </row>
    <row r="279" spans="1:17" ht="15" customHeight="1">
      <c r="A279" s="9">
        <v>278</v>
      </c>
      <c r="B279" s="9" t="s">
        <v>1574</v>
      </c>
      <c r="C279" s="9" t="s">
        <v>2417</v>
      </c>
      <c r="D279" s="9" t="s">
        <v>2418</v>
      </c>
      <c r="E279" s="9" t="s">
        <v>21</v>
      </c>
      <c r="F279" s="9" t="s">
        <v>22</v>
      </c>
      <c r="G279" s="9">
        <v>454</v>
      </c>
      <c r="H279" s="9" t="s">
        <v>23</v>
      </c>
      <c r="I279" s="9" t="s">
        <v>123</v>
      </c>
      <c r="J279" s="9" t="s">
        <v>41</v>
      </c>
      <c r="K279" s="9" t="s">
        <v>26</v>
      </c>
      <c r="L279" s="9" t="s">
        <v>124</v>
      </c>
      <c r="M279" s="9">
        <v>5541</v>
      </c>
      <c r="N279" s="9" t="s">
        <v>124</v>
      </c>
      <c r="O279" s="9" t="s">
        <v>2419</v>
      </c>
      <c r="P279" s="9" t="s">
        <v>1578</v>
      </c>
      <c r="Q279" s="9" t="s">
        <v>1579</v>
      </c>
    </row>
    <row r="280" spans="1:17" ht="15" customHeight="1">
      <c r="A280" s="8">
        <v>279</v>
      </c>
      <c r="B280" s="8" t="s">
        <v>1574</v>
      </c>
      <c r="C280" s="8" t="s">
        <v>2420</v>
      </c>
      <c r="D280" s="8" t="s">
        <v>2421</v>
      </c>
      <c r="E280" s="8" t="s">
        <v>21</v>
      </c>
      <c r="F280" s="8" t="s">
        <v>22</v>
      </c>
      <c r="G280" s="8">
        <v>745</v>
      </c>
      <c r="H280" s="8" t="s">
        <v>23</v>
      </c>
      <c r="I280" s="8" t="s">
        <v>82</v>
      </c>
      <c r="J280" s="8" t="s">
        <v>41</v>
      </c>
      <c r="K280" s="8" t="s">
        <v>26</v>
      </c>
      <c r="L280" s="8" t="s">
        <v>83</v>
      </c>
      <c r="M280" s="8">
        <v>5411</v>
      </c>
      <c r="N280" s="8" t="s">
        <v>83</v>
      </c>
      <c r="O280" s="8" t="s">
        <v>2422</v>
      </c>
      <c r="P280" s="8" t="s">
        <v>1578</v>
      </c>
      <c r="Q280" s="8" t="s">
        <v>1579</v>
      </c>
    </row>
    <row r="281" spans="1:17" ht="15" customHeight="1">
      <c r="A281" s="9">
        <v>280</v>
      </c>
      <c r="B281" s="9" t="s">
        <v>1574</v>
      </c>
      <c r="C281" s="9" t="s">
        <v>2423</v>
      </c>
      <c r="D281" s="9" t="s">
        <v>2424</v>
      </c>
      <c r="E281" s="9" t="s">
        <v>21</v>
      </c>
      <c r="F281" s="9" t="s">
        <v>22</v>
      </c>
      <c r="G281" s="9">
        <v>760</v>
      </c>
      <c r="H281" s="9" t="s">
        <v>23</v>
      </c>
      <c r="I281" s="9" t="s">
        <v>56</v>
      </c>
      <c r="J281" s="9" t="s">
        <v>41</v>
      </c>
      <c r="K281" s="9" t="s">
        <v>26</v>
      </c>
      <c r="L281" s="9" t="s">
        <v>57</v>
      </c>
      <c r="M281" s="9">
        <v>5999</v>
      </c>
      <c r="N281" s="9" t="s">
        <v>57</v>
      </c>
      <c r="O281" s="9" t="s">
        <v>2425</v>
      </c>
      <c r="P281" s="9" t="s">
        <v>1578</v>
      </c>
      <c r="Q281" s="9" t="s">
        <v>1579</v>
      </c>
    </row>
    <row r="282" spans="1:17" ht="15" customHeight="1">
      <c r="A282" s="8">
        <v>281</v>
      </c>
      <c r="B282" s="8" t="s">
        <v>1574</v>
      </c>
      <c r="C282" s="8" t="s">
        <v>2426</v>
      </c>
      <c r="D282" s="8" t="s">
        <v>2427</v>
      </c>
      <c r="E282" s="8" t="s">
        <v>21</v>
      </c>
      <c r="F282" s="8" t="s">
        <v>22</v>
      </c>
      <c r="G282" s="8">
        <v>1095</v>
      </c>
      <c r="H282" s="8" t="s">
        <v>23</v>
      </c>
      <c r="I282" s="8" t="s">
        <v>498</v>
      </c>
      <c r="J282" s="8" t="s">
        <v>36</v>
      </c>
      <c r="K282" s="8" t="s">
        <v>26</v>
      </c>
      <c r="L282" s="8" t="s">
        <v>499</v>
      </c>
      <c r="M282" s="8">
        <v>4900</v>
      </c>
      <c r="N282" s="8" t="s">
        <v>499</v>
      </c>
      <c r="O282" s="8" t="s">
        <v>2428</v>
      </c>
      <c r="P282" s="8" t="s">
        <v>1578</v>
      </c>
      <c r="Q282" s="8" t="s">
        <v>1579</v>
      </c>
    </row>
    <row r="283" spans="1:17" ht="15" customHeight="1">
      <c r="A283" s="9">
        <v>282</v>
      </c>
      <c r="B283" s="9" t="s">
        <v>1574</v>
      </c>
      <c r="C283" s="9" t="s">
        <v>2429</v>
      </c>
      <c r="D283" s="9" t="s">
        <v>2430</v>
      </c>
      <c r="E283" s="9" t="s">
        <v>21</v>
      </c>
      <c r="F283" s="9" t="s">
        <v>22</v>
      </c>
      <c r="G283" s="9">
        <v>453</v>
      </c>
      <c r="H283" s="9" t="s">
        <v>23</v>
      </c>
      <c r="I283" s="9" t="s">
        <v>70</v>
      </c>
      <c r="J283" s="9" t="s">
        <v>41</v>
      </c>
      <c r="K283" s="9" t="s">
        <v>26</v>
      </c>
      <c r="L283" s="9" t="s">
        <v>71</v>
      </c>
      <c r="M283" s="9">
        <v>5541</v>
      </c>
      <c r="N283" s="9" t="s">
        <v>71</v>
      </c>
      <c r="O283" s="9" t="s">
        <v>2431</v>
      </c>
      <c r="P283" s="9" t="s">
        <v>1578</v>
      </c>
      <c r="Q283" s="9" t="s">
        <v>1579</v>
      </c>
    </row>
    <row r="284" spans="1:17" ht="15" customHeight="1">
      <c r="A284" s="8">
        <v>283</v>
      </c>
      <c r="B284" s="8" t="s">
        <v>1574</v>
      </c>
      <c r="C284" s="8" t="s">
        <v>2432</v>
      </c>
      <c r="D284" s="8" t="s">
        <v>2433</v>
      </c>
      <c r="E284" s="8" t="s">
        <v>21</v>
      </c>
      <c r="F284" s="8" t="s">
        <v>22</v>
      </c>
      <c r="G284" s="8">
        <v>520</v>
      </c>
      <c r="H284" s="8" t="s">
        <v>23</v>
      </c>
      <c r="I284" s="8" t="s">
        <v>351</v>
      </c>
      <c r="J284" s="8" t="s">
        <v>36</v>
      </c>
      <c r="K284" s="8" t="s">
        <v>26</v>
      </c>
      <c r="L284" s="8" t="s">
        <v>352</v>
      </c>
      <c r="M284" s="8">
        <v>4813</v>
      </c>
      <c r="N284" s="8" t="s">
        <v>352</v>
      </c>
      <c r="O284" s="8" t="s">
        <v>2434</v>
      </c>
      <c r="P284" s="8" t="s">
        <v>1578</v>
      </c>
      <c r="Q284" s="8" t="s">
        <v>1579</v>
      </c>
    </row>
    <row r="285" spans="1:17" ht="15" customHeight="1">
      <c r="A285" s="9">
        <v>284</v>
      </c>
      <c r="B285" s="9" t="s">
        <v>1574</v>
      </c>
      <c r="C285" s="9" t="s">
        <v>2435</v>
      </c>
      <c r="D285" s="9" t="s">
        <v>2436</v>
      </c>
      <c r="E285" s="9" t="s">
        <v>21</v>
      </c>
      <c r="F285" s="9" t="s">
        <v>22</v>
      </c>
      <c r="G285" s="9">
        <v>410</v>
      </c>
      <c r="H285" s="9" t="s">
        <v>23</v>
      </c>
      <c r="I285" s="9" t="s">
        <v>560</v>
      </c>
      <c r="J285" s="9" t="s">
        <v>331</v>
      </c>
      <c r="K285" s="9" t="s">
        <v>26</v>
      </c>
      <c r="L285" s="9" t="s">
        <v>561</v>
      </c>
      <c r="M285" s="9">
        <v>6011</v>
      </c>
      <c r="N285" s="9" t="s">
        <v>561</v>
      </c>
      <c r="O285" s="9" t="s">
        <v>2437</v>
      </c>
      <c r="P285" s="9" t="s">
        <v>1578</v>
      </c>
      <c r="Q285" s="9" t="s">
        <v>1579</v>
      </c>
    </row>
    <row r="286" spans="1:17" ht="15" customHeight="1">
      <c r="A286" s="8">
        <v>285</v>
      </c>
      <c r="B286" s="8" t="s">
        <v>1574</v>
      </c>
      <c r="C286" s="8" t="s">
        <v>2438</v>
      </c>
      <c r="D286" s="8" t="s">
        <v>2439</v>
      </c>
      <c r="E286" s="8" t="s">
        <v>21</v>
      </c>
      <c r="F286" s="8" t="s">
        <v>22</v>
      </c>
      <c r="G286" s="8">
        <v>530</v>
      </c>
      <c r="H286" s="8" t="s">
        <v>23</v>
      </c>
      <c r="I286" s="8" t="s">
        <v>143</v>
      </c>
      <c r="J286" s="8" t="s">
        <v>41</v>
      </c>
      <c r="K286" s="8" t="s">
        <v>26</v>
      </c>
      <c r="L286" s="8" t="s">
        <v>144</v>
      </c>
      <c r="M286" s="8">
        <v>7996</v>
      </c>
      <c r="N286" s="8" t="s">
        <v>144</v>
      </c>
      <c r="O286" s="8" t="s">
        <v>2440</v>
      </c>
      <c r="P286" s="8" t="s">
        <v>1578</v>
      </c>
      <c r="Q286" s="8" t="s">
        <v>1579</v>
      </c>
    </row>
    <row r="287" spans="1:17" ht="15" customHeight="1">
      <c r="A287" s="9">
        <v>286</v>
      </c>
      <c r="B287" s="9" t="s">
        <v>1574</v>
      </c>
      <c r="C287" s="9" t="s">
        <v>2441</v>
      </c>
      <c r="D287" s="9" t="s">
        <v>2442</v>
      </c>
      <c r="E287" s="9" t="s">
        <v>21</v>
      </c>
      <c r="F287" s="9" t="s">
        <v>22</v>
      </c>
      <c r="G287" s="9">
        <v>991</v>
      </c>
      <c r="H287" s="9" t="s">
        <v>23</v>
      </c>
      <c r="I287" s="9" t="s">
        <v>127</v>
      </c>
      <c r="J287" s="9" t="s">
        <v>25</v>
      </c>
      <c r="K287" s="9" t="s">
        <v>26</v>
      </c>
      <c r="L287" s="9" t="s">
        <v>128</v>
      </c>
      <c r="M287" s="9">
        <v>5999</v>
      </c>
      <c r="N287" s="9" t="s">
        <v>128</v>
      </c>
      <c r="O287" s="9" t="s">
        <v>2443</v>
      </c>
      <c r="P287" s="9" t="s">
        <v>1578</v>
      </c>
      <c r="Q287" s="9" t="s">
        <v>1579</v>
      </c>
    </row>
    <row r="288" spans="1:17" ht="15" customHeight="1">
      <c r="A288" s="8">
        <v>287</v>
      </c>
      <c r="B288" s="8" t="s">
        <v>1574</v>
      </c>
      <c r="C288" s="8" t="s">
        <v>2444</v>
      </c>
      <c r="D288" s="8" t="s">
        <v>2445</v>
      </c>
      <c r="E288" s="8" t="s">
        <v>21</v>
      </c>
      <c r="F288" s="8" t="s">
        <v>22</v>
      </c>
      <c r="G288" s="8">
        <v>529</v>
      </c>
      <c r="H288" s="8" t="s">
        <v>23</v>
      </c>
      <c r="I288" s="8" t="s">
        <v>143</v>
      </c>
      <c r="J288" s="8" t="s">
        <v>41</v>
      </c>
      <c r="K288" s="8" t="s">
        <v>26</v>
      </c>
      <c r="L288" s="8" t="s">
        <v>144</v>
      </c>
      <c r="M288" s="8">
        <v>7996</v>
      </c>
      <c r="N288" s="8" t="s">
        <v>144</v>
      </c>
      <c r="O288" s="8" t="s">
        <v>2446</v>
      </c>
      <c r="P288" s="8" t="s">
        <v>1578</v>
      </c>
      <c r="Q288" s="8" t="s">
        <v>1579</v>
      </c>
    </row>
    <row r="289" spans="1:17" ht="15" customHeight="1">
      <c r="A289" s="9">
        <v>288</v>
      </c>
      <c r="B289" s="9" t="s">
        <v>1574</v>
      </c>
      <c r="C289" s="9" t="s">
        <v>2447</v>
      </c>
      <c r="D289" s="9" t="s">
        <v>2448</v>
      </c>
      <c r="E289" s="9" t="s">
        <v>21</v>
      </c>
      <c r="F289" s="9" t="s">
        <v>22</v>
      </c>
      <c r="G289" s="9">
        <v>746</v>
      </c>
      <c r="H289" s="9" t="s">
        <v>23</v>
      </c>
      <c r="I289" s="9" t="s">
        <v>180</v>
      </c>
      <c r="J289" s="9" t="s">
        <v>41</v>
      </c>
      <c r="K289" s="9" t="s">
        <v>26</v>
      </c>
      <c r="L289" s="9" t="s">
        <v>181</v>
      </c>
      <c r="M289" s="9">
        <v>5411</v>
      </c>
      <c r="N289" s="9" t="s">
        <v>181</v>
      </c>
      <c r="O289" s="9" t="s">
        <v>2449</v>
      </c>
      <c r="P289" s="9" t="s">
        <v>1578</v>
      </c>
      <c r="Q289" s="9" t="s">
        <v>1579</v>
      </c>
    </row>
    <row r="290" spans="1:17" ht="15" customHeight="1">
      <c r="A290" s="8">
        <v>289</v>
      </c>
      <c r="B290" s="8" t="s">
        <v>1574</v>
      </c>
      <c r="C290" s="8" t="s">
        <v>2450</v>
      </c>
      <c r="D290" s="8" t="s">
        <v>2451</v>
      </c>
      <c r="E290" s="8" t="s">
        <v>21</v>
      </c>
      <c r="F290" s="8" t="s">
        <v>22</v>
      </c>
      <c r="G290" s="8">
        <v>746</v>
      </c>
      <c r="H290" s="8" t="s">
        <v>23</v>
      </c>
      <c r="I290" s="8" t="s">
        <v>131</v>
      </c>
      <c r="J290" s="8" t="s">
        <v>41</v>
      </c>
      <c r="K290" s="8" t="s">
        <v>26</v>
      </c>
      <c r="L290" s="8" t="s">
        <v>132</v>
      </c>
      <c r="M290" s="8">
        <v>5411</v>
      </c>
      <c r="N290" s="8" t="s">
        <v>132</v>
      </c>
      <c r="O290" s="8" t="s">
        <v>2452</v>
      </c>
      <c r="P290" s="8" t="s">
        <v>1578</v>
      </c>
      <c r="Q290" s="8" t="s">
        <v>1579</v>
      </c>
    </row>
    <row r="291" spans="1:17" ht="15" customHeight="1">
      <c r="A291" s="9">
        <v>290</v>
      </c>
      <c r="B291" s="9" t="s">
        <v>1574</v>
      </c>
      <c r="C291" s="9" t="s">
        <v>2453</v>
      </c>
      <c r="D291" s="9" t="s">
        <v>2454</v>
      </c>
      <c r="E291" s="9" t="s">
        <v>21</v>
      </c>
      <c r="F291" s="9" t="s">
        <v>22</v>
      </c>
      <c r="G291" s="9">
        <v>1500</v>
      </c>
      <c r="H291" s="9" t="s">
        <v>23</v>
      </c>
      <c r="I291" s="9" t="s">
        <v>186</v>
      </c>
      <c r="J291" s="9" t="s">
        <v>41</v>
      </c>
      <c r="K291" s="9" t="s">
        <v>26</v>
      </c>
      <c r="L291" s="9" t="s">
        <v>187</v>
      </c>
      <c r="M291" s="9">
        <v>5999</v>
      </c>
      <c r="N291" s="9" t="s">
        <v>187</v>
      </c>
      <c r="O291" s="9" t="s">
        <v>2455</v>
      </c>
      <c r="P291" s="9" t="s">
        <v>1578</v>
      </c>
      <c r="Q291" s="9" t="s">
        <v>1579</v>
      </c>
    </row>
    <row r="292" spans="1:17" ht="15" customHeight="1">
      <c r="A292" s="8">
        <v>291</v>
      </c>
      <c r="B292" s="8" t="s">
        <v>1574</v>
      </c>
      <c r="C292" s="8" t="s">
        <v>2456</v>
      </c>
      <c r="D292" s="8" t="s">
        <v>2457</v>
      </c>
      <c r="E292" s="8" t="s">
        <v>21</v>
      </c>
      <c r="F292" s="8" t="s">
        <v>22</v>
      </c>
      <c r="G292" s="8">
        <v>545</v>
      </c>
      <c r="H292" s="8" t="s">
        <v>23</v>
      </c>
      <c r="I292" s="8" t="s">
        <v>138</v>
      </c>
      <c r="J292" s="8" t="s">
        <v>41</v>
      </c>
      <c r="K292" s="8" t="s">
        <v>26</v>
      </c>
      <c r="L292" s="8" t="s">
        <v>139</v>
      </c>
      <c r="M292" s="8">
        <v>5812</v>
      </c>
      <c r="N292" s="8" t="s">
        <v>139</v>
      </c>
      <c r="O292" s="8" t="s">
        <v>2458</v>
      </c>
      <c r="P292" s="8" t="s">
        <v>1578</v>
      </c>
      <c r="Q292" s="8" t="s">
        <v>1579</v>
      </c>
    </row>
    <row r="293" spans="1:17" ht="15" customHeight="1">
      <c r="A293" s="9">
        <v>292</v>
      </c>
      <c r="B293" s="9" t="s">
        <v>1574</v>
      </c>
      <c r="C293" s="9" t="s">
        <v>2459</v>
      </c>
      <c r="D293" s="9" t="s">
        <v>2460</v>
      </c>
      <c r="E293" s="9" t="s">
        <v>21</v>
      </c>
      <c r="F293" s="9" t="s">
        <v>22</v>
      </c>
      <c r="G293" s="9">
        <v>991</v>
      </c>
      <c r="H293" s="9" t="s">
        <v>23</v>
      </c>
      <c r="I293" s="9" t="s">
        <v>318</v>
      </c>
      <c r="J293" s="9" t="s">
        <v>25</v>
      </c>
      <c r="K293" s="9" t="s">
        <v>26</v>
      </c>
      <c r="L293" s="9" t="s">
        <v>319</v>
      </c>
      <c r="M293" s="9">
        <v>5999</v>
      </c>
      <c r="N293" s="9" t="s">
        <v>319</v>
      </c>
      <c r="O293" s="9" t="s">
        <v>2461</v>
      </c>
      <c r="P293" s="9" t="s">
        <v>1578</v>
      </c>
      <c r="Q293" s="9" t="s">
        <v>1579</v>
      </c>
    </row>
    <row r="294" spans="1:17" ht="15" customHeight="1">
      <c r="A294" s="8">
        <v>293</v>
      </c>
      <c r="B294" s="8" t="s">
        <v>1574</v>
      </c>
      <c r="C294" s="8" t="s">
        <v>2462</v>
      </c>
      <c r="D294" s="8" t="s">
        <v>2463</v>
      </c>
      <c r="E294" s="8" t="s">
        <v>21</v>
      </c>
      <c r="F294" s="8" t="s">
        <v>22</v>
      </c>
      <c r="G294" s="8">
        <v>546</v>
      </c>
      <c r="H294" s="8" t="s">
        <v>23</v>
      </c>
      <c r="I294" s="8" t="s">
        <v>115</v>
      </c>
      <c r="J294" s="8" t="s">
        <v>41</v>
      </c>
      <c r="K294" s="8" t="s">
        <v>26</v>
      </c>
      <c r="L294" s="8" t="s">
        <v>116</v>
      </c>
      <c r="M294" s="8">
        <v>5812</v>
      </c>
      <c r="N294" s="8" t="s">
        <v>116</v>
      </c>
      <c r="O294" s="8" t="s">
        <v>2464</v>
      </c>
      <c r="P294" s="8" t="s">
        <v>1578</v>
      </c>
      <c r="Q294" s="8" t="s">
        <v>1579</v>
      </c>
    </row>
    <row r="295" spans="1:17" ht="15" customHeight="1">
      <c r="A295" s="9">
        <v>294</v>
      </c>
      <c r="B295" s="9" t="s">
        <v>1574</v>
      </c>
      <c r="C295" s="9" t="s">
        <v>2465</v>
      </c>
      <c r="D295" s="9" t="s">
        <v>2466</v>
      </c>
      <c r="E295" s="9" t="s">
        <v>94</v>
      </c>
      <c r="F295" s="9" t="s">
        <v>22</v>
      </c>
      <c r="G295" s="9">
        <v>28100</v>
      </c>
      <c r="H295" s="9" t="s">
        <v>23</v>
      </c>
      <c r="I295" s="9" t="s">
        <v>1645</v>
      </c>
      <c r="J295" s="9" t="s">
        <v>96</v>
      </c>
      <c r="K295" s="9" t="s">
        <v>97</v>
      </c>
      <c r="L295" s="9" t="s">
        <v>1646</v>
      </c>
      <c r="M295" s="9"/>
      <c r="N295" s="9" t="s">
        <v>1646</v>
      </c>
      <c r="O295" s="9" t="s">
        <v>2467</v>
      </c>
      <c r="P295" s="9" t="s">
        <v>1578</v>
      </c>
      <c r="Q295" s="9" t="s">
        <v>1579</v>
      </c>
    </row>
    <row r="296" spans="1:17" ht="15" customHeight="1">
      <c r="A296" s="8">
        <v>295</v>
      </c>
      <c r="B296" s="8" t="s">
        <v>1574</v>
      </c>
      <c r="C296" s="8" t="s">
        <v>2468</v>
      </c>
      <c r="D296" s="8" t="s">
        <v>2469</v>
      </c>
      <c r="E296" s="8" t="s">
        <v>21</v>
      </c>
      <c r="F296" s="8" t="s">
        <v>22</v>
      </c>
      <c r="G296" s="8">
        <v>2047</v>
      </c>
      <c r="H296" s="8" t="s">
        <v>23</v>
      </c>
      <c r="I296" s="8" t="s">
        <v>119</v>
      </c>
      <c r="J296" s="8" t="s">
        <v>25</v>
      </c>
      <c r="K296" s="8" t="s">
        <v>26</v>
      </c>
      <c r="L296" s="8" t="s">
        <v>120</v>
      </c>
      <c r="M296" s="8">
        <v>8299</v>
      </c>
      <c r="N296" s="8" t="s">
        <v>120</v>
      </c>
      <c r="O296" s="8" t="s">
        <v>2470</v>
      </c>
      <c r="P296" s="8" t="s">
        <v>1578</v>
      </c>
      <c r="Q296" s="8" t="s">
        <v>1579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7" style="5" customWidth="1"/>
    <col min="13" max="13" width="22" style="5" customWidth="1"/>
    <col min="14" max="14" width="27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2471</v>
      </c>
      <c r="T1" s="4"/>
      <c r="U1" s="4"/>
      <c r="V1" s="4"/>
      <c r="W1" s="4"/>
    </row>
    <row r="2" spans="1:23" ht="13.5" customHeight="1">
      <c r="A2" s="8">
        <v>1</v>
      </c>
      <c r="B2" s="8" t="s">
        <v>2472</v>
      </c>
      <c r="C2" s="8" t="s">
        <v>2473</v>
      </c>
      <c r="D2" s="8" t="s">
        <v>2474</v>
      </c>
      <c r="E2" s="8" t="s">
        <v>21</v>
      </c>
      <c r="F2" s="8" t="s">
        <v>22</v>
      </c>
      <c r="G2" s="8">
        <v>507</v>
      </c>
      <c r="H2" s="8" t="s">
        <v>23</v>
      </c>
      <c r="I2" s="8" t="s">
        <v>102</v>
      </c>
      <c r="J2" s="8" t="s">
        <v>41</v>
      </c>
      <c r="K2" s="8" t="s">
        <v>26</v>
      </c>
      <c r="L2" s="8" t="s">
        <v>103</v>
      </c>
      <c r="M2" s="8">
        <v>5411</v>
      </c>
      <c r="N2" s="8" t="s">
        <v>103</v>
      </c>
      <c r="O2" s="8" t="s">
        <v>2475</v>
      </c>
      <c r="P2" s="8" t="s">
        <v>2476</v>
      </c>
      <c r="Q2" s="8" t="s">
        <v>2477</v>
      </c>
      <c r="R2" s="7"/>
      <c r="S2" s="3" t="s">
        <v>2478</v>
      </c>
      <c r="T2" s="3"/>
      <c r="U2" s="3"/>
      <c r="V2" s="3"/>
      <c r="W2" s="3"/>
    </row>
    <row r="3" spans="1:23" ht="3.75" customHeight="1">
      <c r="A3" s="9">
        <v>2</v>
      </c>
      <c r="B3" s="9" t="s">
        <v>2472</v>
      </c>
      <c r="C3" s="9" t="s">
        <v>2479</v>
      </c>
      <c r="D3" s="9" t="s">
        <v>2480</v>
      </c>
      <c r="E3" s="9" t="s">
        <v>21</v>
      </c>
      <c r="F3" s="9" t="s">
        <v>22</v>
      </c>
      <c r="G3" s="9">
        <v>862</v>
      </c>
      <c r="H3" s="9" t="s">
        <v>23</v>
      </c>
      <c r="I3" s="9" t="s">
        <v>90</v>
      </c>
      <c r="J3" s="9" t="s">
        <v>36</v>
      </c>
      <c r="K3" s="9" t="s">
        <v>26</v>
      </c>
      <c r="L3" s="9" t="s">
        <v>91</v>
      </c>
      <c r="M3" s="9">
        <v>4900</v>
      </c>
      <c r="N3" s="9" t="s">
        <v>91</v>
      </c>
      <c r="O3" s="9" t="s">
        <v>2481</v>
      </c>
      <c r="P3" s="9" t="s">
        <v>2476</v>
      </c>
      <c r="Q3" s="9" t="s">
        <v>2477</v>
      </c>
      <c r="R3" s="7"/>
    </row>
    <row r="4" spans="1:23" ht="15" customHeight="1">
      <c r="A4" s="8">
        <v>3</v>
      </c>
      <c r="B4" s="8" t="s">
        <v>2472</v>
      </c>
      <c r="C4" s="8" t="s">
        <v>2482</v>
      </c>
      <c r="D4" s="8" t="s">
        <v>2483</v>
      </c>
      <c r="E4" s="8" t="s">
        <v>21</v>
      </c>
      <c r="F4" s="8" t="s">
        <v>22</v>
      </c>
      <c r="G4" s="8">
        <v>1400</v>
      </c>
      <c r="H4" s="8" t="s">
        <v>23</v>
      </c>
      <c r="I4" s="8" t="s">
        <v>2484</v>
      </c>
      <c r="J4" s="8" t="s">
        <v>36</v>
      </c>
      <c r="K4" s="8" t="s">
        <v>26</v>
      </c>
      <c r="L4" s="8" t="s">
        <v>2485</v>
      </c>
      <c r="M4" s="8">
        <v>6012</v>
      </c>
      <c r="N4" s="8" t="s">
        <v>2485</v>
      </c>
      <c r="O4" s="8" t="s">
        <v>2486</v>
      </c>
      <c r="P4" s="8" t="s">
        <v>2476</v>
      </c>
      <c r="Q4" s="8" t="s">
        <v>2477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2472</v>
      </c>
      <c r="C5" s="9" t="s">
        <v>2487</v>
      </c>
      <c r="D5" s="9" t="s">
        <v>2488</v>
      </c>
      <c r="E5" s="9" t="s">
        <v>21</v>
      </c>
      <c r="F5" s="9" t="s">
        <v>22</v>
      </c>
      <c r="G5" s="9">
        <v>226</v>
      </c>
      <c r="H5" s="9" t="s">
        <v>23</v>
      </c>
      <c r="I5" s="9" t="s">
        <v>52</v>
      </c>
      <c r="J5" s="9" t="s">
        <v>41</v>
      </c>
      <c r="K5" s="9" t="s">
        <v>26</v>
      </c>
      <c r="L5" s="9" t="s">
        <v>53</v>
      </c>
      <c r="M5" s="9">
        <v>5812</v>
      </c>
      <c r="N5" s="9" t="s">
        <v>53</v>
      </c>
      <c r="O5" s="9" t="s">
        <v>2489</v>
      </c>
      <c r="P5" s="9" t="s">
        <v>2476</v>
      </c>
      <c r="Q5" s="9" t="s">
        <v>2477</v>
      </c>
      <c r="R5" s="7"/>
      <c r="S5" s="10" t="s">
        <v>48</v>
      </c>
      <c r="T5" s="11">
        <v>37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2472</v>
      </c>
      <c r="C6" s="8" t="s">
        <v>2490</v>
      </c>
      <c r="D6" s="8" t="s">
        <v>2491</v>
      </c>
      <c r="E6" s="8" t="s">
        <v>21</v>
      </c>
      <c r="F6" s="8" t="s">
        <v>22</v>
      </c>
      <c r="G6" s="8">
        <v>282</v>
      </c>
      <c r="H6" s="8" t="s">
        <v>23</v>
      </c>
      <c r="I6" s="8" t="s">
        <v>143</v>
      </c>
      <c r="J6" s="8" t="s">
        <v>41</v>
      </c>
      <c r="K6" s="8" t="s">
        <v>26</v>
      </c>
      <c r="L6" s="8" t="s">
        <v>144</v>
      </c>
      <c r="M6" s="8">
        <v>7996</v>
      </c>
      <c r="N6" s="8" t="s">
        <v>144</v>
      </c>
      <c r="O6" s="8" t="s">
        <v>2492</v>
      </c>
      <c r="P6" s="8" t="s">
        <v>2476</v>
      </c>
      <c r="Q6" s="8" t="s">
        <v>2477</v>
      </c>
      <c r="R6" s="7"/>
    </row>
    <row r="7" spans="1:23" ht="15" customHeight="1">
      <c r="A7" s="9">
        <v>6</v>
      </c>
      <c r="B7" s="9" t="s">
        <v>2472</v>
      </c>
      <c r="C7" s="9" t="s">
        <v>2493</v>
      </c>
      <c r="D7" s="9" t="s">
        <v>2494</v>
      </c>
      <c r="E7" s="9" t="s">
        <v>21</v>
      </c>
      <c r="F7" s="9" t="s">
        <v>22</v>
      </c>
      <c r="G7" s="9">
        <v>225</v>
      </c>
      <c r="H7" s="9" t="s">
        <v>23</v>
      </c>
      <c r="I7" s="9" t="s">
        <v>40</v>
      </c>
      <c r="J7" s="9" t="s">
        <v>41</v>
      </c>
      <c r="K7" s="9" t="s">
        <v>26</v>
      </c>
      <c r="L7" s="9" t="s">
        <v>42</v>
      </c>
      <c r="M7" s="9">
        <v>5812</v>
      </c>
      <c r="N7" s="9" t="s">
        <v>42</v>
      </c>
      <c r="O7" s="9" t="s">
        <v>2495</v>
      </c>
      <c r="P7" s="9" t="s">
        <v>2476</v>
      </c>
      <c r="Q7" s="9" t="s">
        <v>2477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2472</v>
      </c>
      <c r="C8" s="8" t="s">
        <v>2496</v>
      </c>
      <c r="D8" s="8" t="s">
        <v>2497</v>
      </c>
      <c r="E8" s="8" t="s">
        <v>21</v>
      </c>
      <c r="F8" s="8" t="s">
        <v>22</v>
      </c>
      <c r="G8" s="8">
        <v>506</v>
      </c>
      <c r="H8" s="8" t="s">
        <v>23</v>
      </c>
      <c r="I8" s="8" t="s">
        <v>379</v>
      </c>
      <c r="J8" s="8" t="s">
        <v>41</v>
      </c>
      <c r="K8" s="8" t="s">
        <v>26</v>
      </c>
      <c r="L8" s="8" t="s">
        <v>380</v>
      </c>
      <c r="M8" s="8">
        <v>5411</v>
      </c>
      <c r="N8" s="8" t="s">
        <v>380</v>
      </c>
      <c r="O8" s="8" t="s">
        <v>2498</v>
      </c>
      <c r="P8" s="8" t="s">
        <v>2476</v>
      </c>
      <c r="Q8" s="8" t="s">
        <v>2477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2472</v>
      </c>
      <c r="C9" s="9" t="s">
        <v>2499</v>
      </c>
      <c r="D9" s="9" t="s">
        <v>2500</v>
      </c>
      <c r="E9" s="9" t="s">
        <v>21</v>
      </c>
      <c r="F9" s="9" t="s">
        <v>22</v>
      </c>
      <c r="G9" s="9">
        <v>499</v>
      </c>
      <c r="H9" s="9" t="s">
        <v>23</v>
      </c>
      <c r="I9" s="9" t="s">
        <v>174</v>
      </c>
      <c r="J9" s="9" t="s">
        <v>36</v>
      </c>
      <c r="K9" s="9" t="s">
        <v>26</v>
      </c>
      <c r="L9" s="9" t="s">
        <v>175</v>
      </c>
      <c r="M9" s="9">
        <v>4813</v>
      </c>
      <c r="N9" s="9" t="s">
        <v>175</v>
      </c>
      <c r="O9" s="9" t="s">
        <v>2501</v>
      </c>
      <c r="P9" s="9" t="s">
        <v>2476</v>
      </c>
      <c r="Q9" s="9" t="s">
        <v>2477</v>
      </c>
      <c r="R9" s="7"/>
      <c r="S9" s="15">
        <v>45689</v>
      </c>
      <c r="T9" s="16">
        <f t="shared" ref="T9:T20" si="0">IFERROR(SUMPRODUCT((LEFT($C$2:$C$214,7)=TEXT(S9,"YYYY-MM"))*($E$2:$E$214="KSAOB.Credit")*($K$2:$K$214="KSAOB.Deposit")*($G$2:$G$214)),0)</f>
        <v>13200</v>
      </c>
      <c r="U9" s="16">
        <f t="shared" ref="U9:U20" si="1">IFERROR(SUMPRODUCT((LEFT($C$2:$C$214,7)=TEXT(S9,"YYYY-MM"))*($E$2:$E$214="KSAOB.Debit")*($M$2:$M$214=6012)*($G$2:$G$214)),0)</f>
        <v>1400</v>
      </c>
      <c r="V9" s="16">
        <f t="shared" ref="V9:V20" si="2">IFERROR(SUMPRODUCT((LEFT($C$2:$C$214,7)=TEXT(S9,"YYYY-MM"))*($E$2:$E$214="KSAOB.Debit")*($M$2:$M$214&lt;&gt;6012)*($G$2:$G$214)),0)</f>
        <v>8948</v>
      </c>
      <c r="W9" s="17">
        <f t="shared" ref="W9:W20" si="3">T9-U9-V9</f>
        <v>2852</v>
      </c>
    </row>
    <row r="10" spans="1:23" ht="15" customHeight="1">
      <c r="A10" s="8">
        <v>9</v>
      </c>
      <c r="B10" s="8" t="s">
        <v>2472</v>
      </c>
      <c r="C10" s="8" t="s">
        <v>2502</v>
      </c>
      <c r="D10" s="8" t="s">
        <v>2503</v>
      </c>
      <c r="E10" s="8" t="s">
        <v>21</v>
      </c>
      <c r="F10" s="8" t="s">
        <v>22</v>
      </c>
      <c r="G10" s="8">
        <v>226</v>
      </c>
      <c r="H10" s="8" t="s">
        <v>23</v>
      </c>
      <c r="I10" s="8" t="s">
        <v>40</v>
      </c>
      <c r="J10" s="8" t="s">
        <v>41</v>
      </c>
      <c r="K10" s="8" t="s">
        <v>26</v>
      </c>
      <c r="L10" s="8" t="s">
        <v>42</v>
      </c>
      <c r="M10" s="8">
        <v>5812</v>
      </c>
      <c r="N10" s="8" t="s">
        <v>42</v>
      </c>
      <c r="O10" s="8" t="s">
        <v>2504</v>
      </c>
      <c r="P10" s="8" t="s">
        <v>2476</v>
      </c>
      <c r="Q10" s="8" t="s">
        <v>2477</v>
      </c>
      <c r="R10" s="7"/>
      <c r="S10" s="18">
        <v>45717</v>
      </c>
      <c r="T10" s="19">
        <f t="shared" si="0"/>
        <v>13500</v>
      </c>
      <c r="U10" s="19">
        <f t="shared" si="1"/>
        <v>1400</v>
      </c>
      <c r="V10" s="19">
        <f t="shared" si="2"/>
        <v>9180</v>
      </c>
      <c r="W10" s="20">
        <f t="shared" si="3"/>
        <v>2920</v>
      </c>
    </row>
    <row r="11" spans="1:23" ht="15" customHeight="1">
      <c r="A11" s="9">
        <v>10</v>
      </c>
      <c r="B11" s="9" t="s">
        <v>2472</v>
      </c>
      <c r="C11" s="9" t="s">
        <v>2505</v>
      </c>
      <c r="D11" s="9" t="s">
        <v>2506</v>
      </c>
      <c r="E11" s="9" t="s">
        <v>21</v>
      </c>
      <c r="F11" s="9" t="s">
        <v>22</v>
      </c>
      <c r="G11" s="9">
        <v>282</v>
      </c>
      <c r="H11" s="9" t="s">
        <v>23</v>
      </c>
      <c r="I11" s="9" t="s">
        <v>695</v>
      </c>
      <c r="J11" s="9" t="s">
        <v>41</v>
      </c>
      <c r="K11" s="9" t="s">
        <v>26</v>
      </c>
      <c r="L11" s="9" t="s">
        <v>696</v>
      </c>
      <c r="M11" s="9">
        <v>7996</v>
      </c>
      <c r="N11" s="9" t="s">
        <v>696</v>
      </c>
      <c r="O11" s="9" t="s">
        <v>2507</v>
      </c>
      <c r="P11" s="9" t="s">
        <v>2476</v>
      </c>
      <c r="Q11" s="9" t="s">
        <v>2477</v>
      </c>
      <c r="R11" s="7"/>
      <c r="S11" s="15">
        <v>45748</v>
      </c>
      <c r="T11" s="16">
        <f t="shared" si="0"/>
        <v>13400</v>
      </c>
      <c r="U11" s="16">
        <f t="shared" si="1"/>
        <v>1400</v>
      </c>
      <c r="V11" s="16">
        <f t="shared" si="2"/>
        <v>9112</v>
      </c>
      <c r="W11" s="17">
        <f t="shared" si="3"/>
        <v>2888</v>
      </c>
    </row>
    <row r="12" spans="1:23" ht="15" customHeight="1">
      <c r="A12" s="8">
        <v>11</v>
      </c>
      <c r="B12" s="8" t="s">
        <v>2472</v>
      </c>
      <c r="C12" s="8" t="s">
        <v>2508</v>
      </c>
      <c r="D12" s="8" t="s">
        <v>2509</v>
      </c>
      <c r="E12" s="8" t="s">
        <v>21</v>
      </c>
      <c r="F12" s="8" t="s">
        <v>22</v>
      </c>
      <c r="G12" s="8">
        <v>506</v>
      </c>
      <c r="H12" s="8" t="s">
        <v>23</v>
      </c>
      <c r="I12" s="8" t="s">
        <v>244</v>
      </c>
      <c r="J12" s="8" t="s">
        <v>41</v>
      </c>
      <c r="K12" s="8" t="s">
        <v>26</v>
      </c>
      <c r="L12" s="8" t="s">
        <v>245</v>
      </c>
      <c r="M12" s="8">
        <v>5411</v>
      </c>
      <c r="N12" s="8" t="s">
        <v>245</v>
      </c>
      <c r="O12" s="8" t="s">
        <v>2510</v>
      </c>
      <c r="P12" s="8" t="s">
        <v>2476</v>
      </c>
      <c r="Q12" s="8" t="s">
        <v>2477</v>
      </c>
      <c r="R12" s="7"/>
      <c r="S12" s="18">
        <v>45778</v>
      </c>
      <c r="T12" s="19">
        <f t="shared" si="0"/>
        <v>13600</v>
      </c>
      <c r="U12" s="19">
        <f t="shared" si="1"/>
        <v>1400</v>
      </c>
      <c r="V12" s="19">
        <f t="shared" si="2"/>
        <v>9248</v>
      </c>
      <c r="W12" s="20">
        <f t="shared" si="3"/>
        <v>2952</v>
      </c>
    </row>
    <row r="13" spans="1:23" ht="15" customHeight="1">
      <c r="A13" s="9">
        <v>12</v>
      </c>
      <c r="B13" s="9" t="s">
        <v>2472</v>
      </c>
      <c r="C13" s="9" t="s">
        <v>2511</v>
      </c>
      <c r="D13" s="9" t="s">
        <v>2512</v>
      </c>
      <c r="E13" s="9" t="s">
        <v>21</v>
      </c>
      <c r="F13" s="9" t="s">
        <v>22</v>
      </c>
      <c r="G13" s="9">
        <v>386</v>
      </c>
      <c r="H13" s="9" t="s">
        <v>23</v>
      </c>
      <c r="I13" s="9" t="s">
        <v>593</v>
      </c>
      <c r="J13" s="9" t="s">
        <v>331</v>
      </c>
      <c r="K13" s="9" t="s">
        <v>26</v>
      </c>
      <c r="L13" s="9" t="s">
        <v>594</v>
      </c>
      <c r="M13" s="9">
        <v>6011</v>
      </c>
      <c r="N13" s="9" t="s">
        <v>594</v>
      </c>
      <c r="O13" s="9" t="s">
        <v>2513</v>
      </c>
      <c r="P13" s="9" t="s">
        <v>2476</v>
      </c>
      <c r="Q13" s="9" t="s">
        <v>2477</v>
      </c>
      <c r="R13" s="7"/>
      <c r="S13" s="15">
        <v>45809</v>
      </c>
      <c r="T13" s="16">
        <f t="shared" si="0"/>
        <v>13300</v>
      </c>
      <c r="U13" s="16">
        <f t="shared" si="1"/>
        <v>1400</v>
      </c>
      <c r="V13" s="16">
        <f t="shared" si="2"/>
        <v>9044</v>
      </c>
      <c r="W13" s="17">
        <f t="shared" si="3"/>
        <v>2856</v>
      </c>
    </row>
    <row r="14" spans="1:23" ht="15" customHeight="1">
      <c r="A14" s="8">
        <v>13</v>
      </c>
      <c r="B14" s="8" t="s">
        <v>2472</v>
      </c>
      <c r="C14" s="8" t="s">
        <v>2514</v>
      </c>
      <c r="D14" s="8" t="s">
        <v>2515</v>
      </c>
      <c r="E14" s="8" t="s">
        <v>21</v>
      </c>
      <c r="F14" s="8" t="s">
        <v>22</v>
      </c>
      <c r="G14" s="8">
        <v>608</v>
      </c>
      <c r="H14" s="8" t="s">
        <v>23</v>
      </c>
      <c r="I14" s="8" t="s">
        <v>318</v>
      </c>
      <c r="J14" s="8" t="s">
        <v>25</v>
      </c>
      <c r="K14" s="8" t="s">
        <v>26</v>
      </c>
      <c r="L14" s="8" t="s">
        <v>319</v>
      </c>
      <c r="M14" s="8">
        <v>5999</v>
      </c>
      <c r="N14" s="8" t="s">
        <v>319</v>
      </c>
      <c r="O14" s="8" t="s">
        <v>2516</v>
      </c>
      <c r="P14" s="8" t="s">
        <v>2476</v>
      </c>
      <c r="Q14" s="8" t="s">
        <v>2477</v>
      </c>
      <c r="R14" s="7"/>
      <c r="S14" s="18">
        <v>45839</v>
      </c>
      <c r="T14" s="19">
        <f t="shared" si="0"/>
        <v>13500</v>
      </c>
      <c r="U14" s="19">
        <f t="shared" si="1"/>
        <v>1400</v>
      </c>
      <c r="V14" s="19">
        <f t="shared" si="2"/>
        <v>9180</v>
      </c>
      <c r="W14" s="20">
        <f t="shared" si="3"/>
        <v>2920</v>
      </c>
    </row>
    <row r="15" spans="1:23" ht="15" customHeight="1">
      <c r="A15" s="9">
        <v>14</v>
      </c>
      <c r="B15" s="9" t="s">
        <v>2472</v>
      </c>
      <c r="C15" s="9" t="s">
        <v>2517</v>
      </c>
      <c r="D15" s="9" t="s">
        <v>2518</v>
      </c>
      <c r="E15" s="9" t="s">
        <v>21</v>
      </c>
      <c r="F15" s="9" t="s">
        <v>22</v>
      </c>
      <c r="G15" s="9">
        <v>643</v>
      </c>
      <c r="H15" s="9" t="s">
        <v>23</v>
      </c>
      <c r="I15" s="9" t="s">
        <v>70</v>
      </c>
      <c r="J15" s="9" t="s">
        <v>41</v>
      </c>
      <c r="K15" s="9" t="s">
        <v>26</v>
      </c>
      <c r="L15" s="9" t="s">
        <v>71</v>
      </c>
      <c r="M15" s="9">
        <v>5541</v>
      </c>
      <c r="N15" s="9" t="s">
        <v>71</v>
      </c>
      <c r="O15" s="9" t="s">
        <v>2519</v>
      </c>
      <c r="P15" s="9" t="s">
        <v>2476</v>
      </c>
      <c r="Q15" s="9" t="s">
        <v>2477</v>
      </c>
      <c r="R15" s="7"/>
      <c r="S15" s="15">
        <v>45870</v>
      </c>
      <c r="T15" s="16">
        <f t="shared" si="0"/>
        <v>13400</v>
      </c>
      <c r="U15" s="16">
        <f t="shared" si="1"/>
        <v>1400</v>
      </c>
      <c r="V15" s="16">
        <f t="shared" si="2"/>
        <v>9112</v>
      </c>
      <c r="W15" s="17">
        <f t="shared" si="3"/>
        <v>2888</v>
      </c>
    </row>
    <row r="16" spans="1:23" ht="15" customHeight="1">
      <c r="A16" s="8">
        <v>15</v>
      </c>
      <c r="B16" s="8" t="s">
        <v>2472</v>
      </c>
      <c r="C16" s="8" t="s">
        <v>2520</v>
      </c>
      <c r="D16" s="8" t="s">
        <v>2521</v>
      </c>
      <c r="E16" s="8" t="s">
        <v>21</v>
      </c>
      <c r="F16" s="8" t="s">
        <v>22</v>
      </c>
      <c r="G16" s="8">
        <v>1033</v>
      </c>
      <c r="H16" s="8" t="s">
        <v>23</v>
      </c>
      <c r="I16" s="8" t="s">
        <v>24</v>
      </c>
      <c r="J16" s="8" t="s">
        <v>25</v>
      </c>
      <c r="K16" s="8" t="s">
        <v>26</v>
      </c>
      <c r="L16" s="8" t="s">
        <v>27</v>
      </c>
      <c r="M16" s="8">
        <v>8299</v>
      </c>
      <c r="N16" s="8" t="s">
        <v>27</v>
      </c>
      <c r="O16" s="8" t="s">
        <v>2522</v>
      </c>
      <c r="P16" s="8" t="s">
        <v>2476</v>
      </c>
      <c r="Q16" s="8" t="s">
        <v>2477</v>
      </c>
      <c r="R16" s="7"/>
      <c r="S16" s="18">
        <v>45901</v>
      </c>
      <c r="T16" s="19">
        <f t="shared" si="0"/>
        <v>13700</v>
      </c>
      <c r="U16" s="19">
        <f t="shared" si="1"/>
        <v>1400</v>
      </c>
      <c r="V16" s="19">
        <f t="shared" si="2"/>
        <v>9316</v>
      </c>
      <c r="W16" s="20">
        <f t="shared" si="3"/>
        <v>2984</v>
      </c>
    </row>
    <row r="17" spans="1:23" ht="15" customHeight="1">
      <c r="A17" s="9">
        <v>16</v>
      </c>
      <c r="B17" s="9" t="s">
        <v>2472</v>
      </c>
      <c r="C17" s="9" t="s">
        <v>2523</v>
      </c>
      <c r="D17" s="9" t="s">
        <v>2524</v>
      </c>
      <c r="E17" s="9" t="s">
        <v>21</v>
      </c>
      <c r="F17" s="9" t="s">
        <v>22</v>
      </c>
      <c r="G17" s="9">
        <v>506</v>
      </c>
      <c r="H17" s="9" t="s">
        <v>23</v>
      </c>
      <c r="I17" s="9" t="s">
        <v>131</v>
      </c>
      <c r="J17" s="9" t="s">
        <v>41</v>
      </c>
      <c r="K17" s="9" t="s">
        <v>26</v>
      </c>
      <c r="L17" s="9" t="s">
        <v>132</v>
      </c>
      <c r="M17" s="9">
        <v>5411</v>
      </c>
      <c r="N17" s="9" t="s">
        <v>132</v>
      </c>
      <c r="O17" s="9" t="s">
        <v>2525</v>
      </c>
      <c r="P17" s="9" t="s">
        <v>2476</v>
      </c>
      <c r="Q17" s="9" t="s">
        <v>2477</v>
      </c>
      <c r="R17" s="7"/>
      <c r="S17" s="15">
        <v>45931</v>
      </c>
      <c r="T17" s="16">
        <f t="shared" si="0"/>
        <v>13200</v>
      </c>
      <c r="U17" s="16">
        <f t="shared" si="1"/>
        <v>1400</v>
      </c>
      <c r="V17" s="16">
        <f t="shared" si="2"/>
        <v>8948</v>
      </c>
      <c r="W17" s="17">
        <f t="shared" si="3"/>
        <v>2852</v>
      </c>
    </row>
    <row r="18" spans="1:23" ht="15" customHeight="1">
      <c r="A18" s="8">
        <v>17</v>
      </c>
      <c r="B18" s="8" t="s">
        <v>2472</v>
      </c>
      <c r="C18" s="8" t="s">
        <v>2526</v>
      </c>
      <c r="D18" s="8" t="s">
        <v>2527</v>
      </c>
      <c r="E18" s="8" t="s">
        <v>21</v>
      </c>
      <c r="F18" s="8" t="s">
        <v>22</v>
      </c>
      <c r="G18" s="8">
        <v>817</v>
      </c>
      <c r="H18" s="8" t="s">
        <v>23</v>
      </c>
      <c r="I18" s="8" t="s">
        <v>56</v>
      </c>
      <c r="J18" s="8" t="s">
        <v>41</v>
      </c>
      <c r="K18" s="8" t="s">
        <v>26</v>
      </c>
      <c r="L18" s="8" t="s">
        <v>57</v>
      </c>
      <c r="M18" s="8">
        <v>5999</v>
      </c>
      <c r="N18" s="8" t="s">
        <v>57</v>
      </c>
      <c r="O18" s="8" t="s">
        <v>2528</v>
      </c>
      <c r="P18" s="8" t="s">
        <v>2476</v>
      </c>
      <c r="Q18" s="8" t="s">
        <v>2477</v>
      </c>
      <c r="R18" s="7"/>
      <c r="S18" s="18">
        <v>45962</v>
      </c>
      <c r="T18" s="19">
        <f t="shared" si="0"/>
        <v>13500</v>
      </c>
      <c r="U18" s="19">
        <f t="shared" si="1"/>
        <v>1400</v>
      </c>
      <c r="V18" s="19">
        <f t="shared" si="2"/>
        <v>9180</v>
      </c>
      <c r="W18" s="20">
        <f t="shared" si="3"/>
        <v>2920</v>
      </c>
    </row>
    <row r="19" spans="1:23" ht="15" customHeight="1">
      <c r="A19" s="9">
        <v>18</v>
      </c>
      <c r="B19" s="9" t="s">
        <v>2472</v>
      </c>
      <c r="C19" s="9" t="s">
        <v>2529</v>
      </c>
      <c r="D19" s="9" t="s">
        <v>2530</v>
      </c>
      <c r="E19" s="9" t="s">
        <v>21</v>
      </c>
      <c r="F19" s="9" t="s">
        <v>22</v>
      </c>
      <c r="G19" s="9">
        <v>608</v>
      </c>
      <c r="H19" s="9" t="s">
        <v>23</v>
      </c>
      <c r="I19" s="9" t="s">
        <v>127</v>
      </c>
      <c r="J19" s="9" t="s">
        <v>25</v>
      </c>
      <c r="K19" s="9" t="s">
        <v>26</v>
      </c>
      <c r="L19" s="9" t="s">
        <v>128</v>
      </c>
      <c r="M19" s="9">
        <v>5999</v>
      </c>
      <c r="N19" s="9" t="s">
        <v>128</v>
      </c>
      <c r="O19" s="9" t="s">
        <v>2531</v>
      </c>
      <c r="P19" s="9" t="s">
        <v>2476</v>
      </c>
      <c r="Q19" s="9" t="s">
        <v>2477</v>
      </c>
      <c r="R19" s="7"/>
      <c r="S19" s="15">
        <v>45992</v>
      </c>
      <c r="T19" s="16">
        <f t="shared" si="0"/>
        <v>13400</v>
      </c>
      <c r="U19" s="16">
        <f t="shared" si="1"/>
        <v>1400</v>
      </c>
      <c r="V19" s="16">
        <f t="shared" si="2"/>
        <v>9112</v>
      </c>
      <c r="W19" s="17">
        <f t="shared" si="3"/>
        <v>2888</v>
      </c>
    </row>
    <row r="20" spans="1:23" ht="15" customHeight="1">
      <c r="A20" s="8">
        <v>19</v>
      </c>
      <c r="B20" s="8" t="s">
        <v>2472</v>
      </c>
      <c r="C20" s="8" t="s">
        <v>2532</v>
      </c>
      <c r="D20" s="8" t="s">
        <v>2533</v>
      </c>
      <c r="E20" s="8" t="s">
        <v>94</v>
      </c>
      <c r="F20" s="8" t="s">
        <v>22</v>
      </c>
      <c r="G20" s="8">
        <v>13200</v>
      </c>
      <c r="H20" s="8" t="s">
        <v>23</v>
      </c>
      <c r="I20" s="8" t="s">
        <v>2534</v>
      </c>
      <c r="J20" s="8" t="s">
        <v>96</v>
      </c>
      <c r="K20" s="8" t="s">
        <v>97</v>
      </c>
      <c r="L20" s="8" t="s">
        <v>2476</v>
      </c>
      <c r="M20" s="8"/>
      <c r="N20" s="8" t="s">
        <v>2476</v>
      </c>
      <c r="O20" s="8" t="s">
        <v>2535</v>
      </c>
      <c r="P20" s="8" t="s">
        <v>2476</v>
      </c>
      <c r="Q20" s="8" t="s">
        <v>2477</v>
      </c>
      <c r="R20" s="7"/>
      <c r="S20" s="18">
        <v>46023</v>
      </c>
      <c r="T20" s="19">
        <f t="shared" si="0"/>
        <v>13600</v>
      </c>
      <c r="U20" s="19">
        <f t="shared" si="1"/>
        <v>1400</v>
      </c>
      <c r="V20" s="19">
        <f t="shared" si="2"/>
        <v>9248</v>
      </c>
      <c r="W20" s="20">
        <f t="shared" si="3"/>
        <v>2952</v>
      </c>
    </row>
    <row r="21" spans="1:23" ht="15" customHeight="1">
      <c r="A21" s="9">
        <v>20</v>
      </c>
      <c r="B21" s="9" t="s">
        <v>2472</v>
      </c>
      <c r="C21" s="9" t="s">
        <v>2536</v>
      </c>
      <c r="D21" s="9" t="s">
        <v>2537</v>
      </c>
      <c r="E21" s="9" t="s">
        <v>21</v>
      </c>
      <c r="F21" s="9" t="s">
        <v>22</v>
      </c>
      <c r="G21" s="9">
        <v>226</v>
      </c>
      <c r="H21" s="9" t="s">
        <v>23</v>
      </c>
      <c r="I21" s="9" t="s">
        <v>115</v>
      </c>
      <c r="J21" s="9" t="s">
        <v>41</v>
      </c>
      <c r="K21" s="9" t="s">
        <v>26</v>
      </c>
      <c r="L21" s="9" t="s">
        <v>116</v>
      </c>
      <c r="M21" s="9">
        <v>5812</v>
      </c>
      <c r="N21" s="9" t="s">
        <v>116</v>
      </c>
      <c r="O21" s="9" t="s">
        <v>2538</v>
      </c>
      <c r="P21" s="9" t="s">
        <v>2476</v>
      </c>
      <c r="Q21" s="9" t="s">
        <v>2477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2472</v>
      </c>
      <c r="C22" s="8" t="s">
        <v>2539</v>
      </c>
      <c r="D22" s="8" t="s">
        <v>2540</v>
      </c>
      <c r="E22" s="8" t="s">
        <v>21</v>
      </c>
      <c r="F22" s="8" t="s">
        <v>22</v>
      </c>
      <c r="G22" s="8">
        <v>455</v>
      </c>
      <c r="H22" s="8" t="s">
        <v>23</v>
      </c>
      <c r="I22" s="8" t="s">
        <v>40</v>
      </c>
      <c r="J22" s="8" t="s">
        <v>41</v>
      </c>
      <c r="K22" s="8" t="s">
        <v>26</v>
      </c>
      <c r="L22" s="8" t="s">
        <v>42</v>
      </c>
      <c r="M22" s="8">
        <v>5812</v>
      </c>
      <c r="N22" s="8" t="s">
        <v>42</v>
      </c>
      <c r="O22" s="8" t="s">
        <v>2541</v>
      </c>
      <c r="P22" s="8" t="s">
        <v>2476</v>
      </c>
      <c r="Q22" s="8" t="s">
        <v>2477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2472</v>
      </c>
      <c r="C23" s="9" t="s">
        <v>2542</v>
      </c>
      <c r="D23" s="9" t="s">
        <v>2543</v>
      </c>
      <c r="E23" s="9" t="s">
        <v>21</v>
      </c>
      <c r="F23" s="9" t="s">
        <v>22</v>
      </c>
      <c r="G23" s="9">
        <v>1400</v>
      </c>
      <c r="H23" s="9" t="s">
        <v>23</v>
      </c>
      <c r="I23" s="9" t="s">
        <v>2484</v>
      </c>
      <c r="J23" s="9" t="s">
        <v>36</v>
      </c>
      <c r="K23" s="9" t="s">
        <v>26</v>
      </c>
      <c r="L23" s="9" t="s">
        <v>2485</v>
      </c>
      <c r="M23" s="9">
        <v>6012</v>
      </c>
      <c r="N23" s="9" t="s">
        <v>2485</v>
      </c>
      <c r="O23" s="9" t="s">
        <v>2544</v>
      </c>
      <c r="P23" s="9" t="s">
        <v>2476</v>
      </c>
      <c r="Q23" s="9" t="s">
        <v>2477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2472</v>
      </c>
      <c r="C24" s="8" t="s">
        <v>2545</v>
      </c>
      <c r="D24" s="8" t="s">
        <v>2546</v>
      </c>
      <c r="E24" s="8" t="s">
        <v>21</v>
      </c>
      <c r="F24" s="8" t="s">
        <v>22</v>
      </c>
      <c r="G24" s="8">
        <v>504</v>
      </c>
      <c r="H24" s="8" t="s">
        <v>23</v>
      </c>
      <c r="I24" s="8" t="s">
        <v>234</v>
      </c>
      <c r="J24" s="8" t="s">
        <v>41</v>
      </c>
      <c r="K24" s="8" t="s">
        <v>26</v>
      </c>
      <c r="L24" s="8" t="s">
        <v>235</v>
      </c>
      <c r="M24" s="8">
        <v>8011</v>
      </c>
      <c r="N24" s="8" t="s">
        <v>235</v>
      </c>
      <c r="O24" s="8" t="s">
        <v>2547</v>
      </c>
      <c r="P24" s="8" t="s">
        <v>2476</v>
      </c>
      <c r="Q24" s="8" t="s">
        <v>2477</v>
      </c>
      <c r="R24" s="7"/>
      <c r="S24" s="22" t="s">
        <v>133</v>
      </c>
      <c r="T24" s="23">
        <f>IFERROR(AVERAGEIF(T9:T20,"&gt;"&amp;0),0)</f>
        <v>13441.666666666666</v>
      </c>
      <c r="U24" s="23">
        <f>IFERROR(AVERAGEIF(U9:U20,"&gt;"&amp;0),0)</f>
        <v>1400</v>
      </c>
      <c r="V24" s="23">
        <f>IFERROR(AVERAGEIF(V9:V20,"&gt;"&amp;0),0)</f>
        <v>9135.6666666666661</v>
      </c>
      <c r="W24" s="24">
        <f>T24-U24-V24</f>
        <v>2906</v>
      </c>
    </row>
    <row r="25" spans="1:23" ht="3.75" customHeight="1">
      <c r="A25" s="9">
        <v>24</v>
      </c>
      <c r="B25" s="9" t="s">
        <v>2472</v>
      </c>
      <c r="C25" s="9" t="s">
        <v>2548</v>
      </c>
      <c r="D25" s="9" t="s">
        <v>2549</v>
      </c>
      <c r="E25" s="9" t="s">
        <v>21</v>
      </c>
      <c r="F25" s="9" t="s">
        <v>22</v>
      </c>
      <c r="G25" s="9">
        <v>466</v>
      </c>
      <c r="H25" s="9" t="s">
        <v>23</v>
      </c>
      <c r="I25" s="9" t="s">
        <v>174</v>
      </c>
      <c r="J25" s="9" t="s">
        <v>36</v>
      </c>
      <c r="K25" s="9" t="s">
        <v>26</v>
      </c>
      <c r="L25" s="9" t="s">
        <v>175</v>
      </c>
      <c r="M25" s="9">
        <v>4813</v>
      </c>
      <c r="N25" s="9" t="s">
        <v>175</v>
      </c>
      <c r="O25" s="9" t="s">
        <v>2550</v>
      </c>
      <c r="P25" s="9" t="s">
        <v>2476</v>
      </c>
      <c r="Q25" s="9" t="s">
        <v>2477</v>
      </c>
      <c r="R25" s="7"/>
    </row>
    <row r="26" spans="1:23" ht="15" customHeight="1">
      <c r="A26" s="8">
        <v>25</v>
      </c>
      <c r="B26" s="8" t="s">
        <v>2472</v>
      </c>
      <c r="C26" s="8" t="s">
        <v>2551</v>
      </c>
      <c r="D26" s="8" t="s">
        <v>2552</v>
      </c>
      <c r="E26" s="8" t="s">
        <v>21</v>
      </c>
      <c r="F26" s="8" t="s">
        <v>22</v>
      </c>
      <c r="G26" s="8">
        <v>396</v>
      </c>
      <c r="H26" s="8" t="s">
        <v>23</v>
      </c>
      <c r="I26" s="8" t="s">
        <v>70</v>
      </c>
      <c r="J26" s="8" t="s">
        <v>41</v>
      </c>
      <c r="K26" s="8" t="s">
        <v>26</v>
      </c>
      <c r="L26" s="8" t="s">
        <v>71</v>
      </c>
      <c r="M26" s="8">
        <v>5541</v>
      </c>
      <c r="N26" s="8" t="s">
        <v>71</v>
      </c>
      <c r="O26" s="8" t="s">
        <v>2553</v>
      </c>
      <c r="P26" s="8" t="s">
        <v>2476</v>
      </c>
      <c r="Q26" s="8" t="s">
        <v>2477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2472</v>
      </c>
      <c r="C27" s="9" t="s">
        <v>2554</v>
      </c>
      <c r="D27" s="9" t="s">
        <v>2555</v>
      </c>
      <c r="E27" s="9" t="s">
        <v>21</v>
      </c>
      <c r="F27" s="9" t="s">
        <v>22</v>
      </c>
      <c r="G27" s="9">
        <v>396</v>
      </c>
      <c r="H27" s="9" t="s">
        <v>23</v>
      </c>
      <c r="I27" s="9" t="s">
        <v>123</v>
      </c>
      <c r="J27" s="9" t="s">
        <v>41</v>
      </c>
      <c r="K27" s="9" t="s">
        <v>26</v>
      </c>
      <c r="L27" s="9" t="s">
        <v>124</v>
      </c>
      <c r="M27" s="9">
        <v>5541</v>
      </c>
      <c r="N27" s="9" t="s">
        <v>124</v>
      </c>
      <c r="O27" s="9" t="s">
        <v>2556</v>
      </c>
      <c r="P27" s="9" t="s">
        <v>2476</v>
      </c>
      <c r="Q27" s="9" t="s">
        <v>2477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2472</v>
      </c>
      <c r="C28" s="8" t="s">
        <v>2557</v>
      </c>
      <c r="D28" s="8" t="s">
        <v>2558</v>
      </c>
      <c r="E28" s="8" t="s">
        <v>21</v>
      </c>
      <c r="F28" s="8" t="s">
        <v>22</v>
      </c>
      <c r="G28" s="8">
        <v>414</v>
      </c>
      <c r="H28" s="8" t="s">
        <v>23</v>
      </c>
      <c r="I28" s="8" t="s">
        <v>330</v>
      </c>
      <c r="J28" s="8" t="s">
        <v>331</v>
      </c>
      <c r="K28" s="8" t="s">
        <v>26</v>
      </c>
      <c r="L28" s="8" t="s">
        <v>332</v>
      </c>
      <c r="M28" s="8">
        <v>6011</v>
      </c>
      <c r="N28" s="8" t="s">
        <v>332</v>
      </c>
      <c r="O28" s="8" t="s">
        <v>2559</v>
      </c>
      <c r="P28" s="8" t="s">
        <v>2476</v>
      </c>
      <c r="Q28" s="8" t="s">
        <v>2477</v>
      </c>
      <c r="R28" s="7"/>
      <c r="S28" s="25" t="s">
        <v>154</v>
      </c>
      <c r="T28" s="26">
        <f>IFERROR(MEDIAN(T9:T20),0)</f>
        <v>13450</v>
      </c>
      <c r="U28" s="27" t="s">
        <v>155</v>
      </c>
      <c r="V28" s="28" t="s">
        <v>155</v>
      </c>
      <c r="W28" s="29" t="s">
        <v>802</v>
      </c>
    </row>
    <row r="29" spans="1:23" ht="15.75" customHeight="1">
      <c r="A29" s="9">
        <v>28</v>
      </c>
      <c r="B29" s="9" t="s">
        <v>2472</v>
      </c>
      <c r="C29" s="9" t="s">
        <v>2560</v>
      </c>
      <c r="D29" s="9" t="s">
        <v>2561</v>
      </c>
      <c r="E29" s="9" t="s">
        <v>21</v>
      </c>
      <c r="F29" s="9" t="s">
        <v>22</v>
      </c>
      <c r="G29" s="9">
        <v>736</v>
      </c>
      <c r="H29" s="9" t="s">
        <v>23</v>
      </c>
      <c r="I29" s="9" t="s">
        <v>198</v>
      </c>
      <c r="J29" s="9" t="s">
        <v>36</v>
      </c>
      <c r="K29" s="9" t="s">
        <v>26</v>
      </c>
      <c r="L29" s="9" t="s">
        <v>199</v>
      </c>
      <c r="M29" s="9">
        <v>4900</v>
      </c>
      <c r="N29" s="9" t="s">
        <v>199</v>
      </c>
      <c r="O29" s="9" t="s">
        <v>2562</v>
      </c>
      <c r="P29" s="9" t="s">
        <v>2476</v>
      </c>
      <c r="Q29" s="9" t="s">
        <v>2477</v>
      </c>
      <c r="R29" s="7"/>
      <c r="S29" s="30" t="s">
        <v>161</v>
      </c>
      <c r="T29" s="31">
        <f>T28*1.3</f>
        <v>17485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2472</v>
      </c>
      <c r="C30" s="8" t="s">
        <v>2563</v>
      </c>
      <c r="D30" s="8" t="s">
        <v>2564</v>
      </c>
      <c r="E30" s="8" t="s">
        <v>21</v>
      </c>
      <c r="F30" s="8" t="s">
        <v>22</v>
      </c>
      <c r="G30" s="8">
        <v>456</v>
      </c>
      <c r="H30" s="8" t="s">
        <v>23</v>
      </c>
      <c r="I30" s="8" t="s">
        <v>74</v>
      </c>
      <c r="J30" s="8" t="s">
        <v>41</v>
      </c>
      <c r="K30" s="8" t="s">
        <v>26</v>
      </c>
      <c r="L30" s="8" t="s">
        <v>75</v>
      </c>
      <c r="M30" s="8">
        <v>5812</v>
      </c>
      <c r="N30" s="8" t="s">
        <v>75</v>
      </c>
      <c r="O30" s="8" t="s">
        <v>2565</v>
      </c>
      <c r="P30" s="8" t="s">
        <v>2476</v>
      </c>
      <c r="Q30" s="8" t="s">
        <v>2477</v>
      </c>
      <c r="R30" s="7"/>
      <c r="S30" s="25" t="s">
        <v>166</v>
      </c>
      <c r="T30" s="26">
        <f>IFERROR(MEDIAN(MIN(T18,T29),MIN(T19,T29),MIN(T20,T29)),0)</f>
        <v>13500</v>
      </c>
      <c r="U30" s="27" t="s">
        <v>155</v>
      </c>
      <c r="V30" s="28" t="s">
        <v>155</v>
      </c>
      <c r="W30" s="29" t="s">
        <v>2566</v>
      </c>
    </row>
    <row r="31" spans="1:23" ht="15.75" customHeight="1">
      <c r="A31" s="9">
        <v>30</v>
      </c>
      <c r="B31" s="9" t="s">
        <v>2472</v>
      </c>
      <c r="C31" s="9" t="s">
        <v>2567</v>
      </c>
      <c r="D31" s="9" t="s">
        <v>2568</v>
      </c>
      <c r="E31" s="9" t="s">
        <v>21</v>
      </c>
      <c r="F31" s="9" t="s">
        <v>22</v>
      </c>
      <c r="G31" s="9">
        <v>537</v>
      </c>
      <c r="H31" s="9" t="s">
        <v>23</v>
      </c>
      <c r="I31" s="9" t="s">
        <v>56</v>
      </c>
      <c r="J31" s="9" t="s">
        <v>41</v>
      </c>
      <c r="K31" s="9" t="s">
        <v>26</v>
      </c>
      <c r="L31" s="9" t="s">
        <v>57</v>
      </c>
      <c r="M31" s="9">
        <v>5999</v>
      </c>
      <c r="N31" s="9" t="s">
        <v>57</v>
      </c>
      <c r="O31" s="9" t="s">
        <v>2569</v>
      </c>
      <c r="P31" s="9" t="s">
        <v>2476</v>
      </c>
      <c r="Q31" s="9" t="s">
        <v>2477</v>
      </c>
      <c r="R31" s="7"/>
      <c r="S31" s="30" t="s">
        <v>2570</v>
      </c>
      <c r="T31" s="31">
        <f>T20</f>
        <v>13600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2472</v>
      </c>
      <c r="C32" s="8" t="s">
        <v>2571</v>
      </c>
      <c r="D32" s="8" t="s">
        <v>2572</v>
      </c>
      <c r="E32" s="8" t="s">
        <v>21</v>
      </c>
      <c r="F32" s="8" t="s">
        <v>22</v>
      </c>
      <c r="G32" s="8">
        <v>1104</v>
      </c>
      <c r="H32" s="8" t="s">
        <v>23</v>
      </c>
      <c r="I32" s="8" t="s">
        <v>262</v>
      </c>
      <c r="J32" s="8" t="s">
        <v>25</v>
      </c>
      <c r="K32" s="8" t="s">
        <v>26</v>
      </c>
      <c r="L32" s="8" t="s">
        <v>263</v>
      </c>
      <c r="M32" s="8">
        <v>8299</v>
      </c>
      <c r="N32" s="8" t="s">
        <v>263</v>
      </c>
      <c r="O32" s="8" t="s">
        <v>2573</v>
      </c>
      <c r="P32" s="8" t="s">
        <v>2476</v>
      </c>
      <c r="Q32" s="8" t="s">
        <v>2477</v>
      </c>
      <c r="R32" s="7"/>
      <c r="S32" s="25" t="s">
        <v>2574</v>
      </c>
      <c r="T32" s="26">
        <f>U20</f>
        <v>1400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2472</v>
      </c>
      <c r="C33" s="9" t="s">
        <v>2575</v>
      </c>
      <c r="D33" s="9" t="s">
        <v>2576</v>
      </c>
      <c r="E33" s="9" t="s">
        <v>21</v>
      </c>
      <c r="F33" s="9" t="s">
        <v>22</v>
      </c>
      <c r="G33" s="9">
        <v>764</v>
      </c>
      <c r="H33" s="9" t="s">
        <v>23</v>
      </c>
      <c r="I33" s="9" t="s">
        <v>363</v>
      </c>
      <c r="J33" s="9" t="s">
        <v>41</v>
      </c>
      <c r="K33" s="9" t="s">
        <v>26</v>
      </c>
      <c r="L33" s="9" t="s">
        <v>364</v>
      </c>
      <c r="M33" s="9">
        <v>5999</v>
      </c>
      <c r="N33" s="9" t="s">
        <v>364</v>
      </c>
      <c r="O33" s="9" t="s">
        <v>2577</v>
      </c>
      <c r="P33" s="9" t="s">
        <v>2476</v>
      </c>
      <c r="Q33" s="9" t="s">
        <v>2477</v>
      </c>
      <c r="R33" s="7"/>
      <c r="S33" s="30" t="s">
        <v>182</v>
      </c>
      <c r="T33" s="31">
        <f>T24</f>
        <v>13441.666666666666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2472</v>
      </c>
      <c r="C34" s="8" t="s">
        <v>2578</v>
      </c>
      <c r="D34" s="8" t="s">
        <v>2579</v>
      </c>
      <c r="E34" s="8" t="s">
        <v>21</v>
      </c>
      <c r="F34" s="8" t="s">
        <v>22</v>
      </c>
      <c r="G34" s="8">
        <v>951</v>
      </c>
      <c r="H34" s="8" t="s">
        <v>23</v>
      </c>
      <c r="I34" s="8" t="s">
        <v>131</v>
      </c>
      <c r="J34" s="8" t="s">
        <v>41</v>
      </c>
      <c r="K34" s="8" t="s">
        <v>26</v>
      </c>
      <c r="L34" s="8" t="s">
        <v>132</v>
      </c>
      <c r="M34" s="8">
        <v>5411</v>
      </c>
      <c r="N34" s="8" t="s">
        <v>132</v>
      </c>
      <c r="O34" s="8" t="s">
        <v>2580</v>
      </c>
      <c r="P34" s="8" t="s">
        <v>2476</v>
      </c>
      <c r="Q34" s="8" t="s">
        <v>2477</v>
      </c>
      <c r="R34" s="7"/>
      <c r="S34" s="25" t="s">
        <v>188</v>
      </c>
      <c r="T34" s="26">
        <f>V24</f>
        <v>9135.6666666666661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2472</v>
      </c>
      <c r="C35" s="9" t="s">
        <v>2581</v>
      </c>
      <c r="D35" s="9" t="s">
        <v>2582</v>
      </c>
      <c r="E35" s="9" t="s">
        <v>21</v>
      </c>
      <c r="F35" s="9" t="s">
        <v>22</v>
      </c>
      <c r="G35" s="9">
        <v>951</v>
      </c>
      <c r="H35" s="9" t="s">
        <v>23</v>
      </c>
      <c r="I35" s="9" t="s">
        <v>131</v>
      </c>
      <c r="J35" s="9" t="s">
        <v>41</v>
      </c>
      <c r="K35" s="9" t="s">
        <v>26</v>
      </c>
      <c r="L35" s="9" t="s">
        <v>132</v>
      </c>
      <c r="M35" s="9">
        <v>5411</v>
      </c>
      <c r="N35" s="9" t="s">
        <v>132</v>
      </c>
      <c r="O35" s="9" t="s">
        <v>2583</v>
      </c>
      <c r="P35" s="9" t="s">
        <v>2476</v>
      </c>
      <c r="Q35" s="9" t="s">
        <v>2477</v>
      </c>
      <c r="R35" s="7"/>
      <c r="S35" s="30" t="s">
        <v>193</v>
      </c>
      <c r="T35" s="35">
        <f>IFERROR((T33-T34)/T33,0)</f>
        <v>0.32034717916924987</v>
      </c>
      <c r="U35" s="32" t="s">
        <v>194</v>
      </c>
      <c r="V35" s="36" t="str">
        <f>IF(T35&gt;=0.2,"✅ Meets","⚠️ Below")</f>
        <v>✅ Meets</v>
      </c>
      <c r="W35" s="34" t="s">
        <v>195</v>
      </c>
    </row>
    <row r="36" spans="1:23" ht="15.75" customHeight="1">
      <c r="A36" s="8">
        <v>35</v>
      </c>
      <c r="B36" s="8" t="s">
        <v>2472</v>
      </c>
      <c r="C36" s="8" t="s">
        <v>2584</v>
      </c>
      <c r="D36" s="8" t="s">
        <v>2585</v>
      </c>
      <c r="E36" s="8" t="s">
        <v>94</v>
      </c>
      <c r="F36" s="8" t="s">
        <v>22</v>
      </c>
      <c r="G36" s="8">
        <v>13500</v>
      </c>
      <c r="H36" s="8" t="s">
        <v>23</v>
      </c>
      <c r="I36" s="8" t="s">
        <v>2534</v>
      </c>
      <c r="J36" s="8" t="s">
        <v>96</v>
      </c>
      <c r="K36" s="8" t="s">
        <v>97</v>
      </c>
      <c r="L36" s="8" t="s">
        <v>2476</v>
      </c>
      <c r="M36" s="8"/>
      <c r="N36" s="8" t="s">
        <v>2476</v>
      </c>
      <c r="O36" s="8" t="s">
        <v>2586</v>
      </c>
      <c r="P36" s="8" t="s">
        <v>2476</v>
      </c>
      <c r="Q36" s="8" t="s">
        <v>2477</v>
      </c>
      <c r="R36" s="7"/>
      <c r="S36" s="25" t="s">
        <v>200</v>
      </c>
      <c r="T36" s="37">
        <f>T33-T34</f>
        <v>4306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2472</v>
      </c>
      <c r="C37" s="9" t="s">
        <v>2587</v>
      </c>
      <c r="D37" s="9" t="s">
        <v>2588</v>
      </c>
      <c r="E37" s="9" t="s">
        <v>21</v>
      </c>
      <c r="F37" s="9" t="s">
        <v>22</v>
      </c>
      <c r="G37" s="9">
        <v>1050</v>
      </c>
      <c r="H37" s="9" t="s">
        <v>23</v>
      </c>
      <c r="I37" s="9" t="s">
        <v>127</v>
      </c>
      <c r="J37" s="9" t="s">
        <v>25</v>
      </c>
      <c r="K37" s="9" t="s">
        <v>26</v>
      </c>
      <c r="L37" s="9" t="s">
        <v>128</v>
      </c>
      <c r="M37" s="9">
        <v>5999</v>
      </c>
      <c r="N37" s="9" t="s">
        <v>128</v>
      </c>
      <c r="O37" s="9" t="s">
        <v>2589</v>
      </c>
      <c r="P37" s="9" t="s">
        <v>2476</v>
      </c>
      <c r="Q37" s="9" t="s">
        <v>2477</v>
      </c>
      <c r="R37" s="7"/>
      <c r="S37" s="30" t="s">
        <v>205</v>
      </c>
      <c r="T37" s="35">
        <f>IFERROR(U24/T30,0)</f>
        <v>0.1037037037037037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2472</v>
      </c>
      <c r="C38" s="8" t="s">
        <v>2590</v>
      </c>
      <c r="D38" s="8" t="s">
        <v>2591</v>
      </c>
      <c r="E38" s="8" t="s">
        <v>21</v>
      </c>
      <c r="F38" s="8" t="s">
        <v>22</v>
      </c>
      <c r="G38" s="8">
        <v>321</v>
      </c>
      <c r="H38" s="8" t="s">
        <v>23</v>
      </c>
      <c r="I38" s="8" t="s">
        <v>115</v>
      </c>
      <c r="J38" s="8" t="s">
        <v>41</v>
      </c>
      <c r="K38" s="8" t="s">
        <v>26</v>
      </c>
      <c r="L38" s="8" t="s">
        <v>116</v>
      </c>
      <c r="M38" s="8">
        <v>5812</v>
      </c>
      <c r="N38" s="8" t="s">
        <v>116</v>
      </c>
      <c r="O38" s="8" t="s">
        <v>2592</v>
      </c>
      <c r="P38" s="8" t="s">
        <v>2476</v>
      </c>
      <c r="Q38" s="8" t="s">
        <v>2477</v>
      </c>
      <c r="R38" s="7"/>
    </row>
    <row r="39" spans="1:23" ht="15" customHeight="1">
      <c r="A39" s="9">
        <v>38</v>
      </c>
      <c r="B39" s="9" t="s">
        <v>2472</v>
      </c>
      <c r="C39" s="9" t="s">
        <v>2593</v>
      </c>
      <c r="D39" s="9" t="s">
        <v>2594</v>
      </c>
      <c r="E39" s="9" t="s">
        <v>21</v>
      </c>
      <c r="F39" s="9" t="s">
        <v>22</v>
      </c>
      <c r="G39" s="9">
        <v>320</v>
      </c>
      <c r="H39" s="9" t="s">
        <v>23</v>
      </c>
      <c r="I39" s="9" t="s">
        <v>254</v>
      </c>
      <c r="J39" s="9" t="s">
        <v>41</v>
      </c>
      <c r="K39" s="9" t="s">
        <v>26</v>
      </c>
      <c r="L39" s="9" t="s">
        <v>255</v>
      </c>
      <c r="M39" s="9">
        <v>5812</v>
      </c>
      <c r="N39" s="9" t="s">
        <v>255</v>
      </c>
      <c r="O39" s="9" t="s">
        <v>2595</v>
      </c>
      <c r="P39" s="9" t="s">
        <v>2476</v>
      </c>
      <c r="Q39" s="9" t="s">
        <v>2477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2472</v>
      </c>
      <c r="C40" s="8" t="s">
        <v>2596</v>
      </c>
      <c r="D40" s="8" t="s">
        <v>2597</v>
      </c>
      <c r="E40" s="8" t="s">
        <v>21</v>
      </c>
      <c r="F40" s="8" t="s">
        <v>22</v>
      </c>
      <c r="G40" s="8">
        <v>1074</v>
      </c>
      <c r="H40" s="8" t="s">
        <v>23</v>
      </c>
      <c r="I40" s="8" t="s">
        <v>159</v>
      </c>
      <c r="J40" s="8" t="s">
        <v>25</v>
      </c>
      <c r="K40" s="8" t="s">
        <v>26</v>
      </c>
      <c r="L40" s="8" t="s">
        <v>160</v>
      </c>
      <c r="M40" s="8">
        <v>5999</v>
      </c>
      <c r="N40" s="8" t="s">
        <v>160</v>
      </c>
      <c r="O40" s="8" t="s">
        <v>2598</v>
      </c>
      <c r="P40" s="8" t="s">
        <v>2476</v>
      </c>
      <c r="Q40" s="8" t="s">
        <v>2477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2472</v>
      </c>
      <c r="C41" s="9" t="s">
        <v>2599</v>
      </c>
      <c r="D41" s="9" t="s">
        <v>2600</v>
      </c>
      <c r="E41" s="9" t="s">
        <v>21</v>
      </c>
      <c r="F41" s="9" t="s">
        <v>22</v>
      </c>
      <c r="G41" s="9">
        <v>1400</v>
      </c>
      <c r="H41" s="9" t="s">
        <v>23</v>
      </c>
      <c r="I41" s="9" t="s">
        <v>2484</v>
      </c>
      <c r="J41" s="9" t="s">
        <v>36</v>
      </c>
      <c r="K41" s="9" t="s">
        <v>26</v>
      </c>
      <c r="L41" s="9" t="s">
        <v>2485</v>
      </c>
      <c r="M41" s="9">
        <v>6012</v>
      </c>
      <c r="N41" s="9" t="s">
        <v>2485</v>
      </c>
      <c r="O41" s="9" t="s">
        <v>2601</v>
      </c>
      <c r="P41" s="9" t="s">
        <v>2476</v>
      </c>
      <c r="Q41" s="9" t="s">
        <v>2477</v>
      </c>
      <c r="R41" s="7"/>
      <c r="S41" s="39" t="s">
        <v>226</v>
      </c>
      <c r="T41" s="40">
        <f>T5</f>
        <v>37</v>
      </c>
      <c r="U41" s="41">
        <f>IF(T41&lt;18,0,IF(T41&lt;=25,30,IF(T41&lt;=35,80,IF(T41&lt;=50,150,IF(T41&lt;=60,100,0)))))</f>
        <v>150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2472</v>
      </c>
      <c r="C42" s="8" t="s">
        <v>2602</v>
      </c>
      <c r="D42" s="8" t="s">
        <v>2603</v>
      </c>
      <c r="E42" s="8" t="s">
        <v>21</v>
      </c>
      <c r="F42" s="8" t="s">
        <v>22</v>
      </c>
      <c r="G42" s="8">
        <v>1416</v>
      </c>
      <c r="H42" s="8" t="s">
        <v>23</v>
      </c>
      <c r="I42" s="8" t="s">
        <v>56</v>
      </c>
      <c r="J42" s="8" t="s">
        <v>41</v>
      </c>
      <c r="K42" s="8" t="s">
        <v>26</v>
      </c>
      <c r="L42" s="8" t="s">
        <v>57</v>
      </c>
      <c r="M42" s="8">
        <v>5999</v>
      </c>
      <c r="N42" s="8" t="s">
        <v>57</v>
      </c>
      <c r="O42" s="8" t="s">
        <v>2604</v>
      </c>
      <c r="P42" s="8" t="s">
        <v>2476</v>
      </c>
      <c r="Q42" s="8" t="s">
        <v>2477</v>
      </c>
      <c r="R42" s="7"/>
      <c r="S42" s="43" t="s">
        <v>230</v>
      </c>
      <c r="T42" s="44">
        <f>T30</f>
        <v>13500</v>
      </c>
      <c r="U42" s="41">
        <f>IF(T42&lt;=5000,0,IF(T42&lt;=10000,50,IF(T42&lt;=15000,100,150)))</f>
        <v>100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2472</v>
      </c>
      <c r="C43" s="9" t="s">
        <v>2605</v>
      </c>
      <c r="D43" s="9" t="s">
        <v>2606</v>
      </c>
      <c r="E43" s="9" t="s">
        <v>21</v>
      </c>
      <c r="F43" s="9" t="s">
        <v>22</v>
      </c>
      <c r="G43" s="9">
        <v>314</v>
      </c>
      <c r="H43" s="9" t="s">
        <v>23</v>
      </c>
      <c r="I43" s="9" t="s">
        <v>143</v>
      </c>
      <c r="J43" s="9" t="s">
        <v>41</v>
      </c>
      <c r="K43" s="9" t="s">
        <v>26</v>
      </c>
      <c r="L43" s="9" t="s">
        <v>144</v>
      </c>
      <c r="M43" s="9">
        <v>7996</v>
      </c>
      <c r="N43" s="9" t="s">
        <v>144</v>
      </c>
      <c r="O43" s="9" t="s">
        <v>2607</v>
      </c>
      <c r="P43" s="9" t="s">
        <v>2476</v>
      </c>
      <c r="Q43" s="9" t="s">
        <v>2477</v>
      </c>
      <c r="R43" s="7"/>
      <c r="S43" s="39" t="s">
        <v>236</v>
      </c>
      <c r="T43" s="45">
        <f>T32</f>
        <v>1400</v>
      </c>
      <c r="U43" s="41">
        <f>IF(T43=0,150,IF(T43&lt;=1500,150,IF(T43&lt;=3000,130,IF(T43&lt;=4500,110,IF(T43&lt;=9000,80,IF(T43&lt;=15000,40,0))))))</f>
        <v>150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2472</v>
      </c>
      <c r="C44" s="8" t="s">
        <v>2608</v>
      </c>
      <c r="D44" s="8" t="s">
        <v>2609</v>
      </c>
      <c r="E44" s="8" t="s">
        <v>21</v>
      </c>
      <c r="F44" s="8" t="s">
        <v>22</v>
      </c>
      <c r="G44" s="8">
        <v>616</v>
      </c>
      <c r="H44" s="8" t="s">
        <v>23</v>
      </c>
      <c r="I44" s="8" t="s">
        <v>131</v>
      </c>
      <c r="J44" s="8" t="s">
        <v>41</v>
      </c>
      <c r="K44" s="8" t="s">
        <v>26</v>
      </c>
      <c r="L44" s="8" t="s">
        <v>132</v>
      </c>
      <c r="M44" s="8">
        <v>5411</v>
      </c>
      <c r="N44" s="8" t="s">
        <v>132</v>
      </c>
      <c r="O44" s="8" t="s">
        <v>2610</v>
      </c>
      <c r="P44" s="8" t="s">
        <v>2476</v>
      </c>
      <c r="Q44" s="8" t="s">
        <v>2477</v>
      </c>
      <c r="R44" s="7"/>
      <c r="S44" s="43" t="s">
        <v>240</v>
      </c>
      <c r="T44" s="46">
        <f>T35</f>
        <v>0.32034717916924987</v>
      </c>
      <c r="U44" s="41">
        <f>IF(T44&lt;=0,0,IF(T44&lt;=0.1,50,IF(T44&lt;=0.2,100,IF(T44&lt;=0.3,130,150))))</f>
        <v>150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2472</v>
      </c>
      <c r="C45" s="9" t="s">
        <v>2611</v>
      </c>
      <c r="D45" s="9" t="s">
        <v>2612</v>
      </c>
      <c r="E45" s="9" t="s">
        <v>21</v>
      </c>
      <c r="F45" s="9" t="s">
        <v>22</v>
      </c>
      <c r="G45" s="9">
        <v>320</v>
      </c>
      <c r="H45" s="9" t="s">
        <v>23</v>
      </c>
      <c r="I45" s="9" t="s">
        <v>52</v>
      </c>
      <c r="J45" s="9" t="s">
        <v>41</v>
      </c>
      <c r="K45" s="9" t="s">
        <v>26</v>
      </c>
      <c r="L45" s="9" t="s">
        <v>53</v>
      </c>
      <c r="M45" s="9">
        <v>5812</v>
      </c>
      <c r="N45" s="9" t="s">
        <v>53</v>
      </c>
      <c r="O45" s="9" t="s">
        <v>2613</v>
      </c>
      <c r="P45" s="9" t="s">
        <v>2476</v>
      </c>
      <c r="Q45" s="9" t="s">
        <v>2477</v>
      </c>
      <c r="R45" s="7"/>
      <c r="S45" s="39" t="s">
        <v>246</v>
      </c>
      <c r="T45" s="45">
        <f>T31</f>
        <v>13600</v>
      </c>
      <c r="U45" s="41">
        <f>IF(T45&lt;=5000,30,IF(T45&lt;=15000,90,150))</f>
        <v>90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2472</v>
      </c>
      <c r="C46" s="8" t="s">
        <v>2614</v>
      </c>
      <c r="D46" s="8" t="s">
        <v>2615</v>
      </c>
      <c r="E46" s="8" t="s">
        <v>21</v>
      </c>
      <c r="F46" s="8" t="s">
        <v>22</v>
      </c>
      <c r="G46" s="8">
        <v>1175</v>
      </c>
      <c r="H46" s="8" t="s">
        <v>23</v>
      </c>
      <c r="I46" s="8" t="s">
        <v>24</v>
      </c>
      <c r="J46" s="8" t="s">
        <v>25</v>
      </c>
      <c r="K46" s="8" t="s">
        <v>26</v>
      </c>
      <c r="L46" s="8" t="s">
        <v>27</v>
      </c>
      <c r="M46" s="8">
        <v>8299</v>
      </c>
      <c r="N46" s="8" t="s">
        <v>27</v>
      </c>
      <c r="O46" s="8" t="s">
        <v>2616</v>
      </c>
      <c r="P46" s="8" t="s">
        <v>2476</v>
      </c>
      <c r="Q46" s="8" t="s">
        <v>2477</v>
      </c>
      <c r="R46" s="7"/>
      <c r="S46" s="43" t="s">
        <v>250</v>
      </c>
      <c r="T46" s="47">
        <f>T36</f>
        <v>4306</v>
      </c>
      <c r="U46" s="41">
        <f>IF(T46&lt;0,0,IF(T46&lt;=1000,50,IF(T46&lt;=3000,100,150)))</f>
        <v>150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2472</v>
      </c>
      <c r="C47" s="9" t="s">
        <v>2617</v>
      </c>
      <c r="D47" s="9" t="s">
        <v>2618</v>
      </c>
      <c r="E47" s="9" t="s">
        <v>21</v>
      </c>
      <c r="F47" s="9" t="s">
        <v>22</v>
      </c>
      <c r="G47" s="9">
        <v>669</v>
      </c>
      <c r="H47" s="9" t="s">
        <v>23</v>
      </c>
      <c r="I47" s="9" t="s">
        <v>70</v>
      </c>
      <c r="J47" s="9" t="s">
        <v>41</v>
      </c>
      <c r="K47" s="9" t="s">
        <v>26</v>
      </c>
      <c r="L47" s="9" t="s">
        <v>71</v>
      </c>
      <c r="M47" s="9">
        <v>5541</v>
      </c>
      <c r="N47" s="9" t="s">
        <v>71</v>
      </c>
      <c r="O47" s="9" t="s">
        <v>2619</v>
      </c>
      <c r="P47" s="9" t="s">
        <v>2476</v>
      </c>
      <c r="Q47" s="9" t="s">
        <v>2477</v>
      </c>
      <c r="R47" s="7"/>
      <c r="S47" s="39" t="s">
        <v>256</v>
      </c>
      <c r="T47" s="48">
        <f>T37</f>
        <v>0.1037037037037037</v>
      </c>
      <c r="U47" s="41">
        <f>IF(T47&lt;=0.1,100,IF(T47&lt;=0.25,70,IF(T47&lt;=0.4,40,IF(T47&lt;=0.6,20,0))))</f>
        <v>70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2472</v>
      </c>
      <c r="C48" s="8" t="s">
        <v>2620</v>
      </c>
      <c r="D48" s="8" t="s">
        <v>2621</v>
      </c>
      <c r="E48" s="8" t="s">
        <v>21</v>
      </c>
      <c r="F48" s="8" t="s">
        <v>22</v>
      </c>
      <c r="G48" s="8">
        <v>895</v>
      </c>
      <c r="H48" s="8" t="s">
        <v>23</v>
      </c>
      <c r="I48" s="8" t="s">
        <v>90</v>
      </c>
      <c r="J48" s="8" t="s">
        <v>36</v>
      </c>
      <c r="K48" s="8" t="s">
        <v>26</v>
      </c>
      <c r="L48" s="8" t="s">
        <v>91</v>
      </c>
      <c r="M48" s="8">
        <v>4900</v>
      </c>
      <c r="N48" s="8" t="s">
        <v>91</v>
      </c>
      <c r="O48" s="8" t="s">
        <v>2622</v>
      </c>
      <c r="P48" s="8" t="s">
        <v>2476</v>
      </c>
      <c r="Q48" s="8" t="s">
        <v>2477</v>
      </c>
      <c r="R48" s="7"/>
    </row>
    <row r="49" spans="1:23" ht="27.75" customHeight="1">
      <c r="A49" s="9">
        <v>48</v>
      </c>
      <c r="B49" s="9" t="s">
        <v>2472</v>
      </c>
      <c r="C49" s="9" t="s">
        <v>2623</v>
      </c>
      <c r="D49" s="9" t="s">
        <v>2624</v>
      </c>
      <c r="E49" s="9" t="s">
        <v>21</v>
      </c>
      <c r="F49" s="9" t="s">
        <v>22</v>
      </c>
      <c r="G49" s="9">
        <v>446</v>
      </c>
      <c r="H49" s="9" t="s">
        <v>23</v>
      </c>
      <c r="I49" s="9" t="s">
        <v>351</v>
      </c>
      <c r="J49" s="9" t="s">
        <v>36</v>
      </c>
      <c r="K49" s="9" t="s">
        <v>26</v>
      </c>
      <c r="L49" s="9" t="s">
        <v>352</v>
      </c>
      <c r="M49" s="9">
        <v>4813</v>
      </c>
      <c r="N49" s="9" t="s">
        <v>352</v>
      </c>
      <c r="O49" s="9" t="s">
        <v>2625</v>
      </c>
      <c r="P49" s="9" t="s">
        <v>2476</v>
      </c>
      <c r="Q49" s="9" t="s">
        <v>2477</v>
      </c>
      <c r="R49" s="7"/>
      <c r="S49" s="49" t="s">
        <v>264</v>
      </c>
      <c r="T49" s="50">
        <f>U41+U42+U43+U44+U45+U46+U47</f>
        <v>860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2472</v>
      </c>
      <c r="C50" s="8" t="s">
        <v>2626</v>
      </c>
      <c r="D50" s="8" t="s">
        <v>2627</v>
      </c>
      <c r="E50" s="8" t="s">
        <v>94</v>
      </c>
      <c r="F50" s="8" t="s">
        <v>22</v>
      </c>
      <c r="G50" s="8">
        <v>13400</v>
      </c>
      <c r="H50" s="8" t="s">
        <v>23</v>
      </c>
      <c r="I50" s="8" t="s">
        <v>2534</v>
      </c>
      <c r="J50" s="8" t="s">
        <v>96</v>
      </c>
      <c r="K50" s="8" t="s">
        <v>97</v>
      </c>
      <c r="L50" s="8" t="s">
        <v>2476</v>
      </c>
      <c r="M50" s="8"/>
      <c r="N50" s="8" t="s">
        <v>2476</v>
      </c>
      <c r="O50" s="8" t="s">
        <v>2628</v>
      </c>
      <c r="P50" s="8" t="s">
        <v>2476</v>
      </c>
      <c r="Q50" s="8" t="s">
        <v>2477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AA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2472</v>
      </c>
      <c r="C51" s="9" t="s">
        <v>2629</v>
      </c>
      <c r="D51" s="9" t="s">
        <v>2630</v>
      </c>
      <c r="E51" s="9" t="s">
        <v>21</v>
      </c>
      <c r="F51" s="9" t="s">
        <v>22</v>
      </c>
      <c r="G51" s="9">
        <v>616</v>
      </c>
      <c r="H51" s="9" t="s">
        <v>23</v>
      </c>
      <c r="I51" s="9" t="s">
        <v>82</v>
      </c>
      <c r="J51" s="9" t="s">
        <v>41</v>
      </c>
      <c r="K51" s="9" t="s">
        <v>26</v>
      </c>
      <c r="L51" s="9" t="s">
        <v>83</v>
      </c>
      <c r="M51" s="9">
        <v>5411</v>
      </c>
      <c r="N51" s="9" t="s">
        <v>83</v>
      </c>
      <c r="O51" s="9" t="s">
        <v>2631</v>
      </c>
      <c r="P51" s="9" t="s">
        <v>2476</v>
      </c>
      <c r="Q51" s="9" t="s">
        <v>2477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Very Good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2472</v>
      </c>
      <c r="C52" s="8" t="s">
        <v>2632</v>
      </c>
      <c r="D52" s="8" t="s">
        <v>2633</v>
      </c>
      <c r="E52" s="8" t="s">
        <v>21</v>
      </c>
      <c r="F52" s="8" t="s">
        <v>22</v>
      </c>
      <c r="G52" s="8">
        <v>616</v>
      </c>
      <c r="H52" s="8" t="s">
        <v>23</v>
      </c>
      <c r="I52" s="8" t="s">
        <v>102</v>
      </c>
      <c r="J52" s="8" t="s">
        <v>41</v>
      </c>
      <c r="K52" s="8" t="s">
        <v>26</v>
      </c>
      <c r="L52" s="8" t="s">
        <v>103</v>
      </c>
      <c r="M52" s="8">
        <v>5411</v>
      </c>
      <c r="N52" s="8" t="s">
        <v>103</v>
      </c>
      <c r="O52" s="8" t="s">
        <v>2634</v>
      </c>
      <c r="P52" s="8" t="s">
        <v>2476</v>
      </c>
      <c r="Q52" s="8" t="s">
        <v>2477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High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2472</v>
      </c>
      <c r="C53" s="9" t="s">
        <v>2635</v>
      </c>
      <c r="D53" s="9" t="s">
        <v>2636</v>
      </c>
      <c r="E53" s="9" t="s">
        <v>21</v>
      </c>
      <c r="F53" s="9" t="s">
        <v>22</v>
      </c>
      <c r="G53" s="9">
        <v>314</v>
      </c>
      <c r="H53" s="9" t="s">
        <v>23</v>
      </c>
      <c r="I53" s="9" t="s">
        <v>78</v>
      </c>
      <c r="J53" s="9" t="s">
        <v>41</v>
      </c>
      <c r="K53" s="9" t="s">
        <v>26</v>
      </c>
      <c r="L53" s="9" t="s">
        <v>79</v>
      </c>
      <c r="M53" s="9">
        <v>7996</v>
      </c>
      <c r="N53" s="9" t="s">
        <v>79</v>
      </c>
      <c r="O53" s="9" t="s">
        <v>2637</v>
      </c>
      <c r="P53" s="9" t="s">
        <v>2476</v>
      </c>
      <c r="Q53" s="9" t="s">
        <v>2477</v>
      </c>
      <c r="R53" s="7"/>
    </row>
    <row r="54" spans="1:23" ht="15.75" customHeight="1">
      <c r="A54" s="8">
        <v>53</v>
      </c>
      <c r="B54" s="8" t="s">
        <v>2472</v>
      </c>
      <c r="C54" s="8" t="s">
        <v>2638</v>
      </c>
      <c r="D54" s="8" t="s">
        <v>2639</v>
      </c>
      <c r="E54" s="8" t="s">
        <v>21</v>
      </c>
      <c r="F54" s="8" t="s">
        <v>22</v>
      </c>
      <c r="G54" s="8">
        <v>469</v>
      </c>
      <c r="H54" s="8" t="s">
        <v>23</v>
      </c>
      <c r="I54" s="8" t="s">
        <v>174</v>
      </c>
      <c r="J54" s="8" t="s">
        <v>36</v>
      </c>
      <c r="K54" s="8" t="s">
        <v>26</v>
      </c>
      <c r="L54" s="8" t="s">
        <v>175</v>
      </c>
      <c r="M54" s="8">
        <v>4813</v>
      </c>
      <c r="N54" s="8" t="s">
        <v>175</v>
      </c>
      <c r="O54" s="8" t="s">
        <v>2640</v>
      </c>
      <c r="P54" s="8" t="s">
        <v>2476</v>
      </c>
      <c r="Q54" s="8" t="s">
        <v>2477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2472</v>
      </c>
      <c r="C55" s="9" t="s">
        <v>2641</v>
      </c>
      <c r="D55" s="9" t="s">
        <v>2642</v>
      </c>
      <c r="E55" s="9" t="s">
        <v>21</v>
      </c>
      <c r="F55" s="9" t="s">
        <v>22</v>
      </c>
      <c r="G55" s="9">
        <v>238</v>
      </c>
      <c r="H55" s="9" t="s">
        <v>23</v>
      </c>
      <c r="I55" s="9" t="s">
        <v>74</v>
      </c>
      <c r="J55" s="9" t="s">
        <v>41</v>
      </c>
      <c r="K55" s="9" t="s">
        <v>26</v>
      </c>
      <c r="L55" s="9" t="s">
        <v>75</v>
      </c>
      <c r="M55" s="9">
        <v>5812</v>
      </c>
      <c r="N55" s="9" t="s">
        <v>75</v>
      </c>
      <c r="O55" s="9" t="s">
        <v>2643</v>
      </c>
      <c r="P55" s="9" t="s">
        <v>2476</v>
      </c>
      <c r="Q55" s="9" t="s">
        <v>2477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2472</v>
      </c>
      <c r="C56" s="8" t="s">
        <v>2644</v>
      </c>
      <c r="D56" s="8" t="s">
        <v>2645</v>
      </c>
      <c r="E56" s="8" t="s">
        <v>21</v>
      </c>
      <c r="F56" s="8" t="s">
        <v>22</v>
      </c>
      <c r="G56" s="8">
        <v>368</v>
      </c>
      <c r="H56" s="8" t="s">
        <v>23</v>
      </c>
      <c r="I56" s="8" t="s">
        <v>108</v>
      </c>
      <c r="J56" s="8" t="s">
        <v>41</v>
      </c>
      <c r="K56" s="8" t="s">
        <v>26</v>
      </c>
      <c r="L56" s="8" t="s">
        <v>57</v>
      </c>
      <c r="M56" s="8">
        <v>5999</v>
      </c>
      <c r="N56" s="8" t="s">
        <v>57</v>
      </c>
      <c r="O56" s="8" t="s">
        <v>2646</v>
      </c>
      <c r="P56" s="8" t="s">
        <v>2476</v>
      </c>
      <c r="Q56" s="8" t="s">
        <v>2477</v>
      </c>
      <c r="R56" s="7"/>
      <c r="S56" s="61" t="s">
        <v>294</v>
      </c>
      <c r="T56" s="62">
        <f>IFERROR(U24/T24,0)</f>
        <v>0.10415375077495351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2472</v>
      </c>
      <c r="C57" s="9" t="s">
        <v>2647</v>
      </c>
      <c r="D57" s="9" t="s">
        <v>2648</v>
      </c>
      <c r="E57" s="9" t="s">
        <v>21</v>
      </c>
      <c r="F57" s="9" t="s">
        <v>22</v>
      </c>
      <c r="G57" s="9">
        <v>1400</v>
      </c>
      <c r="H57" s="9" t="s">
        <v>23</v>
      </c>
      <c r="I57" s="9" t="s">
        <v>2484</v>
      </c>
      <c r="J57" s="9" t="s">
        <v>36</v>
      </c>
      <c r="K57" s="9" t="s">
        <v>26</v>
      </c>
      <c r="L57" s="9" t="s">
        <v>2485</v>
      </c>
      <c r="M57" s="9">
        <v>6012</v>
      </c>
      <c r="N57" s="9" t="s">
        <v>2485</v>
      </c>
      <c r="O57" s="9" t="s">
        <v>2649</v>
      </c>
      <c r="P57" s="9" t="s">
        <v>2476</v>
      </c>
      <c r="Q57" s="9" t="s">
        <v>2477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2472</v>
      </c>
      <c r="C58" s="8" t="s">
        <v>2650</v>
      </c>
      <c r="D58" s="8" t="s">
        <v>2651</v>
      </c>
      <c r="E58" s="8" t="s">
        <v>21</v>
      </c>
      <c r="F58" s="8" t="s">
        <v>22</v>
      </c>
      <c r="G58" s="8">
        <v>1214</v>
      </c>
      <c r="H58" s="8" t="s">
        <v>23</v>
      </c>
      <c r="I58" s="8" t="s">
        <v>262</v>
      </c>
      <c r="J58" s="8" t="s">
        <v>25</v>
      </c>
      <c r="K58" s="8" t="s">
        <v>26</v>
      </c>
      <c r="L58" s="8" t="s">
        <v>263</v>
      </c>
      <c r="M58" s="8">
        <v>8299</v>
      </c>
      <c r="N58" s="8" t="s">
        <v>263</v>
      </c>
      <c r="O58" s="8" t="s">
        <v>2652</v>
      </c>
      <c r="P58" s="8" t="s">
        <v>2476</v>
      </c>
      <c r="Q58" s="8" t="s">
        <v>2477</v>
      </c>
      <c r="R58" s="7"/>
      <c r="S58" s="61" t="s">
        <v>303</v>
      </c>
      <c r="T58" s="62">
        <f>T35</f>
        <v>0.32034717916924987</v>
      </c>
      <c r="U58" s="27" t="s">
        <v>304</v>
      </c>
      <c r="V58" s="38" t="str">
        <f>IF(T58&gt;=0.2,"✅ Meets","⚠️ Below")</f>
        <v>✅ Meets</v>
      </c>
      <c r="W58" s="29" t="s">
        <v>305</v>
      </c>
    </row>
    <row r="59" spans="1:23" ht="18" customHeight="1">
      <c r="A59" s="9">
        <v>58</v>
      </c>
      <c r="B59" s="9" t="s">
        <v>2472</v>
      </c>
      <c r="C59" s="9" t="s">
        <v>2653</v>
      </c>
      <c r="D59" s="9" t="s">
        <v>2654</v>
      </c>
      <c r="E59" s="9" t="s">
        <v>21</v>
      </c>
      <c r="F59" s="9" t="s">
        <v>22</v>
      </c>
      <c r="G59" s="9">
        <v>129</v>
      </c>
      <c r="H59" s="9" t="s">
        <v>23</v>
      </c>
      <c r="I59" s="9" t="s">
        <v>56</v>
      </c>
      <c r="J59" s="9" t="s">
        <v>41</v>
      </c>
      <c r="K59" s="9" t="s">
        <v>26</v>
      </c>
      <c r="L59" s="9" t="s">
        <v>57</v>
      </c>
      <c r="M59" s="9">
        <v>5999</v>
      </c>
      <c r="N59" s="9" t="s">
        <v>57</v>
      </c>
      <c r="O59" s="9" t="s">
        <v>2655</v>
      </c>
      <c r="P59" s="9" t="s">
        <v>2476</v>
      </c>
      <c r="Q59" s="9" t="s">
        <v>2477</v>
      </c>
      <c r="R59" s="7"/>
      <c r="S59" s="68" t="s">
        <v>308</v>
      </c>
      <c r="T59" s="69">
        <f>T36</f>
        <v>4306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2472</v>
      </c>
      <c r="C60" s="8" t="s">
        <v>2656</v>
      </c>
      <c r="D60" s="8" t="s">
        <v>2657</v>
      </c>
      <c r="E60" s="8" t="s">
        <v>21</v>
      </c>
      <c r="F60" s="8" t="s">
        <v>22</v>
      </c>
      <c r="G60" s="8">
        <v>367</v>
      </c>
      <c r="H60" s="8" t="s">
        <v>23</v>
      </c>
      <c r="I60" s="8" t="s">
        <v>186</v>
      </c>
      <c r="J60" s="8" t="s">
        <v>41</v>
      </c>
      <c r="K60" s="8" t="s">
        <v>26</v>
      </c>
      <c r="L60" s="8" t="s">
        <v>187</v>
      </c>
      <c r="M60" s="8">
        <v>5999</v>
      </c>
      <c r="N60" s="8" t="s">
        <v>187</v>
      </c>
      <c r="O60" s="8" t="s">
        <v>2658</v>
      </c>
      <c r="P60" s="8" t="s">
        <v>2476</v>
      </c>
      <c r="Q60" s="8" t="s">
        <v>2477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2472</v>
      </c>
      <c r="C61" s="9" t="s">
        <v>2659</v>
      </c>
      <c r="D61" s="9" t="s">
        <v>2660</v>
      </c>
      <c r="E61" s="9" t="s">
        <v>21</v>
      </c>
      <c r="F61" s="9" t="s">
        <v>22</v>
      </c>
      <c r="G61" s="9">
        <v>353</v>
      </c>
      <c r="H61" s="9" t="s">
        <v>23</v>
      </c>
      <c r="I61" s="9" t="s">
        <v>123</v>
      </c>
      <c r="J61" s="9" t="s">
        <v>41</v>
      </c>
      <c r="K61" s="9" t="s">
        <v>26</v>
      </c>
      <c r="L61" s="9" t="s">
        <v>124</v>
      </c>
      <c r="M61" s="9">
        <v>5541</v>
      </c>
      <c r="N61" s="9" t="s">
        <v>124</v>
      </c>
      <c r="O61" s="9" t="s">
        <v>2661</v>
      </c>
      <c r="P61" s="9" t="s">
        <v>2476</v>
      </c>
      <c r="Q61" s="9" t="s">
        <v>2477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2472</v>
      </c>
      <c r="C62" s="8" t="s">
        <v>2662</v>
      </c>
      <c r="D62" s="8" t="s">
        <v>2663</v>
      </c>
      <c r="E62" s="8" t="s">
        <v>21</v>
      </c>
      <c r="F62" s="8" t="s">
        <v>22</v>
      </c>
      <c r="G62" s="8">
        <v>695</v>
      </c>
      <c r="H62" s="8" t="s">
        <v>23</v>
      </c>
      <c r="I62" s="8" t="s">
        <v>102</v>
      </c>
      <c r="J62" s="8" t="s">
        <v>41</v>
      </c>
      <c r="K62" s="8" t="s">
        <v>26</v>
      </c>
      <c r="L62" s="8" t="s">
        <v>103</v>
      </c>
      <c r="M62" s="8">
        <v>5411</v>
      </c>
      <c r="N62" s="8" t="s">
        <v>103</v>
      </c>
      <c r="O62" s="8" t="s">
        <v>2664</v>
      </c>
      <c r="P62" s="8" t="s">
        <v>2476</v>
      </c>
      <c r="Q62" s="8" t="s">
        <v>2477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2472</v>
      </c>
      <c r="C63" s="9" t="s">
        <v>2665</v>
      </c>
      <c r="D63" s="9" t="s">
        <v>2666</v>
      </c>
      <c r="E63" s="9" t="s">
        <v>21</v>
      </c>
      <c r="F63" s="9" t="s">
        <v>22</v>
      </c>
      <c r="G63" s="9">
        <v>696</v>
      </c>
      <c r="H63" s="9" t="s">
        <v>23</v>
      </c>
      <c r="I63" s="9" t="s">
        <v>102</v>
      </c>
      <c r="J63" s="9" t="s">
        <v>41</v>
      </c>
      <c r="K63" s="9" t="s">
        <v>26</v>
      </c>
      <c r="L63" s="9" t="s">
        <v>103</v>
      </c>
      <c r="M63" s="9">
        <v>5411</v>
      </c>
      <c r="N63" s="9" t="s">
        <v>103</v>
      </c>
      <c r="O63" s="9" t="s">
        <v>2667</v>
      </c>
      <c r="P63" s="9" t="s">
        <v>2476</v>
      </c>
      <c r="Q63" s="9" t="s">
        <v>2477</v>
      </c>
      <c r="R63" s="7"/>
      <c r="S63" s="68" t="s">
        <v>333</v>
      </c>
      <c r="T63" s="74">
        <f>IFERROR((MIN(1,SUMPRODUCT((LEFT($C$2:$C$214,7)=TEXT(S9,"YYYY-MM"))*($E$2:$E$214="KSAOB.Credit")*($K$2:$K$214="KSAOB.Deposit")))+MIN(1,SUMPRODUCT((LEFT($C$2:$C$214,7)=TEXT(S10,"YYYY-MM"))*($E$2:$E$214="KSAOB.Credit")*($K$2:$K$214="KSAOB.Deposit")))+MIN(1,SUMPRODUCT((LEFT($C$2:$C$214,7)=TEXT(S11,"YYYY-MM"))*($E$2:$E$214="KSAOB.Credit")*($K$2:$K$214="KSAOB.Deposit")))+MIN(1,SUMPRODUCT((LEFT($C$2:$C$214,7)=TEXT(S12,"YYYY-MM"))*($E$2:$E$214="KSAOB.Credit")*($K$2:$K$214="KSAOB.Deposit")))+MIN(1,SUMPRODUCT((LEFT($C$2:$C$214,7)=TEXT(S13,"YYYY-MM"))*($E$2:$E$214="KSAOB.Credit")*($K$2:$K$214="KSAOB.Deposit")))+MIN(1,SUMPRODUCT((LEFT($C$2:$C$214,7)=TEXT(S14,"YYYY-MM"))*($E$2:$E$214="KSAOB.Credit")*($K$2:$K$214="KSAOB.Deposit")))+MIN(1,SUMPRODUCT((LEFT($C$2:$C$214,7)=TEXT(S15,"YYYY-MM"))*($E$2:$E$214="KSAOB.Credit")*($K$2:$K$214="KSAOB.Deposit")))+MIN(1,SUMPRODUCT((LEFT($C$2:$C$214,7)=TEXT(S16,"YYYY-MM"))*($E$2:$E$214="KSAOB.Credit")*($K$2:$K$214="KSAOB.Deposit")))+MIN(1,SUMPRODUCT((LEFT($C$2:$C$214,7)=TEXT(S17,"YYYY-MM"))*($E$2:$E$214="KSAOB.Credit")*($K$2:$K$214="KSAOB.Deposit")))+MIN(1,SUMPRODUCT((LEFT($C$2:$C$214,7)=TEXT(S18,"YYYY-MM"))*($E$2:$E$214="KSAOB.Credit")*($K$2:$K$214="KSAOB.Deposit")))+MIN(1,SUMPRODUCT((LEFT($C$2:$C$214,7)=TEXT(S19,"YYYY-MM"))*($E$2:$E$214="KSAOB.Credit")*($K$2:$K$214="KSAOB.Deposit")))+MIN(1,SUMPRODUCT((LEFT($C$2:$C$214,7)=TEXT(S20,"YYYY-MM"))*($E$2:$E$214="KSAOB.Credit")*($K$2:$K$214="KSAOB.Deposit"))))/12,0)</f>
        <v>1</v>
      </c>
      <c r="U63" s="32" t="s">
        <v>334</v>
      </c>
      <c r="V63" s="36" t="str">
        <f>IF(T63&gt;=0.9,"✅ Meets","⚠️ Below")</f>
        <v>✅ Meets</v>
      </c>
      <c r="W63" s="34" t="s">
        <v>878</v>
      </c>
    </row>
    <row r="64" spans="1:23" ht="15" customHeight="1">
      <c r="A64" s="8">
        <v>63</v>
      </c>
      <c r="B64" s="8" t="s">
        <v>2472</v>
      </c>
      <c r="C64" s="8" t="s">
        <v>2668</v>
      </c>
      <c r="D64" s="8" t="s">
        <v>2669</v>
      </c>
      <c r="E64" s="8" t="s">
        <v>21</v>
      </c>
      <c r="F64" s="8" t="s">
        <v>22</v>
      </c>
      <c r="G64" s="8">
        <v>311</v>
      </c>
      <c r="H64" s="8" t="s">
        <v>23</v>
      </c>
      <c r="I64" s="8" t="s">
        <v>143</v>
      </c>
      <c r="J64" s="8" t="s">
        <v>41</v>
      </c>
      <c r="K64" s="8" t="s">
        <v>26</v>
      </c>
      <c r="L64" s="8" t="s">
        <v>144</v>
      </c>
      <c r="M64" s="8">
        <v>7996</v>
      </c>
      <c r="N64" s="8" t="s">
        <v>144</v>
      </c>
      <c r="O64" s="8" t="s">
        <v>2670</v>
      </c>
      <c r="P64" s="8" t="s">
        <v>2476</v>
      </c>
      <c r="Q64" s="8" t="s">
        <v>2477</v>
      </c>
      <c r="R64" s="7"/>
    </row>
    <row r="65" spans="1:17" ht="15" customHeight="1">
      <c r="A65" s="9">
        <v>64</v>
      </c>
      <c r="B65" s="9" t="s">
        <v>2472</v>
      </c>
      <c r="C65" s="9" t="s">
        <v>2671</v>
      </c>
      <c r="D65" s="9" t="s">
        <v>2672</v>
      </c>
      <c r="E65" s="9" t="s">
        <v>21</v>
      </c>
      <c r="F65" s="9" t="s">
        <v>22</v>
      </c>
      <c r="G65" s="9">
        <v>311</v>
      </c>
      <c r="H65" s="9" t="s">
        <v>23</v>
      </c>
      <c r="I65" s="9" t="s">
        <v>695</v>
      </c>
      <c r="J65" s="9" t="s">
        <v>41</v>
      </c>
      <c r="K65" s="9" t="s">
        <v>26</v>
      </c>
      <c r="L65" s="9" t="s">
        <v>696</v>
      </c>
      <c r="M65" s="9">
        <v>7996</v>
      </c>
      <c r="N65" s="9" t="s">
        <v>696</v>
      </c>
      <c r="O65" s="9" t="s">
        <v>2673</v>
      </c>
      <c r="P65" s="9" t="s">
        <v>2476</v>
      </c>
      <c r="Q65" s="9" t="s">
        <v>2477</v>
      </c>
    </row>
    <row r="66" spans="1:17" ht="15" customHeight="1">
      <c r="A66" s="8">
        <v>65</v>
      </c>
      <c r="B66" s="8" t="s">
        <v>2472</v>
      </c>
      <c r="C66" s="8" t="s">
        <v>2674</v>
      </c>
      <c r="D66" s="8" t="s">
        <v>2675</v>
      </c>
      <c r="E66" s="8" t="s">
        <v>21</v>
      </c>
      <c r="F66" s="8" t="s">
        <v>22</v>
      </c>
      <c r="G66" s="8">
        <v>238</v>
      </c>
      <c r="H66" s="8" t="s">
        <v>23</v>
      </c>
      <c r="I66" s="8" t="s">
        <v>52</v>
      </c>
      <c r="J66" s="8" t="s">
        <v>41</v>
      </c>
      <c r="K66" s="8" t="s">
        <v>26</v>
      </c>
      <c r="L66" s="8" t="s">
        <v>53</v>
      </c>
      <c r="M66" s="8">
        <v>5812</v>
      </c>
      <c r="N66" s="8" t="s">
        <v>53</v>
      </c>
      <c r="O66" s="8" t="s">
        <v>2676</v>
      </c>
      <c r="P66" s="8" t="s">
        <v>2476</v>
      </c>
      <c r="Q66" s="8" t="s">
        <v>2477</v>
      </c>
    </row>
    <row r="67" spans="1:17" ht="15" customHeight="1">
      <c r="A67" s="9">
        <v>66</v>
      </c>
      <c r="B67" s="9" t="s">
        <v>2472</v>
      </c>
      <c r="C67" s="9" t="s">
        <v>2677</v>
      </c>
      <c r="D67" s="9" t="s">
        <v>2678</v>
      </c>
      <c r="E67" s="9" t="s">
        <v>21</v>
      </c>
      <c r="F67" s="9" t="s">
        <v>22</v>
      </c>
      <c r="G67" s="9">
        <v>696</v>
      </c>
      <c r="H67" s="9" t="s">
        <v>23</v>
      </c>
      <c r="I67" s="9" t="s">
        <v>244</v>
      </c>
      <c r="J67" s="9" t="s">
        <v>41</v>
      </c>
      <c r="K67" s="9" t="s">
        <v>26</v>
      </c>
      <c r="L67" s="9" t="s">
        <v>245</v>
      </c>
      <c r="M67" s="9">
        <v>5411</v>
      </c>
      <c r="N67" s="9" t="s">
        <v>245</v>
      </c>
      <c r="O67" s="9" t="s">
        <v>2679</v>
      </c>
      <c r="P67" s="9" t="s">
        <v>2476</v>
      </c>
      <c r="Q67" s="9" t="s">
        <v>2477</v>
      </c>
    </row>
    <row r="68" spans="1:17" ht="15" customHeight="1">
      <c r="A68" s="8">
        <v>67</v>
      </c>
      <c r="B68" s="8" t="s">
        <v>2472</v>
      </c>
      <c r="C68" s="8" t="s">
        <v>2680</v>
      </c>
      <c r="D68" s="8" t="s">
        <v>2681</v>
      </c>
      <c r="E68" s="8" t="s">
        <v>21</v>
      </c>
      <c r="F68" s="8" t="s">
        <v>22</v>
      </c>
      <c r="G68" s="8">
        <v>522</v>
      </c>
      <c r="H68" s="8" t="s">
        <v>23</v>
      </c>
      <c r="I68" s="8" t="s">
        <v>286</v>
      </c>
      <c r="J68" s="8" t="s">
        <v>41</v>
      </c>
      <c r="K68" s="8" t="s">
        <v>26</v>
      </c>
      <c r="L68" s="8" t="s">
        <v>287</v>
      </c>
      <c r="M68" s="8">
        <v>8011</v>
      </c>
      <c r="N68" s="8" t="s">
        <v>287</v>
      </c>
      <c r="O68" s="8" t="s">
        <v>2682</v>
      </c>
      <c r="P68" s="8" t="s">
        <v>2476</v>
      </c>
      <c r="Q68" s="8" t="s">
        <v>2477</v>
      </c>
    </row>
    <row r="69" spans="1:17" ht="15" customHeight="1">
      <c r="A69" s="9">
        <v>68</v>
      </c>
      <c r="B69" s="9" t="s">
        <v>2472</v>
      </c>
      <c r="C69" s="9" t="s">
        <v>2683</v>
      </c>
      <c r="D69" s="9" t="s">
        <v>2684</v>
      </c>
      <c r="E69" s="9" t="s">
        <v>21</v>
      </c>
      <c r="F69" s="9" t="s">
        <v>22</v>
      </c>
      <c r="G69" s="9">
        <v>239</v>
      </c>
      <c r="H69" s="9" t="s">
        <v>23</v>
      </c>
      <c r="I69" s="9" t="s">
        <v>40</v>
      </c>
      <c r="J69" s="9" t="s">
        <v>41</v>
      </c>
      <c r="K69" s="9" t="s">
        <v>26</v>
      </c>
      <c r="L69" s="9" t="s">
        <v>42</v>
      </c>
      <c r="M69" s="9">
        <v>5812</v>
      </c>
      <c r="N69" s="9" t="s">
        <v>42</v>
      </c>
      <c r="O69" s="9" t="s">
        <v>2685</v>
      </c>
      <c r="P69" s="9" t="s">
        <v>2476</v>
      </c>
      <c r="Q69" s="9" t="s">
        <v>2477</v>
      </c>
    </row>
    <row r="70" spans="1:17" ht="15" customHeight="1">
      <c r="A70" s="8">
        <v>69</v>
      </c>
      <c r="B70" s="8" t="s">
        <v>2472</v>
      </c>
      <c r="C70" s="8" t="s">
        <v>2686</v>
      </c>
      <c r="D70" s="8" t="s">
        <v>2687</v>
      </c>
      <c r="E70" s="8" t="s">
        <v>21</v>
      </c>
      <c r="F70" s="8" t="s">
        <v>22</v>
      </c>
      <c r="G70" s="8">
        <v>239</v>
      </c>
      <c r="H70" s="8" t="s">
        <v>23</v>
      </c>
      <c r="I70" s="8" t="s">
        <v>52</v>
      </c>
      <c r="J70" s="8" t="s">
        <v>41</v>
      </c>
      <c r="K70" s="8" t="s">
        <v>26</v>
      </c>
      <c r="L70" s="8" t="s">
        <v>53</v>
      </c>
      <c r="M70" s="8">
        <v>5812</v>
      </c>
      <c r="N70" s="8" t="s">
        <v>53</v>
      </c>
      <c r="O70" s="8" t="s">
        <v>2688</v>
      </c>
      <c r="P70" s="8" t="s">
        <v>2476</v>
      </c>
      <c r="Q70" s="8" t="s">
        <v>2477</v>
      </c>
    </row>
    <row r="71" spans="1:17" ht="15" customHeight="1">
      <c r="A71" s="9">
        <v>70</v>
      </c>
      <c r="B71" s="9" t="s">
        <v>2472</v>
      </c>
      <c r="C71" s="9" t="s">
        <v>2689</v>
      </c>
      <c r="D71" s="9" t="s">
        <v>2690</v>
      </c>
      <c r="E71" s="9" t="s">
        <v>21</v>
      </c>
      <c r="F71" s="9" t="s">
        <v>22</v>
      </c>
      <c r="G71" s="9">
        <v>475</v>
      </c>
      <c r="H71" s="9" t="s">
        <v>23</v>
      </c>
      <c r="I71" s="9" t="s">
        <v>866</v>
      </c>
      <c r="J71" s="9" t="s">
        <v>25</v>
      </c>
      <c r="K71" s="9" t="s">
        <v>26</v>
      </c>
      <c r="L71" s="9" t="s">
        <v>867</v>
      </c>
      <c r="M71" s="9">
        <v>5999</v>
      </c>
      <c r="N71" s="9" t="s">
        <v>867</v>
      </c>
      <c r="O71" s="9" t="s">
        <v>2691</v>
      </c>
      <c r="P71" s="9" t="s">
        <v>2476</v>
      </c>
      <c r="Q71" s="9" t="s">
        <v>2477</v>
      </c>
    </row>
    <row r="72" spans="1:17" ht="15" customHeight="1">
      <c r="A72" s="8">
        <v>71</v>
      </c>
      <c r="B72" s="8" t="s">
        <v>2472</v>
      </c>
      <c r="C72" s="8" t="s">
        <v>2692</v>
      </c>
      <c r="D72" s="8" t="s">
        <v>2693</v>
      </c>
      <c r="E72" s="8" t="s">
        <v>94</v>
      </c>
      <c r="F72" s="8" t="s">
        <v>22</v>
      </c>
      <c r="G72" s="8">
        <v>13600</v>
      </c>
      <c r="H72" s="8" t="s">
        <v>23</v>
      </c>
      <c r="I72" s="8" t="s">
        <v>2534</v>
      </c>
      <c r="J72" s="8" t="s">
        <v>96</v>
      </c>
      <c r="K72" s="8" t="s">
        <v>97</v>
      </c>
      <c r="L72" s="8" t="s">
        <v>2476</v>
      </c>
      <c r="M72" s="8"/>
      <c r="N72" s="8" t="s">
        <v>2476</v>
      </c>
      <c r="O72" s="8" t="s">
        <v>2694</v>
      </c>
      <c r="P72" s="8" t="s">
        <v>2476</v>
      </c>
      <c r="Q72" s="8" t="s">
        <v>2477</v>
      </c>
    </row>
    <row r="73" spans="1:17" ht="15" customHeight="1">
      <c r="A73" s="9">
        <v>72</v>
      </c>
      <c r="B73" s="9" t="s">
        <v>2472</v>
      </c>
      <c r="C73" s="9" t="s">
        <v>2695</v>
      </c>
      <c r="D73" s="9" t="s">
        <v>2696</v>
      </c>
      <c r="E73" s="9" t="s">
        <v>21</v>
      </c>
      <c r="F73" s="9" t="s">
        <v>22</v>
      </c>
      <c r="G73" s="9">
        <v>476</v>
      </c>
      <c r="H73" s="9" t="s">
        <v>23</v>
      </c>
      <c r="I73" s="9" t="s">
        <v>866</v>
      </c>
      <c r="J73" s="9" t="s">
        <v>25</v>
      </c>
      <c r="K73" s="9" t="s">
        <v>26</v>
      </c>
      <c r="L73" s="9" t="s">
        <v>867</v>
      </c>
      <c r="M73" s="9">
        <v>5999</v>
      </c>
      <c r="N73" s="9" t="s">
        <v>867</v>
      </c>
      <c r="O73" s="9" t="s">
        <v>2697</v>
      </c>
      <c r="P73" s="9" t="s">
        <v>2476</v>
      </c>
      <c r="Q73" s="9" t="s">
        <v>2477</v>
      </c>
    </row>
    <row r="74" spans="1:17" ht="15" customHeight="1">
      <c r="A74" s="8">
        <v>73</v>
      </c>
      <c r="B74" s="8" t="s">
        <v>2472</v>
      </c>
      <c r="C74" s="8" t="s">
        <v>2698</v>
      </c>
      <c r="D74" s="8" t="s">
        <v>2699</v>
      </c>
      <c r="E74" s="8" t="s">
        <v>21</v>
      </c>
      <c r="F74" s="8" t="s">
        <v>22</v>
      </c>
      <c r="G74" s="8">
        <v>353</v>
      </c>
      <c r="H74" s="8" t="s">
        <v>23</v>
      </c>
      <c r="I74" s="8" t="s">
        <v>70</v>
      </c>
      <c r="J74" s="8" t="s">
        <v>41</v>
      </c>
      <c r="K74" s="8" t="s">
        <v>26</v>
      </c>
      <c r="L74" s="8" t="s">
        <v>71</v>
      </c>
      <c r="M74" s="8">
        <v>5541</v>
      </c>
      <c r="N74" s="8" t="s">
        <v>71</v>
      </c>
      <c r="O74" s="8" t="s">
        <v>2700</v>
      </c>
      <c r="P74" s="8" t="s">
        <v>2476</v>
      </c>
      <c r="Q74" s="8" t="s">
        <v>2477</v>
      </c>
    </row>
    <row r="75" spans="1:17" ht="15" customHeight="1">
      <c r="A75" s="9">
        <v>74</v>
      </c>
      <c r="B75" s="9" t="s">
        <v>2472</v>
      </c>
      <c r="C75" s="9" t="s">
        <v>2701</v>
      </c>
      <c r="D75" s="9" t="s">
        <v>2702</v>
      </c>
      <c r="E75" s="9" t="s">
        <v>21</v>
      </c>
      <c r="F75" s="9" t="s">
        <v>22</v>
      </c>
      <c r="G75" s="9">
        <v>859</v>
      </c>
      <c r="H75" s="9" t="s">
        <v>23</v>
      </c>
      <c r="I75" s="9" t="s">
        <v>198</v>
      </c>
      <c r="J75" s="9" t="s">
        <v>36</v>
      </c>
      <c r="K75" s="9" t="s">
        <v>26</v>
      </c>
      <c r="L75" s="9" t="s">
        <v>199</v>
      </c>
      <c r="M75" s="9">
        <v>4900</v>
      </c>
      <c r="N75" s="9" t="s">
        <v>199</v>
      </c>
      <c r="O75" s="9" t="s">
        <v>2703</v>
      </c>
      <c r="P75" s="9" t="s">
        <v>2476</v>
      </c>
      <c r="Q75" s="9" t="s">
        <v>2477</v>
      </c>
    </row>
    <row r="76" spans="1:17" ht="15" customHeight="1">
      <c r="A76" s="8">
        <v>75</v>
      </c>
      <c r="B76" s="8" t="s">
        <v>2472</v>
      </c>
      <c r="C76" s="8" t="s">
        <v>2704</v>
      </c>
      <c r="D76" s="8" t="s">
        <v>2705</v>
      </c>
      <c r="E76" s="8" t="s">
        <v>21</v>
      </c>
      <c r="F76" s="8" t="s">
        <v>22</v>
      </c>
      <c r="G76" s="8">
        <v>1400</v>
      </c>
      <c r="H76" s="8" t="s">
        <v>23</v>
      </c>
      <c r="I76" s="8" t="s">
        <v>2484</v>
      </c>
      <c r="J76" s="8" t="s">
        <v>36</v>
      </c>
      <c r="K76" s="8" t="s">
        <v>26</v>
      </c>
      <c r="L76" s="8" t="s">
        <v>2485</v>
      </c>
      <c r="M76" s="8">
        <v>6012</v>
      </c>
      <c r="N76" s="8" t="s">
        <v>2485</v>
      </c>
      <c r="O76" s="8" t="s">
        <v>2706</v>
      </c>
      <c r="P76" s="8" t="s">
        <v>2476</v>
      </c>
      <c r="Q76" s="8" t="s">
        <v>2477</v>
      </c>
    </row>
    <row r="77" spans="1:17" ht="15" customHeight="1">
      <c r="A77" s="9">
        <v>76</v>
      </c>
      <c r="B77" s="9" t="s">
        <v>2472</v>
      </c>
      <c r="C77" s="9" t="s">
        <v>2707</v>
      </c>
      <c r="D77" s="9" t="s">
        <v>2708</v>
      </c>
      <c r="E77" s="9" t="s">
        <v>21</v>
      </c>
      <c r="F77" s="9" t="s">
        <v>22</v>
      </c>
      <c r="G77" s="9">
        <v>486</v>
      </c>
      <c r="H77" s="9" t="s">
        <v>23</v>
      </c>
      <c r="I77" s="9" t="s">
        <v>127</v>
      </c>
      <c r="J77" s="9" t="s">
        <v>25</v>
      </c>
      <c r="K77" s="9" t="s">
        <v>26</v>
      </c>
      <c r="L77" s="9" t="s">
        <v>128</v>
      </c>
      <c r="M77" s="9">
        <v>5999</v>
      </c>
      <c r="N77" s="9" t="s">
        <v>128</v>
      </c>
      <c r="O77" s="9" t="s">
        <v>2709</v>
      </c>
      <c r="P77" s="9" t="s">
        <v>2476</v>
      </c>
      <c r="Q77" s="9" t="s">
        <v>2477</v>
      </c>
    </row>
    <row r="78" spans="1:17" ht="15" customHeight="1">
      <c r="A78" s="8">
        <v>77</v>
      </c>
      <c r="B78" s="8" t="s">
        <v>2472</v>
      </c>
      <c r="C78" s="8" t="s">
        <v>2710</v>
      </c>
      <c r="D78" s="8" t="s">
        <v>2711</v>
      </c>
      <c r="E78" s="8" t="s">
        <v>21</v>
      </c>
      <c r="F78" s="8" t="s">
        <v>22</v>
      </c>
      <c r="G78" s="8">
        <v>387</v>
      </c>
      <c r="H78" s="8" t="s">
        <v>23</v>
      </c>
      <c r="I78" s="8" t="s">
        <v>363</v>
      </c>
      <c r="J78" s="8" t="s">
        <v>41</v>
      </c>
      <c r="K78" s="8" t="s">
        <v>26</v>
      </c>
      <c r="L78" s="8" t="s">
        <v>364</v>
      </c>
      <c r="M78" s="8">
        <v>5999</v>
      </c>
      <c r="N78" s="8" t="s">
        <v>364</v>
      </c>
      <c r="O78" s="8" t="s">
        <v>2712</v>
      </c>
      <c r="P78" s="8" t="s">
        <v>2476</v>
      </c>
      <c r="Q78" s="8" t="s">
        <v>2477</v>
      </c>
    </row>
    <row r="79" spans="1:17" ht="15" customHeight="1">
      <c r="A79" s="9">
        <v>78</v>
      </c>
      <c r="B79" s="9" t="s">
        <v>2472</v>
      </c>
      <c r="C79" s="9" t="s">
        <v>2713</v>
      </c>
      <c r="D79" s="9" t="s">
        <v>2714</v>
      </c>
      <c r="E79" s="9" t="s">
        <v>21</v>
      </c>
      <c r="F79" s="9" t="s">
        <v>22</v>
      </c>
      <c r="G79" s="9">
        <v>388</v>
      </c>
      <c r="H79" s="9" t="s">
        <v>23</v>
      </c>
      <c r="I79" s="9" t="s">
        <v>108</v>
      </c>
      <c r="J79" s="9" t="s">
        <v>41</v>
      </c>
      <c r="K79" s="9" t="s">
        <v>26</v>
      </c>
      <c r="L79" s="9" t="s">
        <v>57</v>
      </c>
      <c r="M79" s="9">
        <v>5999</v>
      </c>
      <c r="N79" s="9" t="s">
        <v>57</v>
      </c>
      <c r="O79" s="9" t="s">
        <v>2715</v>
      </c>
      <c r="P79" s="9" t="s">
        <v>2476</v>
      </c>
      <c r="Q79" s="9" t="s">
        <v>2477</v>
      </c>
    </row>
    <row r="80" spans="1:17" ht="15" customHeight="1">
      <c r="A80" s="8">
        <v>79</v>
      </c>
      <c r="B80" s="8" t="s">
        <v>2472</v>
      </c>
      <c r="C80" s="8" t="s">
        <v>2716</v>
      </c>
      <c r="D80" s="8" t="s">
        <v>2717</v>
      </c>
      <c r="E80" s="8" t="s">
        <v>21</v>
      </c>
      <c r="F80" s="8" t="s">
        <v>22</v>
      </c>
      <c r="G80" s="8">
        <v>836</v>
      </c>
      <c r="H80" s="8" t="s">
        <v>23</v>
      </c>
      <c r="I80" s="8" t="s">
        <v>131</v>
      </c>
      <c r="J80" s="8" t="s">
        <v>41</v>
      </c>
      <c r="K80" s="8" t="s">
        <v>26</v>
      </c>
      <c r="L80" s="8" t="s">
        <v>132</v>
      </c>
      <c r="M80" s="8">
        <v>5411</v>
      </c>
      <c r="N80" s="8" t="s">
        <v>132</v>
      </c>
      <c r="O80" s="8" t="s">
        <v>2718</v>
      </c>
      <c r="P80" s="8" t="s">
        <v>2476</v>
      </c>
      <c r="Q80" s="8" t="s">
        <v>2477</v>
      </c>
    </row>
    <row r="81" spans="1:17" ht="15" customHeight="1">
      <c r="A81" s="9">
        <v>80</v>
      </c>
      <c r="B81" s="9" t="s">
        <v>2472</v>
      </c>
      <c r="C81" s="9" t="s">
        <v>2719</v>
      </c>
      <c r="D81" s="9" t="s">
        <v>2720</v>
      </c>
      <c r="E81" s="9" t="s">
        <v>21</v>
      </c>
      <c r="F81" s="9" t="s">
        <v>22</v>
      </c>
      <c r="G81" s="9">
        <v>1489</v>
      </c>
      <c r="H81" s="9" t="s">
        <v>23</v>
      </c>
      <c r="I81" s="9" t="s">
        <v>56</v>
      </c>
      <c r="J81" s="9" t="s">
        <v>41</v>
      </c>
      <c r="K81" s="9" t="s">
        <v>26</v>
      </c>
      <c r="L81" s="9" t="s">
        <v>57</v>
      </c>
      <c r="M81" s="9">
        <v>5999</v>
      </c>
      <c r="N81" s="9" t="s">
        <v>57</v>
      </c>
      <c r="O81" s="9" t="s">
        <v>2721</v>
      </c>
      <c r="P81" s="9" t="s">
        <v>2476</v>
      </c>
      <c r="Q81" s="9" t="s">
        <v>2477</v>
      </c>
    </row>
    <row r="82" spans="1:17" ht="15" customHeight="1">
      <c r="A82" s="8">
        <v>81</v>
      </c>
      <c r="B82" s="8" t="s">
        <v>2472</v>
      </c>
      <c r="C82" s="8" t="s">
        <v>2722</v>
      </c>
      <c r="D82" s="8" t="s">
        <v>2723</v>
      </c>
      <c r="E82" s="8" t="s">
        <v>21</v>
      </c>
      <c r="F82" s="8" t="s">
        <v>22</v>
      </c>
      <c r="G82" s="8">
        <v>485</v>
      </c>
      <c r="H82" s="8" t="s">
        <v>23</v>
      </c>
      <c r="I82" s="8" t="s">
        <v>159</v>
      </c>
      <c r="J82" s="8" t="s">
        <v>25</v>
      </c>
      <c r="K82" s="8" t="s">
        <v>26</v>
      </c>
      <c r="L82" s="8" t="s">
        <v>160</v>
      </c>
      <c r="M82" s="8">
        <v>5999</v>
      </c>
      <c r="N82" s="8" t="s">
        <v>160</v>
      </c>
      <c r="O82" s="8" t="s">
        <v>2724</v>
      </c>
      <c r="P82" s="8" t="s">
        <v>2476</v>
      </c>
      <c r="Q82" s="8" t="s">
        <v>2477</v>
      </c>
    </row>
    <row r="83" spans="1:17" ht="15" customHeight="1">
      <c r="A83" s="9">
        <v>82</v>
      </c>
      <c r="B83" s="9" t="s">
        <v>2472</v>
      </c>
      <c r="C83" s="9" t="s">
        <v>2725</v>
      </c>
      <c r="D83" s="9" t="s">
        <v>2726</v>
      </c>
      <c r="E83" s="9" t="s">
        <v>21</v>
      </c>
      <c r="F83" s="9" t="s">
        <v>22</v>
      </c>
      <c r="G83" s="9">
        <v>404</v>
      </c>
      <c r="H83" s="9" t="s">
        <v>23</v>
      </c>
      <c r="I83" s="9" t="s">
        <v>70</v>
      </c>
      <c r="J83" s="9" t="s">
        <v>41</v>
      </c>
      <c r="K83" s="9" t="s">
        <v>26</v>
      </c>
      <c r="L83" s="9" t="s">
        <v>71</v>
      </c>
      <c r="M83" s="9">
        <v>5541</v>
      </c>
      <c r="N83" s="9" t="s">
        <v>71</v>
      </c>
      <c r="O83" s="9" t="s">
        <v>2727</v>
      </c>
      <c r="P83" s="9" t="s">
        <v>2476</v>
      </c>
      <c r="Q83" s="9" t="s">
        <v>2477</v>
      </c>
    </row>
    <row r="84" spans="1:17" ht="15" customHeight="1">
      <c r="A84" s="8">
        <v>83</v>
      </c>
      <c r="B84" s="8" t="s">
        <v>2472</v>
      </c>
      <c r="C84" s="8" t="s">
        <v>2728</v>
      </c>
      <c r="D84" s="8" t="s">
        <v>2729</v>
      </c>
      <c r="E84" s="8" t="s">
        <v>21</v>
      </c>
      <c r="F84" s="8" t="s">
        <v>22</v>
      </c>
      <c r="G84" s="8">
        <v>791</v>
      </c>
      <c r="H84" s="8" t="s">
        <v>23</v>
      </c>
      <c r="I84" s="8" t="s">
        <v>498</v>
      </c>
      <c r="J84" s="8" t="s">
        <v>36</v>
      </c>
      <c r="K84" s="8" t="s">
        <v>26</v>
      </c>
      <c r="L84" s="8" t="s">
        <v>499</v>
      </c>
      <c r="M84" s="8">
        <v>4900</v>
      </c>
      <c r="N84" s="8" t="s">
        <v>499</v>
      </c>
      <c r="O84" s="8" t="s">
        <v>2730</v>
      </c>
      <c r="P84" s="8" t="s">
        <v>2476</v>
      </c>
      <c r="Q84" s="8" t="s">
        <v>2477</v>
      </c>
    </row>
    <row r="85" spans="1:17" ht="15" customHeight="1">
      <c r="A85" s="9">
        <v>84</v>
      </c>
      <c r="B85" s="9" t="s">
        <v>2472</v>
      </c>
      <c r="C85" s="9" t="s">
        <v>2731</v>
      </c>
      <c r="D85" s="9" t="s">
        <v>2732</v>
      </c>
      <c r="E85" s="9" t="s">
        <v>21</v>
      </c>
      <c r="F85" s="9" t="s">
        <v>22</v>
      </c>
      <c r="G85" s="9">
        <v>836</v>
      </c>
      <c r="H85" s="9" t="s">
        <v>23</v>
      </c>
      <c r="I85" s="9" t="s">
        <v>102</v>
      </c>
      <c r="J85" s="9" t="s">
        <v>41</v>
      </c>
      <c r="K85" s="9" t="s">
        <v>26</v>
      </c>
      <c r="L85" s="9" t="s">
        <v>103</v>
      </c>
      <c r="M85" s="9">
        <v>5411</v>
      </c>
      <c r="N85" s="9" t="s">
        <v>103</v>
      </c>
      <c r="O85" s="9" t="s">
        <v>2733</v>
      </c>
      <c r="P85" s="9" t="s">
        <v>2476</v>
      </c>
      <c r="Q85" s="9" t="s">
        <v>2477</v>
      </c>
    </row>
    <row r="86" spans="1:17" ht="15" customHeight="1">
      <c r="A86" s="8">
        <v>85</v>
      </c>
      <c r="B86" s="8" t="s">
        <v>2472</v>
      </c>
      <c r="C86" s="8" t="s">
        <v>2734</v>
      </c>
      <c r="D86" s="8" t="s">
        <v>2735</v>
      </c>
      <c r="E86" s="8" t="s">
        <v>21</v>
      </c>
      <c r="F86" s="8" t="s">
        <v>22</v>
      </c>
      <c r="G86" s="8">
        <v>1207</v>
      </c>
      <c r="H86" s="8" t="s">
        <v>23</v>
      </c>
      <c r="I86" s="8" t="s">
        <v>24</v>
      </c>
      <c r="J86" s="8" t="s">
        <v>25</v>
      </c>
      <c r="K86" s="8" t="s">
        <v>26</v>
      </c>
      <c r="L86" s="8" t="s">
        <v>27</v>
      </c>
      <c r="M86" s="8">
        <v>8299</v>
      </c>
      <c r="N86" s="8" t="s">
        <v>27</v>
      </c>
      <c r="O86" s="8" t="s">
        <v>2736</v>
      </c>
      <c r="P86" s="8" t="s">
        <v>2476</v>
      </c>
      <c r="Q86" s="8" t="s">
        <v>2477</v>
      </c>
    </row>
    <row r="87" spans="1:17" ht="15" customHeight="1">
      <c r="A87" s="9">
        <v>86</v>
      </c>
      <c r="B87" s="9" t="s">
        <v>2472</v>
      </c>
      <c r="C87" s="9" t="s">
        <v>2737</v>
      </c>
      <c r="D87" s="9" t="s">
        <v>2738</v>
      </c>
      <c r="E87" s="9" t="s">
        <v>21</v>
      </c>
      <c r="F87" s="9" t="s">
        <v>22</v>
      </c>
      <c r="G87" s="9">
        <v>404</v>
      </c>
      <c r="H87" s="9" t="s">
        <v>23</v>
      </c>
      <c r="I87" s="9" t="s">
        <v>123</v>
      </c>
      <c r="J87" s="9" t="s">
        <v>41</v>
      </c>
      <c r="K87" s="9" t="s">
        <v>26</v>
      </c>
      <c r="L87" s="9" t="s">
        <v>124</v>
      </c>
      <c r="M87" s="9">
        <v>5541</v>
      </c>
      <c r="N87" s="9" t="s">
        <v>124</v>
      </c>
      <c r="O87" s="9" t="s">
        <v>2739</v>
      </c>
      <c r="P87" s="9" t="s">
        <v>2476</v>
      </c>
      <c r="Q87" s="9" t="s">
        <v>2477</v>
      </c>
    </row>
    <row r="88" spans="1:17" ht="15" customHeight="1">
      <c r="A88" s="8">
        <v>87</v>
      </c>
      <c r="B88" s="8" t="s">
        <v>2472</v>
      </c>
      <c r="C88" s="8" t="s">
        <v>2740</v>
      </c>
      <c r="D88" s="8" t="s">
        <v>2741</v>
      </c>
      <c r="E88" s="8" t="s">
        <v>94</v>
      </c>
      <c r="F88" s="8" t="s">
        <v>22</v>
      </c>
      <c r="G88" s="8">
        <v>13300</v>
      </c>
      <c r="H88" s="8" t="s">
        <v>23</v>
      </c>
      <c r="I88" s="8" t="s">
        <v>2534</v>
      </c>
      <c r="J88" s="8" t="s">
        <v>96</v>
      </c>
      <c r="K88" s="8" t="s">
        <v>97</v>
      </c>
      <c r="L88" s="8" t="s">
        <v>2476</v>
      </c>
      <c r="M88" s="8"/>
      <c r="N88" s="8" t="s">
        <v>2476</v>
      </c>
      <c r="O88" s="8" t="s">
        <v>2742</v>
      </c>
      <c r="P88" s="8" t="s">
        <v>2476</v>
      </c>
      <c r="Q88" s="8" t="s">
        <v>2477</v>
      </c>
    </row>
    <row r="89" spans="1:17" ht="15" customHeight="1">
      <c r="A89" s="9">
        <v>88</v>
      </c>
      <c r="B89" s="9" t="s">
        <v>2472</v>
      </c>
      <c r="C89" s="9" t="s">
        <v>2743</v>
      </c>
      <c r="D89" s="9" t="s">
        <v>2744</v>
      </c>
      <c r="E89" s="9" t="s">
        <v>21</v>
      </c>
      <c r="F89" s="9" t="s">
        <v>22</v>
      </c>
      <c r="G89" s="9">
        <v>420</v>
      </c>
      <c r="H89" s="9" t="s">
        <v>23</v>
      </c>
      <c r="I89" s="9" t="s">
        <v>74</v>
      </c>
      <c r="J89" s="9" t="s">
        <v>41</v>
      </c>
      <c r="K89" s="9" t="s">
        <v>26</v>
      </c>
      <c r="L89" s="9" t="s">
        <v>75</v>
      </c>
      <c r="M89" s="9">
        <v>5812</v>
      </c>
      <c r="N89" s="9" t="s">
        <v>75</v>
      </c>
      <c r="O89" s="9" t="s">
        <v>2745</v>
      </c>
      <c r="P89" s="9" t="s">
        <v>2476</v>
      </c>
      <c r="Q89" s="9" t="s">
        <v>2477</v>
      </c>
    </row>
    <row r="90" spans="1:17" ht="15" customHeight="1">
      <c r="A90" s="8">
        <v>89</v>
      </c>
      <c r="B90" s="8" t="s">
        <v>2472</v>
      </c>
      <c r="C90" s="8" t="s">
        <v>2746</v>
      </c>
      <c r="D90" s="8" t="s">
        <v>2747</v>
      </c>
      <c r="E90" s="8" t="s">
        <v>21</v>
      </c>
      <c r="F90" s="8" t="s">
        <v>22</v>
      </c>
      <c r="G90" s="8">
        <v>420</v>
      </c>
      <c r="H90" s="8" t="s">
        <v>23</v>
      </c>
      <c r="I90" s="8" t="s">
        <v>40</v>
      </c>
      <c r="J90" s="8" t="s">
        <v>41</v>
      </c>
      <c r="K90" s="8" t="s">
        <v>26</v>
      </c>
      <c r="L90" s="8" t="s">
        <v>42</v>
      </c>
      <c r="M90" s="8">
        <v>5812</v>
      </c>
      <c r="N90" s="8" t="s">
        <v>42</v>
      </c>
      <c r="O90" s="8" t="s">
        <v>2748</v>
      </c>
      <c r="P90" s="8" t="s">
        <v>2476</v>
      </c>
      <c r="Q90" s="8" t="s">
        <v>2477</v>
      </c>
    </row>
    <row r="91" spans="1:17" ht="15" customHeight="1">
      <c r="A91" s="9">
        <v>90</v>
      </c>
      <c r="B91" s="9" t="s">
        <v>2472</v>
      </c>
      <c r="C91" s="9" t="s">
        <v>2749</v>
      </c>
      <c r="D91" s="9" t="s">
        <v>2750</v>
      </c>
      <c r="E91" s="9" t="s">
        <v>21</v>
      </c>
      <c r="F91" s="9" t="s">
        <v>22</v>
      </c>
      <c r="G91" s="9">
        <v>491</v>
      </c>
      <c r="H91" s="9" t="s">
        <v>23</v>
      </c>
      <c r="I91" s="9" t="s">
        <v>86</v>
      </c>
      <c r="J91" s="9" t="s">
        <v>36</v>
      </c>
      <c r="K91" s="9" t="s">
        <v>26</v>
      </c>
      <c r="L91" s="9" t="s">
        <v>87</v>
      </c>
      <c r="M91" s="9">
        <v>4813</v>
      </c>
      <c r="N91" s="9" t="s">
        <v>87</v>
      </c>
      <c r="O91" s="9" t="s">
        <v>2751</v>
      </c>
      <c r="P91" s="9" t="s">
        <v>2476</v>
      </c>
      <c r="Q91" s="9" t="s">
        <v>2477</v>
      </c>
    </row>
    <row r="92" spans="1:17" ht="15" customHeight="1">
      <c r="A92" s="8">
        <v>91</v>
      </c>
      <c r="B92" s="8" t="s">
        <v>2472</v>
      </c>
      <c r="C92" s="8" t="s">
        <v>2752</v>
      </c>
      <c r="D92" s="8" t="s">
        <v>2753</v>
      </c>
      <c r="E92" s="8" t="s">
        <v>21</v>
      </c>
      <c r="F92" s="8" t="s">
        <v>22</v>
      </c>
      <c r="G92" s="8">
        <v>1400</v>
      </c>
      <c r="H92" s="8" t="s">
        <v>23</v>
      </c>
      <c r="I92" s="8" t="s">
        <v>2484</v>
      </c>
      <c r="J92" s="8" t="s">
        <v>36</v>
      </c>
      <c r="K92" s="8" t="s">
        <v>26</v>
      </c>
      <c r="L92" s="8" t="s">
        <v>2485</v>
      </c>
      <c r="M92" s="8">
        <v>6012</v>
      </c>
      <c r="N92" s="8" t="s">
        <v>2485</v>
      </c>
      <c r="O92" s="8" t="s">
        <v>2754</v>
      </c>
      <c r="P92" s="8" t="s">
        <v>2476</v>
      </c>
      <c r="Q92" s="8" t="s">
        <v>2477</v>
      </c>
    </row>
    <row r="93" spans="1:17" ht="15" customHeight="1">
      <c r="A93" s="9">
        <v>92</v>
      </c>
      <c r="B93" s="9" t="s">
        <v>2472</v>
      </c>
      <c r="C93" s="9" t="s">
        <v>2755</v>
      </c>
      <c r="D93" s="9" t="s">
        <v>2756</v>
      </c>
      <c r="E93" s="9" t="s">
        <v>21</v>
      </c>
      <c r="F93" s="9" t="s">
        <v>22</v>
      </c>
      <c r="G93" s="9">
        <v>802</v>
      </c>
      <c r="H93" s="9" t="s">
        <v>23</v>
      </c>
      <c r="I93" s="9" t="s">
        <v>56</v>
      </c>
      <c r="J93" s="9" t="s">
        <v>41</v>
      </c>
      <c r="K93" s="9" t="s">
        <v>26</v>
      </c>
      <c r="L93" s="9" t="s">
        <v>57</v>
      </c>
      <c r="M93" s="9">
        <v>5999</v>
      </c>
      <c r="N93" s="9" t="s">
        <v>57</v>
      </c>
      <c r="O93" s="9" t="s">
        <v>2757</v>
      </c>
      <c r="P93" s="9" t="s">
        <v>2476</v>
      </c>
      <c r="Q93" s="9" t="s">
        <v>2477</v>
      </c>
    </row>
    <row r="94" spans="1:17" ht="15" customHeight="1">
      <c r="A94" s="8">
        <v>93</v>
      </c>
      <c r="B94" s="8" t="s">
        <v>2472</v>
      </c>
      <c r="C94" s="8" t="s">
        <v>2758</v>
      </c>
      <c r="D94" s="8" t="s">
        <v>2759</v>
      </c>
      <c r="E94" s="8" t="s">
        <v>21</v>
      </c>
      <c r="F94" s="8" t="s">
        <v>22</v>
      </c>
      <c r="G94" s="8">
        <v>512</v>
      </c>
      <c r="H94" s="8" t="s">
        <v>23</v>
      </c>
      <c r="I94" s="8" t="s">
        <v>159</v>
      </c>
      <c r="J94" s="8" t="s">
        <v>25</v>
      </c>
      <c r="K94" s="8" t="s">
        <v>26</v>
      </c>
      <c r="L94" s="8" t="s">
        <v>160</v>
      </c>
      <c r="M94" s="8">
        <v>5999</v>
      </c>
      <c r="N94" s="8" t="s">
        <v>160</v>
      </c>
      <c r="O94" s="8" t="s">
        <v>2760</v>
      </c>
      <c r="P94" s="8" t="s">
        <v>2476</v>
      </c>
      <c r="Q94" s="8" t="s">
        <v>2477</v>
      </c>
    </row>
    <row r="95" spans="1:17" ht="15" customHeight="1">
      <c r="A95" s="9">
        <v>94</v>
      </c>
      <c r="B95" s="9" t="s">
        <v>2472</v>
      </c>
      <c r="C95" s="9" t="s">
        <v>2761</v>
      </c>
      <c r="D95" s="9" t="s">
        <v>2762</v>
      </c>
      <c r="E95" s="9" t="s">
        <v>21</v>
      </c>
      <c r="F95" s="9" t="s">
        <v>22</v>
      </c>
      <c r="G95" s="9">
        <v>445</v>
      </c>
      <c r="H95" s="9" t="s">
        <v>23</v>
      </c>
      <c r="I95" s="9" t="s">
        <v>74</v>
      </c>
      <c r="J95" s="9" t="s">
        <v>41</v>
      </c>
      <c r="K95" s="9" t="s">
        <v>26</v>
      </c>
      <c r="L95" s="9" t="s">
        <v>75</v>
      </c>
      <c r="M95" s="9">
        <v>5812</v>
      </c>
      <c r="N95" s="9" t="s">
        <v>75</v>
      </c>
      <c r="O95" s="9" t="s">
        <v>2763</v>
      </c>
      <c r="P95" s="9" t="s">
        <v>2476</v>
      </c>
      <c r="Q95" s="9" t="s">
        <v>2477</v>
      </c>
    </row>
    <row r="96" spans="1:17" ht="15" customHeight="1">
      <c r="A96" s="8">
        <v>95</v>
      </c>
      <c r="B96" s="8" t="s">
        <v>2472</v>
      </c>
      <c r="C96" s="8" t="s">
        <v>2764</v>
      </c>
      <c r="D96" s="8" t="s">
        <v>2765</v>
      </c>
      <c r="E96" s="8" t="s">
        <v>21</v>
      </c>
      <c r="F96" s="8" t="s">
        <v>22</v>
      </c>
      <c r="G96" s="8">
        <v>821</v>
      </c>
      <c r="H96" s="8" t="s">
        <v>23</v>
      </c>
      <c r="I96" s="8" t="s">
        <v>111</v>
      </c>
      <c r="J96" s="8" t="s">
        <v>41</v>
      </c>
      <c r="K96" s="8" t="s">
        <v>26</v>
      </c>
      <c r="L96" s="8" t="s">
        <v>112</v>
      </c>
      <c r="M96" s="8">
        <v>5541</v>
      </c>
      <c r="N96" s="8" t="s">
        <v>112</v>
      </c>
      <c r="O96" s="8" t="s">
        <v>2766</v>
      </c>
      <c r="P96" s="8" t="s">
        <v>2476</v>
      </c>
      <c r="Q96" s="8" t="s">
        <v>2477</v>
      </c>
    </row>
    <row r="97" spans="1:17" ht="15" customHeight="1">
      <c r="A97" s="9">
        <v>96</v>
      </c>
      <c r="B97" s="9" t="s">
        <v>2472</v>
      </c>
      <c r="C97" s="9" t="s">
        <v>2767</v>
      </c>
      <c r="D97" s="9" t="s">
        <v>2768</v>
      </c>
      <c r="E97" s="9" t="s">
        <v>21</v>
      </c>
      <c r="F97" s="9" t="s">
        <v>22</v>
      </c>
      <c r="G97" s="9">
        <v>726</v>
      </c>
      <c r="H97" s="9" t="s">
        <v>23</v>
      </c>
      <c r="I97" s="9" t="s">
        <v>363</v>
      </c>
      <c r="J97" s="9" t="s">
        <v>41</v>
      </c>
      <c r="K97" s="9" t="s">
        <v>26</v>
      </c>
      <c r="L97" s="9" t="s">
        <v>364</v>
      </c>
      <c r="M97" s="9">
        <v>5999</v>
      </c>
      <c r="N97" s="9" t="s">
        <v>364</v>
      </c>
      <c r="O97" s="9" t="s">
        <v>2769</v>
      </c>
      <c r="P97" s="9" t="s">
        <v>2476</v>
      </c>
      <c r="Q97" s="9" t="s">
        <v>2477</v>
      </c>
    </row>
    <row r="98" spans="1:17" ht="15" customHeight="1">
      <c r="A98" s="8">
        <v>97</v>
      </c>
      <c r="B98" s="8" t="s">
        <v>2472</v>
      </c>
      <c r="C98" s="8" t="s">
        <v>2770</v>
      </c>
      <c r="D98" s="8" t="s">
        <v>2771</v>
      </c>
      <c r="E98" s="8" t="s">
        <v>21</v>
      </c>
      <c r="F98" s="8" t="s">
        <v>22</v>
      </c>
      <c r="G98" s="8">
        <v>446</v>
      </c>
      <c r="H98" s="8" t="s">
        <v>23</v>
      </c>
      <c r="I98" s="8" t="s">
        <v>74</v>
      </c>
      <c r="J98" s="8" t="s">
        <v>41</v>
      </c>
      <c r="K98" s="8" t="s">
        <v>26</v>
      </c>
      <c r="L98" s="8" t="s">
        <v>75</v>
      </c>
      <c r="M98" s="8">
        <v>5812</v>
      </c>
      <c r="N98" s="8" t="s">
        <v>75</v>
      </c>
      <c r="O98" s="8" t="s">
        <v>2772</v>
      </c>
      <c r="P98" s="8" t="s">
        <v>2476</v>
      </c>
      <c r="Q98" s="8" t="s">
        <v>2477</v>
      </c>
    </row>
    <row r="99" spans="1:17" ht="15" customHeight="1">
      <c r="A99" s="9">
        <v>98</v>
      </c>
      <c r="B99" s="9" t="s">
        <v>2472</v>
      </c>
      <c r="C99" s="9" t="s">
        <v>2773</v>
      </c>
      <c r="D99" s="9" t="s">
        <v>2774</v>
      </c>
      <c r="E99" s="9" t="s">
        <v>21</v>
      </c>
      <c r="F99" s="9" t="s">
        <v>22</v>
      </c>
      <c r="G99" s="9">
        <v>419</v>
      </c>
      <c r="H99" s="9" t="s">
        <v>23</v>
      </c>
      <c r="I99" s="9" t="s">
        <v>560</v>
      </c>
      <c r="J99" s="9" t="s">
        <v>331</v>
      </c>
      <c r="K99" s="9" t="s">
        <v>26</v>
      </c>
      <c r="L99" s="9" t="s">
        <v>561</v>
      </c>
      <c r="M99" s="9">
        <v>6011</v>
      </c>
      <c r="N99" s="9" t="s">
        <v>561</v>
      </c>
      <c r="O99" s="9" t="s">
        <v>2775</v>
      </c>
      <c r="P99" s="9" t="s">
        <v>2476</v>
      </c>
      <c r="Q99" s="9" t="s">
        <v>2477</v>
      </c>
    </row>
    <row r="100" spans="1:17" ht="15" customHeight="1">
      <c r="A100" s="8">
        <v>99</v>
      </c>
      <c r="B100" s="8" t="s">
        <v>2472</v>
      </c>
      <c r="C100" s="8" t="s">
        <v>2776</v>
      </c>
      <c r="D100" s="8" t="s">
        <v>2777</v>
      </c>
      <c r="E100" s="8" t="s">
        <v>21</v>
      </c>
      <c r="F100" s="8" t="s">
        <v>22</v>
      </c>
      <c r="G100" s="8">
        <v>845</v>
      </c>
      <c r="H100" s="8" t="s">
        <v>23</v>
      </c>
      <c r="I100" s="8" t="s">
        <v>198</v>
      </c>
      <c r="J100" s="8" t="s">
        <v>36</v>
      </c>
      <c r="K100" s="8" t="s">
        <v>26</v>
      </c>
      <c r="L100" s="8" t="s">
        <v>199</v>
      </c>
      <c r="M100" s="8">
        <v>4900</v>
      </c>
      <c r="N100" s="8" t="s">
        <v>199</v>
      </c>
      <c r="O100" s="8" t="s">
        <v>2778</v>
      </c>
      <c r="P100" s="8" t="s">
        <v>2476</v>
      </c>
      <c r="Q100" s="8" t="s">
        <v>2477</v>
      </c>
    </row>
    <row r="101" spans="1:17" ht="15" customHeight="1">
      <c r="A101" s="9">
        <v>100</v>
      </c>
      <c r="B101" s="9" t="s">
        <v>2472</v>
      </c>
      <c r="C101" s="9" t="s">
        <v>2779</v>
      </c>
      <c r="D101" s="9" t="s">
        <v>2780</v>
      </c>
      <c r="E101" s="9" t="s">
        <v>21</v>
      </c>
      <c r="F101" s="9" t="s">
        <v>22</v>
      </c>
      <c r="G101" s="9">
        <v>1230</v>
      </c>
      <c r="H101" s="9" t="s">
        <v>23</v>
      </c>
      <c r="I101" s="9" t="s">
        <v>262</v>
      </c>
      <c r="J101" s="9" t="s">
        <v>25</v>
      </c>
      <c r="K101" s="9" t="s">
        <v>26</v>
      </c>
      <c r="L101" s="9" t="s">
        <v>263</v>
      </c>
      <c r="M101" s="9">
        <v>8299</v>
      </c>
      <c r="N101" s="9" t="s">
        <v>263</v>
      </c>
      <c r="O101" s="9" t="s">
        <v>2781</v>
      </c>
      <c r="P101" s="9" t="s">
        <v>2476</v>
      </c>
      <c r="Q101" s="9" t="s">
        <v>2477</v>
      </c>
    </row>
    <row r="102" spans="1:17" ht="15" customHeight="1">
      <c r="A102" s="8">
        <v>101</v>
      </c>
      <c r="B102" s="8" t="s">
        <v>2472</v>
      </c>
      <c r="C102" s="8" t="s">
        <v>2782</v>
      </c>
      <c r="D102" s="8" t="s">
        <v>2783</v>
      </c>
      <c r="E102" s="8" t="s">
        <v>94</v>
      </c>
      <c r="F102" s="8" t="s">
        <v>22</v>
      </c>
      <c r="G102" s="8">
        <v>13500</v>
      </c>
      <c r="H102" s="8" t="s">
        <v>23</v>
      </c>
      <c r="I102" s="8" t="s">
        <v>2534</v>
      </c>
      <c r="J102" s="8" t="s">
        <v>96</v>
      </c>
      <c r="K102" s="8" t="s">
        <v>97</v>
      </c>
      <c r="L102" s="8" t="s">
        <v>2476</v>
      </c>
      <c r="M102" s="8"/>
      <c r="N102" s="8" t="s">
        <v>2476</v>
      </c>
      <c r="O102" s="8" t="s">
        <v>2784</v>
      </c>
      <c r="P102" s="8" t="s">
        <v>2476</v>
      </c>
      <c r="Q102" s="8" t="s">
        <v>2477</v>
      </c>
    </row>
    <row r="103" spans="1:17" ht="15" customHeight="1">
      <c r="A103" s="9">
        <v>102</v>
      </c>
      <c r="B103" s="9" t="s">
        <v>2472</v>
      </c>
      <c r="C103" s="9" t="s">
        <v>2785</v>
      </c>
      <c r="D103" s="9" t="s">
        <v>2786</v>
      </c>
      <c r="E103" s="9" t="s">
        <v>21</v>
      </c>
      <c r="F103" s="9" t="s">
        <v>22</v>
      </c>
      <c r="G103" s="9">
        <v>513</v>
      </c>
      <c r="H103" s="9" t="s">
        <v>23</v>
      </c>
      <c r="I103" s="9" t="s">
        <v>212</v>
      </c>
      <c r="J103" s="9" t="s">
        <v>25</v>
      </c>
      <c r="K103" s="9" t="s">
        <v>26</v>
      </c>
      <c r="L103" s="9" t="s">
        <v>213</v>
      </c>
      <c r="M103" s="9">
        <v>5999</v>
      </c>
      <c r="N103" s="9" t="s">
        <v>213</v>
      </c>
      <c r="O103" s="9" t="s">
        <v>2787</v>
      </c>
      <c r="P103" s="9" t="s">
        <v>2476</v>
      </c>
      <c r="Q103" s="9" t="s">
        <v>2477</v>
      </c>
    </row>
    <row r="104" spans="1:17" ht="15" customHeight="1">
      <c r="A104" s="8">
        <v>103</v>
      </c>
      <c r="B104" s="8" t="s">
        <v>2472</v>
      </c>
      <c r="C104" s="8" t="s">
        <v>2788</v>
      </c>
      <c r="D104" s="8" t="s">
        <v>2789</v>
      </c>
      <c r="E104" s="8" t="s">
        <v>21</v>
      </c>
      <c r="F104" s="8" t="s">
        <v>22</v>
      </c>
      <c r="G104" s="8">
        <v>958</v>
      </c>
      <c r="H104" s="8" t="s">
        <v>23</v>
      </c>
      <c r="I104" s="8" t="s">
        <v>379</v>
      </c>
      <c r="J104" s="8" t="s">
        <v>41</v>
      </c>
      <c r="K104" s="8" t="s">
        <v>26</v>
      </c>
      <c r="L104" s="8" t="s">
        <v>380</v>
      </c>
      <c r="M104" s="8">
        <v>5411</v>
      </c>
      <c r="N104" s="8" t="s">
        <v>380</v>
      </c>
      <c r="O104" s="8" t="s">
        <v>2790</v>
      </c>
      <c r="P104" s="8" t="s">
        <v>2476</v>
      </c>
      <c r="Q104" s="8" t="s">
        <v>2477</v>
      </c>
    </row>
    <row r="105" spans="1:17" ht="15" customHeight="1">
      <c r="A105" s="9">
        <v>104</v>
      </c>
      <c r="B105" s="9" t="s">
        <v>2472</v>
      </c>
      <c r="C105" s="9" t="s">
        <v>2791</v>
      </c>
      <c r="D105" s="9" t="s">
        <v>2792</v>
      </c>
      <c r="E105" s="9" t="s">
        <v>21</v>
      </c>
      <c r="F105" s="9" t="s">
        <v>22</v>
      </c>
      <c r="G105" s="9">
        <v>505</v>
      </c>
      <c r="H105" s="9" t="s">
        <v>23</v>
      </c>
      <c r="I105" s="9" t="s">
        <v>86</v>
      </c>
      <c r="J105" s="9" t="s">
        <v>36</v>
      </c>
      <c r="K105" s="9" t="s">
        <v>26</v>
      </c>
      <c r="L105" s="9" t="s">
        <v>87</v>
      </c>
      <c r="M105" s="9">
        <v>4813</v>
      </c>
      <c r="N105" s="9" t="s">
        <v>87</v>
      </c>
      <c r="O105" s="9" t="s">
        <v>2793</v>
      </c>
      <c r="P105" s="9" t="s">
        <v>2476</v>
      </c>
      <c r="Q105" s="9" t="s">
        <v>2477</v>
      </c>
    </row>
    <row r="106" spans="1:17" ht="15" customHeight="1">
      <c r="A106" s="8">
        <v>105</v>
      </c>
      <c r="B106" s="8" t="s">
        <v>2472</v>
      </c>
      <c r="C106" s="8" t="s">
        <v>2794</v>
      </c>
      <c r="D106" s="8" t="s">
        <v>2795</v>
      </c>
      <c r="E106" s="8" t="s">
        <v>21</v>
      </c>
      <c r="F106" s="8" t="s">
        <v>22</v>
      </c>
      <c r="G106" s="8">
        <v>958</v>
      </c>
      <c r="H106" s="8" t="s">
        <v>23</v>
      </c>
      <c r="I106" s="8" t="s">
        <v>131</v>
      </c>
      <c r="J106" s="8" t="s">
        <v>41</v>
      </c>
      <c r="K106" s="8" t="s">
        <v>26</v>
      </c>
      <c r="L106" s="8" t="s">
        <v>132</v>
      </c>
      <c r="M106" s="8">
        <v>5411</v>
      </c>
      <c r="N106" s="8" t="s">
        <v>132</v>
      </c>
      <c r="O106" s="8" t="s">
        <v>2796</v>
      </c>
      <c r="P106" s="8" t="s">
        <v>2476</v>
      </c>
      <c r="Q106" s="8" t="s">
        <v>2477</v>
      </c>
    </row>
    <row r="107" spans="1:17" ht="15" customHeight="1">
      <c r="A107" s="9">
        <v>106</v>
      </c>
      <c r="B107" s="9" t="s">
        <v>2472</v>
      </c>
      <c r="C107" s="9" t="s">
        <v>2797</v>
      </c>
      <c r="D107" s="9" t="s">
        <v>2798</v>
      </c>
      <c r="E107" s="9" t="s">
        <v>21</v>
      </c>
      <c r="F107" s="9" t="s">
        <v>22</v>
      </c>
      <c r="G107" s="9">
        <v>311</v>
      </c>
      <c r="H107" s="9" t="s">
        <v>23</v>
      </c>
      <c r="I107" s="9" t="s">
        <v>340</v>
      </c>
      <c r="J107" s="9" t="s">
        <v>41</v>
      </c>
      <c r="K107" s="9" t="s">
        <v>26</v>
      </c>
      <c r="L107" s="9" t="s">
        <v>341</v>
      </c>
      <c r="M107" s="9">
        <v>5812</v>
      </c>
      <c r="N107" s="9" t="s">
        <v>341</v>
      </c>
      <c r="O107" s="9" t="s">
        <v>2799</v>
      </c>
      <c r="P107" s="9" t="s">
        <v>2476</v>
      </c>
      <c r="Q107" s="9" t="s">
        <v>2477</v>
      </c>
    </row>
    <row r="108" spans="1:17" ht="15" customHeight="1">
      <c r="A108" s="8">
        <v>107</v>
      </c>
      <c r="B108" s="8" t="s">
        <v>2472</v>
      </c>
      <c r="C108" s="8" t="s">
        <v>2800</v>
      </c>
      <c r="D108" s="8" t="s">
        <v>2801</v>
      </c>
      <c r="E108" s="8" t="s">
        <v>21</v>
      </c>
      <c r="F108" s="8" t="s">
        <v>22</v>
      </c>
      <c r="G108" s="8">
        <v>391</v>
      </c>
      <c r="H108" s="8" t="s">
        <v>23</v>
      </c>
      <c r="I108" s="8" t="s">
        <v>363</v>
      </c>
      <c r="J108" s="8" t="s">
        <v>41</v>
      </c>
      <c r="K108" s="8" t="s">
        <v>26</v>
      </c>
      <c r="L108" s="8" t="s">
        <v>364</v>
      </c>
      <c r="M108" s="8">
        <v>5999</v>
      </c>
      <c r="N108" s="8" t="s">
        <v>364</v>
      </c>
      <c r="O108" s="8" t="s">
        <v>2802</v>
      </c>
      <c r="P108" s="8" t="s">
        <v>2476</v>
      </c>
      <c r="Q108" s="8" t="s">
        <v>2477</v>
      </c>
    </row>
    <row r="109" spans="1:17" ht="15" customHeight="1">
      <c r="A109" s="9">
        <v>108</v>
      </c>
      <c r="B109" s="9" t="s">
        <v>2472</v>
      </c>
      <c r="C109" s="9" t="s">
        <v>2803</v>
      </c>
      <c r="D109" s="9" t="s">
        <v>2804</v>
      </c>
      <c r="E109" s="9" t="s">
        <v>21</v>
      </c>
      <c r="F109" s="9" t="s">
        <v>22</v>
      </c>
      <c r="G109" s="9">
        <v>1400</v>
      </c>
      <c r="H109" s="9" t="s">
        <v>23</v>
      </c>
      <c r="I109" s="9" t="s">
        <v>2484</v>
      </c>
      <c r="J109" s="9" t="s">
        <v>36</v>
      </c>
      <c r="K109" s="9" t="s">
        <v>26</v>
      </c>
      <c r="L109" s="9" t="s">
        <v>2485</v>
      </c>
      <c r="M109" s="9">
        <v>6012</v>
      </c>
      <c r="N109" s="9" t="s">
        <v>2485</v>
      </c>
      <c r="O109" s="9" t="s">
        <v>2805</v>
      </c>
      <c r="P109" s="9" t="s">
        <v>2476</v>
      </c>
      <c r="Q109" s="9" t="s">
        <v>2477</v>
      </c>
    </row>
    <row r="110" spans="1:17" ht="15" customHeight="1">
      <c r="A110" s="8">
        <v>109</v>
      </c>
      <c r="B110" s="8" t="s">
        <v>2472</v>
      </c>
      <c r="C110" s="8" t="s">
        <v>2806</v>
      </c>
      <c r="D110" s="8" t="s">
        <v>2807</v>
      </c>
      <c r="E110" s="8" t="s">
        <v>21</v>
      </c>
      <c r="F110" s="8" t="s">
        <v>22</v>
      </c>
      <c r="G110" s="8">
        <v>447</v>
      </c>
      <c r="H110" s="8" t="s">
        <v>23</v>
      </c>
      <c r="I110" s="8" t="s">
        <v>351</v>
      </c>
      <c r="J110" s="8" t="s">
        <v>36</v>
      </c>
      <c r="K110" s="8" t="s">
        <v>26</v>
      </c>
      <c r="L110" s="8" t="s">
        <v>352</v>
      </c>
      <c r="M110" s="8">
        <v>4813</v>
      </c>
      <c r="N110" s="8" t="s">
        <v>352</v>
      </c>
      <c r="O110" s="8" t="s">
        <v>2808</v>
      </c>
      <c r="P110" s="8" t="s">
        <v>2476</v>
      </c>
      <c r="Q110" s="8" t="s">
        <v>2477</v>
      </c>
    </row>
    <row r="111" spans="1:17" ht="15" customHeight="1">
      <c r="A111" s="9">
        <v>110</v>
      </c>
      <c r="B111" s="9" t="s">
        <v>2472</v>
      </c>
      <c r="C111" s="9" t="s">
        <v>2809</v>
      </c>
      <c r="D111" s="9" t="s">
        <v>2810</v>
      </c>
      <c r="E111" s="9" t="s">
        <v>21</v>
      </c>
      <c r="F111" s="9" t="s">
        <v>22</v>
      </c>
      <c r="G111" s="9">
        <v>391</v>
      </c>
      <c r="H111" s="9" t="s">
        <v>23</v>
      </c>
      <c r="I111" s="9" t="s">
        <v>108</v>
      </c>
      <c r="J111" s="9" t="s">
        <v>41</v>
      </c>
      <c r="K111" s="9" t="s">
        <v>26</v>
      </c>
      <c r="L111" s="9" t="s">
        <v>57</v>
      </c>
      <c r="M111" s="9">
        <v>5999</v>
      </c>
      <c r="N111" s="9" t="s">
        <v>57</v>
      </c>
      <c r="O111" s="9" t="s">
        <v>2811</v>
      </c>
      <c r="P111" s="9" t="s">
        <v>2476</v>
      </c>
      <c r="Q111" s="9" t="s">
        <v>2477</v>
      </c>
    </row>
    <row r="112" spans="1:17" ht="15" customHeight="1">
      <c r="A112" s="8">
        <v>111</v>
      </c>
      <c r="B112" s="8" t="s">
        <v>2472</v>
      </c>
      <c r="C112" s="8" t="s">
        <v>2812</v>
      </c>
      <c r="D112" s="8" t="s">
        <v>2813</v>
      </c>
      <c r="E112" s="8" t="s">
        <v>21</v>
      </c>
      <c r="F112" s="8" t="s">
        <v>22</v>
      </c>
      <c r="G112" s="8">
        <v>601</v>
      </c>
      <c r="H112" s="8" t="s">
        <v>23</v>
      </c>
      <c r="I112" s="8" t="s">
        <v>127</v>
      </c>
      <c r="J112" s="8" t="s">
        <v>25</v>
      </c>
      <c r="K112" s="8" t="s">
        <v>26</v>
      </c>
      <c r="L112" s="8" t="s">
        <v>128</v>
      </c>
      <c r="M112" s="8">
        <v>5999</v>
      </c>
      <c r="N112" s="8" t="s">
        <v>128</v>
      </c>
      <c r="O112" s="8" t="s">
        <v>2814</v>
      </c>
      <c r="P112" s="8" t="s">
        <v>2476</v>
      </c>
      <c r="Q112" s="8" t="s">
        <v>2477</v>
      </c>
    </row>
    <row r="113" spans="1:17" ht="15" customHeight="1">
      <c r="A113" s="9">
        <v>112</v>
      </c>
      <c r="B113" s="9" t="s">
        <v>2472</v>
      </c>
      <c r="C113" s="9" t="s">
        <v>2815</v>
      </c>
      <c r="D113" s="9" t="s">
        <v>2816</v>
      </c>
      <c r="E113" s="9" t="s">
        <v>21</v>
      </c>
      <c r="F113" s="9" t="s">
        <v>22</v>
      </c>
      <c r="G113" s="9">
        <v>311</v>
      </c>
      <c r="H113" s="9" t="s">
        <v>23</v>
      </c>
      <c r="I113" s="9" t="s">
        <v>340</v>
      </c>
      <c r="J113" s="9" t="s">
        <v>41</v>
      </c>
      <c r="K113" s="9" t="s">
        <v>26</v>
      </c>
      <c r="L113" s="9" t="s">
        <v>341</v>
      </c>
      <c r="M113" s="9">
        <v>5812</v>
      </c>
      <c r="N113" s="9" t="s">
        <v>341</v>
      </c>
      <c r="O113" s="9" t="s">
        <v>2817</v>
      </c>
      <c r="P113" s="9" t="s">
        <v>2476</v>
      </c>
      <c r="Q113" s="9" t="s">
        <v>2477</v>
      </c>
    </row>
    <row r="114" spans="1:17" ht="15" customHeight="1">
      <c r="A114" s="8">
        <v>113</v>
      </c>
      <c r="B114" s="8" t="s">
        <v>2472</v>
      </c>
      <c r="C114" s="8" t="s">
        <v>2818</v>
      </c>
      <c r="D114" s="8" t="s">
        <v>2819</v>
      </c>
      <c r="E114" s="8" t="s">
        <v>21</v>
      </c>
      <c r="F114" s="8" t="s">
        <v>22</v>
      </c>
      <c r="G114" s="8">
        <v>315</v>
      </c>
      <c r="H114" s="8" t="s">
        <v>23</v>
      </c>
      <c r="I114" s="8" t="s">
        <v>123</v>
      </c>
      <c r="J114" s="8" t="s">
        <v>41</v>
      </c>
      <c r="K114" s="8" t="s">
        <v>26</v>
      </c>
      <c r="L114" s="8" t="s">
        <v>124</v>
      </c>
      <c r="M114" s="8">
        <v>5541</v>
      </c>
      <c r="N114" s="8" t="s">
        <v>124</v>
      </c>
      <c r="O114" s="8" t="s">
        <v>2820</v>
      </c>
      <c r="P114" s="8" t="s">
        <v>2476</v>
      </c>
      <c r="Q114" s="8" t="s">
        <v>2477</v>
      </c>
    </row>
    <row r="115" spans="1:17" ht="15" customHeight="1">
      <c r="A115" s="9">
        <v>114</v>
      </c>
      <c r="B115" s="9" t="s">
        <v>2472</v>
      </c>
      <c r="C115" s="9" t="s">
        <v>2821</v>
      </c>
      <c r="D115" s="9" t="s">
        <v>2822</v>
      </c>
      <c r="E115" s="9" t="s">
        <v>21</v>
      </c>
      <c r="F115" s="9" t="s">
        <v>22</v>
      </c>
      <c r="G115" s="9">
        <v>894</v>
      </c>
      <c r="H115" s="9" t="s">
        <v>23</v>
      </c>
      <c r="I115" s="9" t="s">
        <v>90</v>
      </c>
      <c r="J115" s="9" t="s">
        <v>36</v>
      </c>
      <c r="K115" s="9" t="s">
        <v>26</v>
      </c>
      <c r="L115" s="9" t="s">
        <v>91</v>
      </c>
      <c r="M115" s="9">
        <v>4900</v>
      </c>
      <c r="N115" s="9" t="s">
        <v>91</v>
      </c>
      <c r="O115" s="9" t="s">
        <v>2823</v>
      </c>
      <c r="P115" s="9" t="s">
        <v>2476</v>
      </c>
      <c r="Q115" s="9" t="s">
        <v>2477</v>
      </c>
    </row>
    <row r="116" spans="1:17" ht="15" customHeight="1">
      <c r="A116" s="8">
        <v>115</v>
      </c>
      <c r="B116" s="8" t="s">
        <v>2472</v>
      </c>
      <c r="C116" s="8" t="s">
        <v>2824</v>
      </c>
      <c r="D116" s="8" t="s">
        <v>2825</v>
      </c>
      <c r="E116" s="8" t="s">
        <v>21</v>
      </c>
      <c r="F116" s="8" t="s">
        <v>22</v>
      </c>
      <c r="G116" s="8">
        <v>1266</v>
      </c>
      <c r="H116" s="8" t="s">
        <v>23</v>
      </c>
      <c r="I116" s="8" t="s">
        <v>56</v>
      </c>
      <c r="J116" s="8" t="s">
        <v>41</v>
      </c>
      <c r="K116" s="8" t="s">
        <v>26</v>
      </c>
      <c r="L116" s="8" t="s">
        <v>57</v>
      </c>
      <c r="M116" s="8">
        <v>5999</v>
      </c>
      <c r="N116" s="8" t="s">
        <v>57</v>
      </c>
      <c r="O116" s="8" t="s">
        <v>2826</v>
      </c>
      <c r="P116" s="8" t="s">
        <v>2476</v>
      </c>
      <c r="Q116" s="8" t="s">
        <v>2477</v>
      </c>
    </row>
    <row r="117" spans="1:17" ht="15" customHeight="1">
      <c r="A117" s="9">
        <v>116</v>
      </c>
      <c r="B117" s="9" t="s">
        <v>2472</v>
      </c>
      <c r="C117" s="9" t="s">
        <v>2827</v>
      </c>
      <c r="D117" s="9" t="s">
        <v>2828</v>
      </c>
      <c r="E117" s="9" t="s">
        <v>21</v>
      </c>
      <c r="F117" s="9" t="s">
        <v>22</v>
      </c>
      <c r="G117" s="9">
        <v>311</v>
      </c>
      <c r="H117" s="9" t="s">
        <v>23</v>
      </c>
      <c r="I117" s="9" t="s">
        <v>40</v>
      </c>
      <c r="J117" s="9" t="s">
        <v>41</v>
      </c>
      <c r="K117" s="9" t="s">
        <v>26</v>
      </c>
      <c r="L117" s="9" t="s">
        <v>42</v>
      </c>
      <c r="M117" s="9">
        <v>5812</v>
      </c>
      <c r="N117" s="9" t="s">
        <v>42</v>
      </c>
      <c r="O117" s="9" t="s">
        <v>2829</v>
      </c>
      <c r="P117" s="9" t="s">
        <v>2476</v>
      </c>
      <c r="Q117" s="9" t="s">
        <v>2477</v>
      </c>
    </row>
    <row r="118" spans="1:17" ht="15" customHeight="1">
      <c r="A118" s="8">
        <v>117</v>
      </c>
      <c r="B118" s="8" t="s">
        <v>2472</v>
      </c>
      <c r="C118" s="8" t="s">
        <v>2830</v>
      </c>
      <c r="D118" s="8" t="s">
        <v>2831</v>
      </c>
      <c r="E118" s="8" t="s">
        <v>21</v>
      </c>
      <c r="F118" s="8" t="s">
        <v>22</v>
      </c>
      <c r="G118" s="8">
        <v>521</v>
      </c>
      <c r="H118" s="8" t="s">
        <v>23</v>
      </c>
      <c r="I118" s="8" t="s">
        <v>82</v>
      </c>
      <c r="J118" s="8" t="s">
        <v>41</v>
      </c>
      <c r="K118" s="8" t="s">
        <v>26</v>
      </c>
      <c r="L118" s="8" t="s">
        <v>83</v>
      </c>
      <c r="M118" s="8">
        <v>5411</v>
      </c>
      <c r="N118" s="8" t="s">
        <v>83</v>
      </c>
      <c r="O118" s="8" t="s">
        <v>2832</v>
      </c>
      <c r="P118" s="8" t="s">
        <v>2476</v>
      </c>
      <c r="Q118" s="8" t="s">
        <v>2477</v>
      </c>
    </row>
    <row r="119" spans="1:17" ht="15" customHeight="1">
      <c r="A119" s="9">
        <v>118</v>
      </c>
      <c r="B119" s="9" t="s">
        <v>2472</v>
      </c>
      <c r="C119" s="9" t="s">
        <v>2833</v>
      </c>
      <c r="D119" s="9" t="s">
        <v>2834</v>
      </c>
      <c r="E119" s="9" t="s">
        <v>21</v>
      </c>
      <c r="F119" s="9" t="s">
        <v>22</v>
      </c>
      <c r="G119" s="9">
        <v>522</v>
      </c>
      <c r="H119" s="9" t="s">
        <v>23</v>
      </c>
      <c r="I119" s="9" t="s">
        <v>244</v>
      </c>
      <c r="J119" s="9" t="s">
        <v>41</v>
      </c>
      <c r="K119" s="9" t="s">
        <v>26</v>
      </c>
      <c r="L119" s="9" t="s">
        <v>245</v>
      </c>
      <c r="M119" s="9">
        <v>5411</v>
      </c>
      <c r="N119" s="9" t="s">
        <v>245</v>
      </c>
      <c r="O119" s="9" t="s">
        <v>2835</v>
      </c>
      <c r="P119" s="9" t="s">
        <v>2476</v>
      </c>
      <c r="Q119" s="9" t="s">
        <v>2477</v>
      </c>
    </row>
    <row r="120" spans="1:17" ht="15" customHeight="1">
      <c r="A120" s="8">
        <v>119</v>
      </c>
      <c r="B120" s="8" t="s">
        <v>2472</v>
      </c>
      <c r="C120" s="8" t="s">
        <v>2836</v>
      </c>
      <c r="D120" s="8" t="s">
        <v>2837</v>
      </c>
      <c r="E120" s="8" t="s">
        <v>21</v>
      </c>
      <c r="F120" s="8" t="s">
        <v>22</v>
      </c>
      <c r="G120" s="8">
        <v>399</v>
      </c>
      <c r="H120" s="8" t="s">
        <v>23</v>
      </c>
      <c r="I120" s="8" t="s">
        <v>560</v>
      </c>
      <c r="J120" s="8" t="s">
        <v>331</v>
      </c>
      <c r="K120" s="8" t="s">
        <v>26</v>
      </c>
      <c r="L120" s="8" t="s">
        <v>561</v>
      </c>
      <c r="M120" s="8">
        <v>6011</v>
      </c>
      <c r="N120" s="8" t="s">
        <v>561</v>
      </c>
      <c r="O120" s="8" t="s">
        <v>2838</v>
      </c>
      <c r="P120" s="8" t="s">
        <v>2476</v>
      </c>
      <c r="Q120" s="8" t="s">
        <v>2477</v>
      </c>
    </row>
    <row r="121" spans="1:17" ht="15" customHeight="1">
      <c r="A121" s="9">
        <v>120</v>
      </c>
      <c r="B121" s="9" t="s">
        <v>2472</v>
      </c>
      <c r="C121" s="9" t="s">
        <v>2839</v>
      </c>
      <c r="D121" s="9" t="s">
        <v>2840</v>
      </c>
      <c r="E121" s="9" t="s">
        <v>94</v>
      </c>
      <c r="F121" s="9" t="s">
        <v>22</v>
      </c>
      <c r="G121" s="9">
        <v>13400</v>
      </c>
      <c r="H121" s="9" t="s">
        <v>23</v>
      </c>
      <c r="I121" s="9" t="s">
        <v>2534</v>
      </c>
      <c r="J121" s="9" t="s">
        <v>96</v>
      </c>
      <c r="K121" s="9" t="s">
        <v>97</v>
      </c>
      <c r="L121" s="9" t="s">
        <v>2476</v>
      </c>
      <c r="M121" s="9"/>
      <c r="N121" s="9" t="s">
        <v>2476</v>
      </c>
      <c r="O121" s="9" t="s">
        <v>2841</v>
      </c>
      <c r="P121" s="9" t="s">
        <v>2476</v>
      </c>
      <c r="Q121" s="9" t="s">
        <v>2477</v>
      </c>
    </row>
    <row r="122" spans="1:17" ht="15" customHeight="1">
      <c r="A122" s="8">
        <v>121</v>
      </c>
      <c r="B122" s="8" t="s">
        <v>2472</v>
      </c>
      <c r="C122" s="8" t="s">
        <v>2842</v>
      </c>
      <c r="D122" s="8" t="s">
        <v>2843</v>
      </c>
      <c r="E122" s="8" t="s">
        <v>21</v>
      </c>
      <c r="F122" s="8" t="s">
        <v>22</v>
      </c>
      <c r="G122" s="8">
        <v>522</v>
      </c>
      <c r="H122" s="8" t="s">
        <v>23</v>
      </c>
      <c r="I122" s="8" t="s">
        <v>131</v>
      </c>
      <c r="J122" s="8" t="s">
        <v>41</v>
      </c>
      <c r="K122" s="8" t="s">
        <v>26</v>
      </c>
      <c r="L122" s="8" t="s">
        <v>132</v>
      </c>
      <c r="M122" s="8">
        <v>5411</v>
      </c>
      <c r="N122" s="8" t="s">
        <v>132</v>
      </c>
      <c r="O122" s="8" t="s">
        <v>2844</v>
      </c>
      <c r="P122" s="8" t="s">
        <v>2476</v>
      </c>
      <c r="Q122" s="8" t="s">
        <v>2477</v>
      </c>
    </row>
    <row r="123" spans="1:17" ht="15" customHeight="1">
      <c r="A123" s="9">
        <v>122</v>
      </c>
      <c r="B123" s="9" t="s">
        <v>2472</v>
      </c>
      <c r="C123" s="9" t="s">
        <v>2845</v>
      </c>
      <c r="D123" s="9" t="s">
        <v>2846</v>
      </c>
      <c r="E123" s="9" t="s">
        <v>21</v>
      </c>
      <c r="F123" s="9" t="s">
        <v>22</v>
      </c>
      <c r="G123" s="9">
        <v>601</v>
      </c>
      <c r="H123" s="9" t="s">
        <v>23</v>
      </c>
      <c r="I123" s="9" t="s">
        <v>61</v>
      </c>
      <c r="J123" s="9" t="s">
        <v>25</v>
      </c>
      <c r="K123" s="9" t="s">
        <v>26</v>
      </c>
      <c r="L123" s="9" t="s">
        <v>62</v>
      </c>
      <c r="M123" s="9">
        <v>5999</v>
      </c>
      <c r="N123" s="9" t="s">
        <v>62</v>
      </c>
      <c r="O123" s="9" t="s">
        <v>2847</v>
      </c>
      <c r="P123" s="9" t="s">
        <v>2476</v>
      </c>
      <c r="Q123" s="9" t="s">
        <v>2477</v>
      </c>
    </row>
    <row r="124" spans="1:17" ht="15" customHeight="1">
      <c r="A124" s="8">
        <v>123</v>
      </c>
      <c r="B124" s="8" t="s">
        <v>2472</v>
      </c>
      <c r="C124" s="8" t="s">
        <v>2848</v>
      </c>
      <c r="D124" s="8" t="s">
        <v>2849</v>
      </c>
      <c r="E124" s="8" t="s">
        <v>21</v>
      </c>
      <c r="F124" s="8" t="s">
        <v>22</v>
      </c>
      <c r="G124" s="8">
        <v>314</v>
      </c>
      <c r="H124" s="8" t="s">
        <v>23</v>
      </c>
      <c r="I124" s="8" t="s">
        <v>111</v>
      </c>
      <c r="J124" s="8" t="s">
        <v>41</v>
      </c>
      <c r="K124" s="8" t="s">
        <v>26</v>
      </c>
      <c r="L124" s="8" t="s">
        <v>112</v>
      </c>
      <c r="M124" s="8">
        <v>5541</v>
      </c>
      <c r="N124" s="8" t="s">
        <v>112</v>
      </c>
      <c r="O124" s="8" t="s">
        <v>2850</v>
      </c>
      <c r="P124" s="8" t="s">
        <v>2476</v>
      </c>
      <c r="Q124" s="8" t="s">
        <v>2477</v>
      </c>
    </row>
    <row r="125" spans="1:17" ht="15" customHeight="1">
      <c r="A125" s="9">
        <v>124</v>
      </c>
      <c r="B125" s="9" t="s">
        <v>2472</v>
      </c>
      <c r="C125" s="9" t="s">
        <v>2851</v>
      </c>
      <c r="D125" s="9" t="s">
        <v>2852</v>
      </c>
      <c r="E125" s="9" t="s">
        <v>21</v>
      </c>
      <c r="F125" s="9" t="s">
        <v>22</v>
      </c>
      <c r="G125" s="9">
        <v>995</v>
      </c>
      <c r="H125" s="9" t="s">
        <v>23</v>
      </c>
      <c r="I125" s="9" t="s">
        <v>24</v>
      </c>
      <c r="J125" s="9" t="s">
        <v>25</v>
      </c>
      <c r="K125" s="9" t="s">
        <v>26</v>
      </c>
      <c r="L125" s="9" t="s">
        <v>27</v>
      </c>
      <c r="M125" s="9">
        <v>8299</v>
      </c>
      <c r="N125" s="9" t="s">
        <v>27</v>
      </c>
      <c r="O125" s="9" t="s">
        <v>2853</v>
      </c>
      <c r="P125" s="9" t="s">
        <v>2476</v>
      </c>
      <c r="Q125" s="9" t="s">
        <v>2477</v>
      </c>
    </row>
    <row r="126" spans="1:17" ht="15" customHeight="1">
      <c r="A126" s="8">
        <v>125</v>
      </c>
      <c r="B126" s="8" t="s">
        <v>2472</v>
      </c>
      <c r="C126" s="8" t="s">
        <v>2854</v>
      </c>
      <c r="D126" s="8" t="s">
        <v>2855</v>
      </c>
      <c r="E126" s="8" t="s">
        <v>21</v>
      </c>
      <c r="F126" s="8" t="s">
        <v>22</v>
      </c>
      <c r="G126" s="8">
        <v>628</v>
      </c>
      <c r="H126" s="8" t="s">
        <v>23</v>
      </c>
      <c r="I126" s="8" t="s">
        <v>78</v>
      </c>
      <c r="J126" s="8" t="s">
        <v>41</v>
      </c>
      <c r="K126" s="8" t="s">
        <v>26</v>
      </c>
      <c r="L126" s="8" t="s">
        <v>79</v>
      </c>
      <c r="M126" s="8">
        <v>7996</v>
      </c>
      <c r="N126" s="8" t="s">
        <v>79</v>
      </c>
      <c r="O126" s="8" t="s">
        <v>2856</v>
      </c>
      <c r="P126" s="8" t="s">
        <v>2476</v>
      </c>
      <c r="Q126" s="8" t="s">
        <v>2477</v>
      </c>
    </row>
    <row r="127" spans="1:17" ht="15" customHeight="1">
      <c r="A127" s="9">
        <v>126</v>
      </c>
      <c r="B127" s="9" t="s">
        <v>2472</v>
      </c>
      <c r="C127" s="9" t="s">
        <v>2857</v>
      </c>
      <c r="D127" s="9" t="s">
        <v>2858</v>
      </c>
      <c r="E127" s="9" t="s">
        <v>21</v>
      </c>
      <c r="F127" s="9" t="s">
        <v>22</v>
      </c>
      <c r="G127" s="9">
        <v>201</v>
      </c>
      <c r="H127" s="9" t="s">
        <v>23</v>
      </c>
      <c r="I127" s="9" t="s">
        <v>40</v>
      </c>
      <c r="J127" s="9" t="s">
        <v>41</v>
      </c>
      <c r="K127" s="9" t="s">
        <v>26</v>
      </c>
      <c r="L127" s="9" t="s">
        <v>42</v>
      </c>
      <c r="M127" s="9">
        <v>5812</v>
      </c>
      <c r="N127" s="9" t="s">
        <v>42</v>
      </c>
      <c r="O127" s="9" t="s">
        <v>2859</v>
      </c>
      <c r="P127" s="9" t="s">
        <v>2476</v>
      </c>
      <c r="Q127" s="9" t="s">
        <v>2477</v>
      </c>
    </row>
    <row r="128" spans="1:17" ht="15" customHeight="1">
      <c r="A128" s="8">
        <v>127</v>
      </c>
      <c r="B128" s="8" t="s">
        <v>2472</v>
      </c>
      <c r="C128" s="8" t="s">
        <v>2860</v>
      </c>
      <c r="D128" s="8" t="s">
        <v>2861</v>
      </c>
      <c r="E128" s="8" t="s">
        <v>21</v>
      </c>
      <c r="F128" s="8" t="s">
        <v>22</v>
      </c>
      <c r="G128" s="8">
        <v>1400</v>
      </c>
      <c r="H128" s="8" t="s">
        <v>23</v>
      </c>
      <c r="I128" s="8" t="s">
        <v>2484</v>
      </c>
      <c r="J128" s="8" t="s">
        <v>36</v>
      </c>
      <c r="K128" s="8" t="s">
        <v>26</v>
      </c>
      <c r="L128" s="8" t="s">
        <v>2485</v>
      </c>
      <c r="M128" s="8">
        <v>6012</v>
      </c>
      <c r="N128" s="8" t="s">
        <v>2485</v>
      </c>
      <c r="O128" s="8" t="s">
        <v>2862</v>
      </c>
      <c r="P128" s="8" t="s">
        <v>2476</v>
      </c>
      <c r="Q128" s="8" t="s">
        <v>2477</v>
      </c>
    </row>
    <row r="129" spans="1:17" ht="15" customHeight="1">
      <c r="A129" s="9">
        <v>128</v>
      </c>
      <c r="B129" s="9" t="s">
        <v>2472</v>
      </c>
      <c r="C129" s="9" t="s">
        <v>2863</v>
      </c>
      <c r="D129" s="9" t="s">
        <v>2864</v>
      </c>
      <c r="E129" s="9" t="s">
        <v>21</v>
      </c>
      <c r="F129" s="9" t="s">
        <v>22</v>
      </c>
      <c r="G129" s="9">
        <v>403</v>
      </c>
      <c r="H129" s="9" t="s">
        <v>23</v>
      </c>
      <c r="I129" s="9" t="s">
        <v>174</v>
      </c>
      <c r="J129" s="9" t="s">
        <v>36</v>
      </c>
      <c r="K129" s="9" t="s">
        <v>26</v>
      </c>
      <c r="L129" s="9" t="s">
        <v>175</v>
      </c>
      <c r="M129" s="9">
        <v>4813</v>
      </c>
      <c r="N129" s="9" t="s">
        <v>175</v>
      </c>
      <c r="O129" s="9" t="s">
        <v>2865</v>
      </c>
      <c r="P129" s="9" t="s">
        <v>2476</v>
      </c>
      <c r="Q129" s="9" t="s">
        <v>2477</v>
      </c>
    </row>
    <row r="130" spans="1:17" ht="15" customHeight="1">
      <c r="A130" s="8">
        <v>129</v>
      </c>
      <c r="B130" s="8" t="s">
        <v>2472</v>
      </c>
      <c r="C130" s="8" t="s">
        <v>2866</v>
      </c>
      <c r="D130" s="8" t="s">
        <v>2867</v>
      </c>
      <c r="E130" s="8" t="s">
        <v>21</v>
      </c>
      <c r="F130" s="8" t="s">
        <v>22</v>
      </c>
      <c r="G130" s="8">
        <v>200</v>
      </c>
      <c r="H130" s="8" t="s">
        <v>23</v>
      </c>
      <c r="I130" s="8" t="s">
        <v>52</v>
      </c>
      <c r="J130" s="8" t="s">
        <v>41</v>
      </c>
      <c r="K130" s="8" t="s">
        <v>26</v>
      </c>
      <c r="L130" s="8" t="s">
        <v>53</v>
      </c>
      <c r="M130" s="8">
        <v>5812</v>
      </c>
      <c r="N130" s="8" t="s">
        <v>53</v>
      </c>
      <c r="O130" s="8" t="s">
        <v>2868</v>
      </c>
      <c r="P130" s="8" t="s">
        <v>2476</v>
      </c>
      <c r="Q130" s="8" t="s">
        <v>2477</v>
      </c>
    </row>
    <row r="131" spans="1:17" ht="15" customHeight="1">
      <c r="A131" s="9">
        <v>130</v>
      </c>
      <c r="B131" s="9" t="s">
        <v>2472</v>
      </c>
      <c r="C131" s="9" t="s">
        <v>2869</v>
      </c>
      <c r="D131" s="9" t="s">
        <v>2870</v>
      </c>
      <c r="E131" s="9" t="s">
        <v>21</v>
      </c>
      <c r="F131" s="9" t="s">
        <v>22</v>
      </c>
      <c r="G131" s="9">
        <v>1040</v>
      </c>
      <c r="H131" s="9" t="s">
        <v>23</v>
      </c>
      <c r="I131" s="9" t="s">
        <v>262</v>
      </c>
      <c r="J131" s="9" t="s">
        <v>25</v>
      </c>
      <c r="K131" s="9" t="s">
        <v>26</v>
      </c>
      <c r="L131" s="9" t="s">
        <v>263</v>
      </c>
      <c r="M131" s="9">
        <v>8299</v>
      </c>
      <c r="N131" s="9" t="s">
        <v>263</v>
      </c>
      <c r="O131" s="9" t="s">
        <v>2871</v>
      </c>
      <c r="P131" s="9" t="s">
        <v>2476</v>
      </c>
      <c r="Q131" s="9" t="s">
        <v>2477</v>
      </c>
    </row>
    <row r="132" spans="1:17" ht="15" customHeight="1">
      <c r="A132" s="8">
        <v>131</v>
      </c>
      <c r="B132" s="8" t="s">
        <v>2472</v>
      </c>
      <c r="C132" s="8" t="s">
        <v>2872</v>
      </c>
      <c r="D132" s="8" t="s">
        <v>2873</v>
      </c>
      <c r="E132" s="8" t="s">
        <v>21</v>
      </c>
      <c r="F132" s="8" t="s">
        <v>22</v>
      </c>
      <c r="G132" s="8">
        <v>656</v>
      </c>
      <c r="H132" s="8" t="s">
        <v>23</v>
      </c>
      <c r="I132" s="8" t="s">
        <v>123</v>
      </c>
      <c r="J132" s="8" t="s">
        <v>41</v>
      </c>
      <c r="K132" s="8" t="s">
        <v>26</v>
      </c>
      <c r="L132" s="8" t="s">
        <v>124</v>
      </c>
      <c r="M132" s="8">
        <v>5541</v>
      </c>
      <c r="N132" s="8" t="s">
        <v>124</v>
      </c>
      <c r="O132" s="8" t="s">
        <v>2874</v>
      </c>
      <c r="P132" s="8" t="s">
        <v>2476</v>
      </c>
      <c r="Q132" s="8" t="s">
        <v>2477</v>
      </c>
    </row>
    <row r="133" spans="1:17" ht="15" customHeight="1">
      <c r="A133" s="9">
        <v>132</v>
      </c>
      <c r="B133" s="9" t="s">
        <v>2472</v>
      </c>
      <c r="C133" s="9" t="s">
        <v>2875</v>
      </c>
      <c r="D133" s="9" t="s">
        <v>2876</v>
      </c>
      <c r="E133" s="9" t="s">
        <v>21</v>
      </c>
      <c r="F133" s="9" t="s">
        <v>22</v>
      </c>
      <c r="G133" s="9">
        <v>733</v>
      </c>
      <c r="H133" s="9" t="s">
        <v>23</v>
      </c>
      <c r="I133" s="9" t="s">
        <v>198</v>
      </c>
      <c r="J133" s="9" t="s">
        <v>36</v>
      </c>
      <c r="K133" s="9" t="s">
        <v>26</v>
      </c>
      <c r="L133" s="9" t="s">
        <v>199</v>
      </c>
      <c r="M133" s="9">
        <v>4900</v>
      </c>
      <c r="N133" s="9" t="s">
        <v>199</v>
      </c>
      <c r="O133" s="9" t="s">
        <v>2877</v>
      </c>
      <c r="P133" s="9" t="s">
        <v>2476</v>
      </c>
      <c r="Q133" s="9" t="s">
        <v>2477</v>
      </c>
    </row>
    <row r="134" spans="1:17" ht="15" customHeight="1">
      <c r="A134" s="8">
        <v>133</v>
      </c>
      <c r="B134" s="8" t="s">
        <v>2472</v>
      </c>
      <c r="C134" s="8" t="s">
        <v>2878</v>
      </c>
      <c r="D134" s="8" t="s">
        <v>2879</v>
      </c>
      <c r="E134" s="8" t="s">
        <v>21</v>
      </c>
      <c r="F134" s="8" t="s">
        <v>22</v>
      </c>
      <c r="G134" s="8">
        <v>624</v>
      </c>
      <c r="H134" s="8" t="s">
        <v>23</v>
      </c>
      <c r="I134" s="8" t="s">
        <v>866</v>
      </c>
      <c r="J134" s="8" t="s">
        <v>25</v>
      </c>
      <c r="K134" s="8" t="s">
        <v>26</v>
      </c>
      <c r="L134" s="8" t="s">
        <v>867</v>
      </c>
      <c r="M134" s="8">
        <v>5999</v>
      </c>
      <c r="N134" s="8" t="s">
        <v>867</v>
      </c>
      <c r="O134" s="8" t="s">
        <v>2880</v>
      </c>
      <c r="P134" s="8" t="s">
        <v>2476</v>
      </c>
      <c r="Q134" s="8" t="s">
        <v>2477</v>
      </c>
    </row>
    <row r="135" spans="1:17" ht="15" customHeight="1">
      <c r="A135" s="9">
        <v>134</v>
      </c>
      <c r="B135" s="9" t="s">
        <v>2472</v>
      </c>
      <c r="C135" s="9" t="s">
        <v>2881</v>
      </c>
      <c r="D135" s="9" t="s">
        <v>2882</v>
      </c>
      <c r="E135" s="9" t="s">
        <v>21</v>
      </c>
      <c r="F135" s="9" t="s">
        <v>22</v>
      </c>
      <c r="G135" s="9">
        <v>201</v>
      </c>
      <c r="H135" s="9" t="s">
        <v>23</v>
      </c>
      <c r="I135" s="9" t="s">
        <v>254</v>
      </c>
      <c r="J135" s="9" t="s">
        <v>41</v>
      </c>
      <c r="K135" s="9" t="s">
        <v>26</v>
      </c>
      <c r="L135" s="9" t="s">
        <v>255</v>
      </c>
      <c r="M135" s="9">
        <v>5812</v>
      </c>
      <c r="N135" s="9" t="s">
        <v>255</v>
      </c>
      <c r="O135" s="9" t="s">
        <v>2883</v>
      </c>
      <c r="P135" s="9" t="s">
        <v>2476</v>
      </c>
      <c r="Q135" s="9" t="s">
        <v>2477</v>
      </c>
    </row>
    <row r="136" spans="1:17" ht="15" customHeight="1">
      <c r="A136" s="8">
        <v>135</v>
      </c>
      <c r="B136" s="8" t="s">
        <v>2472</v>
      </c>
      <c r="C136" s="8" t="s">
        <v>2884</v>
      </c>
      <c r="D136" s="8" t="s">
        <v>2885</v>
      </c>
      <c r="E136" s="8" t="s">
        <v>21</v>
      </c>
      <c r="F136" s="8" t="s">
        <v>22</v>
      </c>
      <c r="G136" s="8">
        <v>460</v>
      </c>
      <c r="H136" s="8" t="s">
        <v>23</v>
      </c>
      <c r="I136" s="8" t="s">
        <v>244</v>
      </c>
      <c r="J136" s="8" t="s">
        <v>41</v>
      </c>
      <c r="K136" s="8" t="s">
        <v>26</v>
      </c>
      <c r="L136" s="8" t="s">
        <v>245</v>
      </c>
      <c r="M136" s="8">
        <v>5411</v>
      </c>
      <c r="N136" s="8" t="s">
        <v>245</v>
      </c>
      <c r="O136" s="8" t="s">
        <v>2886</v>
      </c>
      <c r="P136" s="8" t="s">
        <v>2476</v>
      </c>
      <c r="Q136" s="8" t="s">
        <v>2477</v>
      </c>
    </row>
    <row r="137" spans="1:17" ht="15" customHeight="1">
      <c r="A137" s="9">
        <v>136</v>
      </c>
      <c r="B137" s="9" t="s">
        <v>2472</v>
      </c>
      <c r="C137" s="9" t="s">
        <v>2887</v>
      </c>
      <c r="D137" s="9" t="s">
        <v>2888</v>
      </c>
      <c r="E137" s="9" t="s">
        <v>21</v>
      </c>
      <c r="F137" s="9" t="s">
        <v>22</v>
      </c>
      <c r="G137" s="9">
        <v>797</v>
      </c>
      <c r="H137" s="9" t="s">
        <v>23</v>
      </c>
      <c r="I137" s="9" t="s">
        <v>186</v>
      </c>
      <c r="J137" s="9" t="s">
        <v>41</v>
      </c>
      <c r="K137" s="9" t="s">
        <v>26</v>
      </c>
      <c r="L137" s="9" t="s">
        <v>187</v>
      </c>
      <c r="M137" s="9">
        <v>5999</v>
      </c>
      <c r="N137" s="9" t="s">
        <v>187</v>
      </c>
      <c r="O137" s="9" t="s">
        <v>2889</v>
      </c>
      <c r="P137" s="9" t="s">
        <v>2476</v>
      </c>
      <c r="Q137" s="9" t="s">
        <v>2477</v>
      </c>
    </row>
    <row r="138" spans="1:17" ht="15" customHeight="1">
      <c r="A138" s="8">
        <v>137</v>
      </c>
      <c r="B138" s="8" t="s">
        <v>2472</v>
      </c>
      <c r="C138" s="8" t="s">
        <v>2890</v>
      </c>
      <c r="D138" s="8" t="s">
        <v>2891</v>
      </c>
      <c r="E138" s="8" t="s">
        <v>21</v>
      </c>
      <c r="F138" s="8" t="s">
        <v>22</v>
      </c>
      <c r="G138" s="8">
        <v>461</v>
      </c>
      <c r="H138" s="8" t="s">
        <v>23</v>
      </c>
      <c r="I138" s="8" t="s">
        <v>102</v>
      </c>
      <c r="J138" s="8" t="s">
        <v>41</v>
      </c>
      <c r="K138" s="8" t="s">
        <v>26</v>
      </c>
      <c r="L138" s="8" t="s">
        <v>103</v>
      </c>
      <c r="M138" s="8">
        <v>5411</v>
      </c>
      <c r="N138" s="8" t="s">
        <v>103</v>
      </c>
      <c r="O138" s="8" t="s">
        <v>2892</v>
      </c>
      <c r="P138" s="8" t="s">
        <v>2476</v>
      </c>
      <c r="Q138" s="8" t="s">
        <v>2477</v>
      </c>
    </row>
    <row r="139" spans="1:17" ht="15" customHeight="1">
      <c r="A139" s="9">
        <v>138</v>
      </c>
      <c r="B139" s="9" t="s">
        <v>2472</v>
      </c>
      <c r="C139" s="9" t="s">
        <v>2893</v>
      </c>
      <c r="D139" s="9" t="s">
        <v>2894</v>
      </c>
      <c r="E139" s="9" t="s">
        <v>21</v>
      </c>
      <c r="F139" s="9" t="s">
        <v>22</v>
      </c>
      <c r="G139" s="9">
        <v>201</v>
      </c>
      <c r="H139" s="9" t="s">
        <v>23</v>
      </c>
      <c r="I139" s="9" t="s">
        <v>340</v>
      </c>
      <c r="J139" s="9" t="s">
        <v>41</v>
      </c>
      <c r="K139" s="9" t="s">
        <v>26</v>
      </c>
      <c r="L139" s="9" t="s">
        <v>341</v>
      </c>
      <c r="M139" s="9">
        <v>5812</v>
      </c>
      <c r="N139" s="9" t="s">
        <v>341</v>
      </c>
      <c r="O139" s="9" t="s">
        <v>2895</v>
      </c>
      <c r="P139" s="9" t="s">
        <v>2476</v>
      </c>
      <c r="Q139" s="9" t="s">
        <v>2477</v>
      </c>
    </row>
    <row r="140" spans="1:17" ht="15" customHeight="1">
      <c r="A140" s="8">
        <v>139</v>
      </c>
      <c r="B140" s="8" t="s">
        <v>2472</v>
      </c>
      <c r="C140" s="8" t="s">
        <v>2896</v>
      </c>
      <c r="D140" s="8" t="s">
        <v>2897</v>
      </c>
      <c r="E140" s="8" t="s">
        <v>21</v>
      </c>
      <c r="F140" s="8" t="s">
        <v>22</v>
      </c>
      <c r="G140" s="8">
        <v>524</v>
      </c>
      <c r="H140" s="8" t="s">
        <v>23</v>
      </c>
      <c r="I140" s="8" t="s">
        <v>286</v>
      </c>
      <c r="J140" s="8" t="s">
        <v>41</v>
      </c>
      <c r="K140" s="8" t="s">
        <v>26</v>
      </c>
      <c r="L140" s="8" t="s">
        <v>287</v>
      </c>
      <c r="M140" s="8">
        <v>8011</v>
      </c>
      <c r="N140" s="8" t="s">
        <v>287</v>
      </c>
      <c r="O140" s="8" t="s">
        <v>2898</v>
      </c>
      <c r="P140" s="8" t="s">
        <v>2476</v>
      </c>
      <c r="Q140" s="8" t="s">
        <v>2477</v>
      </c>
    </row>
    <row r="141" spans="1:17" ht="15" customHeight="1">
      <c r="A141" s="9">
        <v>140</v>
      </c>
      <c r="B141" s="9" t="s">
        <v>2472</v>
      </c>
      <c r="C141" s="9" t="s">
        <v>2899</v>
      </c>
      <c r="D141" s="9" t="s">
        <v>2900</v>
      </c>
      <c r="E141" s="9" t="s">
        <v>21</v>
      </c>
      <c r="F141" s="9" t="s">
        <v>22</v>
      </c>
      <c r="G141" s="9">
        <v>461</v>
      </c>
      <c r="H141" s="9" t="s">
        <v>23</v>
      </c>
      <c r="I141" s="9" t="s">
        <v>379</v>
      </c>
      <c r="J141" s="9" t="s">
        <v>41</v>
      </c>
      <c r="K141" s="9" t="s">
        <v>26</v>
      </c>
      <c r="L141" s="9" t="s">
        <v>380</v>
      </c>
      <c r="M141" s="9">
        <v>5411</v>
      </c>
      <c r="N141" s="9" t="s">
        <v>380</v>
      </c>
      <c r="O141" s="9" t="s">
        <v>2901</v>
      </c>
      <c r="P141" s="9" t="s">
        <v>2476</v>
      </c>
      <c r="Q141" s="9" t="s">
        <v>2477</v>
      </c>
    </row>
    <row r="142" spans="1:17" ht="15" customHeight="1">
      <c r="A142" s="8">
        <v>141</v>
      </c>
      <c r="B142" s="8" t="s">
        <v>2472</v>
      </c>
      <c r="C142" s="8" t="s">
        <v>2902</v>
      </c>
      <c r="D142" s="8" t="s">
        <v>2903</v>
      </c>
      <c r="E142" s="8" t="s">
        <v>21</v>
      </c>
      <c r="F142" s="8" t="s">
        <v>22</v>
      </c>
      <c r="G142" s="8">
        <v>460</v>
      </c>
      <c r="H142" s="8" t="s">
        <v>23</v>
      </c>
      <c r="I142" s="8" t="s">
        <v>102</v>
      </c>
      <c r="J142" s="8" t="s">
        <v>41</v>
      </c>
      <c r="K142" s="8" t="s">
        <v>26</v>
      </c>
      <c r="L142" s="8" t="s">
        <v>103</v>
      </c>
      <c r="M142" s="8">
        <v>5411</v>
      </c>
      <c r="N142" s="8" t="s">
        <v>103</v>
      </c>
      <c r="O142" s="8" t="s">
        <v>2904</v>
      </c>
      <c r="P142" s="8" t="s">
        <v>2476</v>
      </c>
      <c r="Q142" s="8" t="s">
        <v>2477</v>
      </c>
    </row>
    <row r="143" spans="1:17" ht="15" customHeight="1">
      <c r="A143" s="9">
        <v>142</v>
      </c>
      <c r="B143" s="9" t="s">
        <v>2472</v>
      </c>
      <c r="C143" s="9" t="s">
        <v>2905</v>
      </c>
      <c r="D143" s="9" t="s">
        <v>2906</v>
      </c>
      <c r="E143" s="9" t="s">
        <v>94</v>
      </c>
      <c r="F143" s="9" t="s">
        <v>22</v>
      </c>
      <c r="G143" s="9">
        <v>13700</v>
      </c>
      <c r="H143" s="9" t="s">
        <v>23</v>
      </c>
      <c r="I143" s="9" t="s">
        <v>2534</v>
      </c>
      <c r="J143" s="9" t="s">
        <v>96</v>
      </c>
      <c r="K143" s="9" t="s">
        <v>97</v>
      </c>
      <c r="L143" s="9" t="s">
        <v>2476</v>
      </c>
      <c r="M143" s="9"/>
      <c r="N143" s="9" t="s">
        <v>2476</v>
      </c>
      <c r="O143" s="9" t="s">
        <v>2907</v>
      </c>
      <c r="P143" s="9" t="s">
        <v>2476</v>
      </c>
      <c r="Q143" s="9" t="s">
        <v>2477</v>
      </c>
    </row>
    <row r="144" spans="1:17" ht="15" customHeight="1">
      <c r="A144" s="8">
        <v>143</v>
      </c>
      <c r="B144" s="8" t="s">
        <v>2472</v>
      </c>
      <c r="C144" s="8" t="s">
        <v>2908</v>
      </c>
      <c r="D144" s="8" t="s">
        <v>2909</v>
      </c>
      <c r="E144" s="8" t="s">
        <v>21</v>
      </c>
      <c r="F144" s="8" t="s">
        <v>22</v>
      </c>
      <c r="G144" s="8">
        <v>624</v>
      </c>
      <c r="H144" s="8" t="s">
        <v>23</v>
      </c>
      <c r="I144" s="8" t="s">
        <v>159</v>
      </c>
      <c r="J144" s="8" t="s">
        <v>25</v>
      </c>
      <c r="K144" s="8" t="s">
        <v>26</v>
      </c>
      <c r="L144" s="8" t="s">
        <v>160</v>
      </c>
      <c r="M144" s="8">
        <v>5999</v>
      </c>
      <c r="N144" s="8" t="s">
        <v>160</v>
      </c>
      <c r="O144" s="8" t="s">
        <v>2910</v>
      </c>
      <c r="P144" s="8" t="s">
        <v>2476</v>
      </c>
      <c r="Q144" s="8" t="s">
        <v>2477</v>
      </c>
    </row>
    <row r="145" spans="1:17" ht="15" customHeight="1">
      <c r="A145" s="9">
        <v>144</v>
      </c>
      <c r="B145" s="9" t="s">
        <v>2472</v>
      </c>
      <c r="C145" s="9" t="s">
        <v>2911</v>
      </c>
      <c r="D145" s="9" t="s">
        <v>2912</v>
      </c>
      <c r="E145" s="9" t="s">
        <v>21</v>
      </c>
      <c r="F145" s="9" t="s">
        <v>22</v>
      </c>
      <c r="G145" s="9">
        <v>642</v>
      </c>
      <c r="H145" s="9" t="s">
        <v>23</v>
      </c>
      <c r="I145" s="9" t="s">
        <v>56</v>
      </c>
      <c r="J145" s="9" t="s">
        <v>41</v>
      </c>
      <c r="K145" s="9" t="s">
        <v>26</v>
      </c>
      <c r="L145" s="9" t="s">
        <v>57</v>
      </c>
      <c r="M145" s="9">
        <v>5999</v>
      </c>
      <c r="N145" s="9" t="s">
        <v>57</v>
      </c>
      <c r="O145" s="9" t="s">
        <v>2913</v>
      </c>
      <c r="P145" s="9" t="s">
        <v>2476</v>
      </c>
      <c r="Q145" s="9" t="s">
        <v>2477</v>
      </c>
    </row>
    <row r="146" spans="1:17" ht="15" customHeight="1">
      <c r="A146" s="8">
        <v>145</v>
      </c>
      <c r="B146" s="8" t="s">
        <v>2472</v>
      </c>
      <c r="C146" s="8" t="s">
        <v>2914</v>
      </c>
      <c r="D146" s="8" t="s">
        <v>2915</v>
      </c>
      <c r="E146" s="8" t="s">
        <v>21</v>
      </c>
      <c r="F146" s="8" t="s">
        <v>22</v>
      </c>
      <c r="G146" s="8">
        <v>498</v>
      </c>
      <c r="H146" s="8" t="s">
        <v>23</v>
      </c>
      <c r="I146" s="8" t="s">
        <v>102</v>
      </c>
      <c r="J146" s="8" t="s">
        <v>41</v>
      </c>
      <c r="K146" s="8" t="s">
        <v>26</v>
      </c>
      <c r="L146" s="8" t="s">
        <v>103</v>
      </c>
      <c r="M146" s="8">
        <v>5411</v>
      </c>
      <c r="N146" s="8" t="s">
        <v>103</v>
      </c>
      <c r="O146" s="8" t="s">
        <v>2916</v>
      </c>
      <c r="P146" s="8" t="s">
        <v>2476</v>
      </c>
      <c r="Q146" s="8" t="s">
        <v>2477</v>
      </c>
    </row>
    <row r="147" spans="1:17" ht="15" customHeight="1">
      <c r="A147" s="9">
        <v>146</v>
      </c>
      <c r="B147" s="9" t="s">
        <v>2472</v>
      </c>
      <c r="C147" s="9" t="s">
        <v>2917</v>
      </c>
      <c r="D147" s="9" t="s">
        <v>2918</v>
      </c>
      <c r="E147" s="9" t="s">
        <v>21</v>
      </c>
      <c r="F147" s="9" t="s">
        <v>22</v>
      </c>
      <c r="G147" s="9">
        <v>1400</v>
      </c>
      <c r="H147" s="9" t="s">
        <v>23</v>
      </c>
      <c r="I147" s="9" t="s">
        <v>2484</v>
      </c>
      <c r="J147" s="9" t="s">
        <v>36</v>
      </c>
      <c r="K147" s="9" t="s">
        <v>26</v>
      </c>
      <c r="L147" s="9" t="s">
        <v>2485</v>
      </c>
      <c r="M147" s="9">
        <v>6012</v>
      </c>
      <c r="N147" s="9" t="s">
        <v>2485</v>
      </c>
      <c r="O147" s="9" t="s">
        <v>2919</v>
      </c>
      <c r="P147" s="9" t="s">
        <v>2476</v>
      </c>
      <c r="Q147" s="9" t="s">
        <v>2477</v>
      </c>
    </row>
    <row r="148" spans="1:17" ht="15" customHeight="1">
      <c r="A148" s="8">
        <v>147</v>
      </c>
      <c r="B148" s="8" t="s">
        <v>2472</v>
      </c>
      <c r="C148" s="8" t="s">
        <v>2920</v>
      </c>
      <c r="D148" s="8" t="s">
        <v>2921</v>
      </c>
      <c r="E148" s="8" t="s">
        <v>21</v>
      </c>
      <c r="F148" s="8" t="s">
        <v>22</v>
      </c>
      <c r="G148" s="8">
        <v>1212</v>
      </c>
      <c r="H148" s="8" t="s">
        <v>23</v>
      </c>
      <c r="I148" s="8" t="s">
        <v>262</v>
      </c>
      <c r="J148" s="8" t="s">
        <v>25</v>
      </c>
      <c r="K148" s="8" t="s">
        <v>26</v>
      </c>
      <c r="L148" s="8" t="s">
        <v>263</v>
      </c>
      <c r="M148" s="8">
        <v>8299</v>
      </c>
      <c r="N148" s="8" t="s">
        <v>263</v>
      </c>
      <c r="O148" s="8" t="s">
        <v>2922</v>
      </c>
      <c r="P148" s="8" t="s">
        <v>2476</v>
      </c>
      <c r="Q148" s="8" t="s">
        <v>2477</v>
      </c>
    </row>
    <row r="149" spans="1:17" ht="15" customHeight="1">
      <c r="A149" s="9">
        <v>148</v>
      </c>
      <c r="B149" s="9" t="s">
        <v>2472</v>
      </c>
      <c r="C149" s="9" t="s">
        <v>2923</v>
      </c>
      <c r="D149" s="9" t="s">
        <v>2924</v>
      </c>
      <c r="E149" s="9" t="s">
        <v>21</v>
      </c>
      <c r="F149" s="9" t="s">
        <v>22</v>
      </c>
      <c r="G149" s="9">
        <v>867</v>
      </c>
      <c r="H149" s="9" t="s">
        <v>23</v>
      </c>
      <c r="I149" s="9" t="s">
        <v>90</v>
      </c>
      <c r="J149" s="9" t="s">
        <v>36</v>
      </c>
      <c r="K149" s="9" t="s">
        <v>26</v>
      </c>
      <c r="L149" s="9" t="s">
        <v>91</v>
      </c>
      <c r="M149" s="9">
        <v>4900</v>
      </c>
      <c r="N149" s="9" t="s">
        <v>91</v>
      </c>
      <c r="O149" s="9" t="s">
        <v>2925</v>
      </c>
      <c r="P149" s="9" t="s">
        <v>2476</v>
      </c>
      <c r="Q149" s="9" t="s">
        <v>2477</v>
      </c>
    </row>
    <row r="150" spans="1:17" ht="15" customHeight="1">
      <c r="A150" s="8">
        <v>149</v>
      </c>
      <c r="B150" s="8" t="s">
        <v>2472</v>
      </c>
      <c r="C150" s="8" t="s">
        <v>2926</v>
      </c>
      <c r="D150" s="8" t="s">
        <v>2927</v>
      </c>
      <c r="E150" s="8" t="s">
        <v>21</v>
      </c>
      <c r="F150" s="8" t="s">
        <v>22</v>
      </c>
      <c r="G150" s="8">
        <v>417</v>
      </c>
      <c r="H150" s="8" t="s">
        <v>23</v>
      </c>
      <c r="I150" s="8" t="s">
        <v>74</v>
      </c>
      <c r="J150" s="8" t="s">
        <v>41</v>
      </c>
      <c r="K150" s="8" t="s">
        <v>26</v>
      </c>
      <c r="L150" s="8" t="s">
        <v>75</v>
      </c>
      <c r="M150" s="8">
        <v>5812</v>
      </c>
      <c r="N150" s="8" t="s">
        <v>75</v>
      </c>
      <c r="O150" s="8" t="s">
        <v>2928</v>
      </c>
      <c r="P150" s="8" t="s">
        <v>2476</v>
      </c>
      <c r="Q150" s="8" t="s">
        <v>2477</v>
      </c>
    </row>
    <row r="151" spans="1:17" ht="15" customHeight="1">
      <c r="A151" s="9">
        <v>150</v>
      </c>
      <c r="B151" s="9" t="s">
        <v>2472</v>
      </c>
      <c r="C151" s="9" t="s">
        <v>2929</v>
      </c>
      <c r="D151" s="9" t="s">
        <v>2930</v>
      </c>
      <c r="E151" s="9" t="s">
        <v>21</v>
      </c>
      <c r="F151" s="9" t="s">
        <v>22</v>
      </c>
      <c r="G151" s="9">
        <v>364</v>
      </c>
      <c r="H151" s="9" t="s">
        <v>23</v>
      </c>
      <c r="I151" s="9" t="s">
        <v>123</v>
      </c>
      <c r="J151" s="9" t="s">
        <v>41</v>
      </c>
      <c r="K151" s="9" t="s">
        <v>26</v>
      </c>
      <c r="L151" s="9" t="s">
        <v>124</v>
      </c>
      <c r="M151" s="9">
        <v>5541</v>
      </c>
      <c r="N151" s="9" t="s">
        <v>124</v>
      </c>
      <c r="O151" s="9" t="s">
        <v>2931</v>
      </c>
      <c r="P151" s="9" t="s">
        <v>2476</v>
      </c>
      <c r="Q151" s="9" t="s">
        <v>2477</v>
      </c>
    </row>
    <row r="152" spans="1:17" ht="15" customHeight="1">
      <c r="A152" s="8">
        <v>151</v>
      </c>
      <c r="B152" s="8" t="s">
        <v>2472</v>
      </c>
      <c r="C152" s="8" t="s">
        <v>2932</v>
      </c>
      <c r="D152" s="8" t="s">
        <v>2933</v>
      </c>
      <c r="E152" s="8" t="s">
        <v>21</v>
      </c>
      <c r="F152" s="8" t="s">
        <v>22</v>
      </c>
      <c r="G152" s="8">
        <v>417</v>
      </c>
      <c r="H152" s="8" t="s">
        <v>23</v>
      </c>
      <c r="I152" s="8" t="s">
        <v>217</v>
      </c>
      <c r="J152" s="8" t="s">
        <v>41</v>
      </c>
      <c r="K152" s="8" t="s">
        <v>26</v>
      </c>
      <c r="L152" s="8" t="s">
        <v>218</v>
      </c>
      <c r="M152" s="8">
        <v>5812</v>
      </c>
      <c r="N152" s="8" t="s">
        <v>218</v>
      </c>
      <c r="O152" s="8" t="s">
        <v>2934</v>
      </c>
      <c r="P152" s="8" t="s">
        <v>2476</v>
      </c>
      <c r="Q152" s="8" t="s">
        <v>2477</v>
      </c>
    </row>
    <row r="153" spans="1:17" ht="15" customHeight="1">
      <c r="A153" s="9">
        <v>152</v>
      </c>
      <c r="B153" s="9" t="s">
        <v>2472</v>
      </c>
      <c r="C153" s="9" t="s">
        <v>2935</v>
      </c>
      <c r="D153" s="9" t="s">
        <v>2936</v>
      </c>
      <c r="E153" s="9" t="s">
        <v>21</v>
      </c>
      <c r="F153" s="9" t="s">
        <v>22</v>
      </c>
      <c r="G153" s="9">
        <v>363</v>
      </c>
      <c r="H153" s="9" t="s">
        <v>23</v>
      </c>
      <c r="I153" s="9" t="s">
        <v>123</v>
      </c>
      <c r="J153" s="9" t="s">
        <v>41</v>
      </c>
      <c r="K153" s="9" t="s">
        <v>26</v>
      </c>
      <c r="L153" s="9" t="s">
        <v>124</v>
      </c>
      <c r="M153" s="9">
        <v>5541</v>
      </c>
      <c r="N153" s="9" t="s">
        <v>124</v>
      </c>
      <c r="O153" s="9" t="s">
        <v>2937</v>
      </c>
      <c r="P153" s="9" t="s">
        <v>2476</v>
      </c>
      <c r="Q153" s="9" t="s">
        <v>2477</v>
      </c>
    </row>
    <row r="154" spans="1:17" ht="15" customHeight="1">
      <c r="A154" s="8">
        <v>153</v>
      </c>
      <c r="B154" s="8" t="s">
        <v>2472</v>
      </c>
      <c r="C154" s="8" t="s">
        <v>2938</v>
      </c>
      <c r="D154" s="8" t="s">
        <v>2939</v>
      </c>
      <c r="E154" s="8" t="s">
        <v>21</v>
      </c>
      <c r="F154" s="8" t="s">
        <v>22</v>
      </c>
      <c r="G154" s="8">
        <v>486</v>
      </c>
      <c r="H154" s="8" t="s">
        <v>23</v>
      </c>
      <c r="I154" s="8" t="s">
        <v>351</v>
      </c>
      <c r="J154" s="8" t="s">
        <v>36</v>
      </c>
      <c r="K154" s="8" t="s">
        <v>26</v>
      </c>
      <c r="L154" s="8" t="s">
        <v>352</v>
      </c>
      <c r="M154" s="8">
        <v>4813</v>
      </c>
      <c r="N154" s="8" t="s">
        <v>352</v>
      </c>
      <c r="O154" s="8" t="s">
        <v>2940</v>
      </c>
      <c r="P154" s="8" t="s">
        <v>2476</v>
      </c>
      <c r="Q154" s="8" t="s">
        <v>2477</v>
      </c>
    </row>
    <row r="155" spans="1:17" ht="15" customHeight="1">
      <c r="A155" s="9">
        <v>154</v>
      </c>
      <c r="B155" s="9" t="s">
        <v>2472</v>
      </c>
      <c r="C155" s="9" t="s">
        <v>2941</v>
      </c>
      <c r="D155" s="9" t="s">
        <v>2942</v>
      </c>
      <c r="E155" s="9" t="s">
        <v>21</v>
      </c>
      <c r="F155" s="9" t="s">
        <v>22</v>
      </c>
      <c r="G155" s="9">
        <v>1047</v>
      </c>
      <c r="H155" s="9" t="s">
        <v>23</v>
      </c>
      <c r="I155" s="9" t="s">
        <v>212</v>
      </c>
      <c r="J155" s="9" t="s">
        <v>25</v>
      </c>
      <c r="K155" s="9" t="s">
        <v>26</v>
      </c>
      <c r="L155" s="9" t="s">
        <v>213</v>
      </c>
      <c r="M155" s="9">
        <v>5999</v>
      </c>
      <c r="N155" s="9" t="s">
        <v>213</v>
      </c>
      <c r="O155" s="9" t="s">
        <v>2943</v>
      </c>
      <c r="P155" s="9" t="s">
        <v>2476</v>
      </c>
      <c r="Q155" s="9" t="s">
        <v>2477</v>
      </c>
    </row>
    <row r="156" spans="1:17" ht="15" customHeight="1">
      <c r="A156" s="8">
        <v>155</v>
      </c>
      <c r="B156" s="8" t="s">
        <v>2472</v>
      </c>
      <c r="C156" s="8" t="s">
        <v>2944</v>
      </c>
      <c r="D156" s="8" t="s">
        <v>2945</v>
      </c>
      <c r="E156" s="8" t="s">
        <v>21</v>
      </c>
      <c r="F156" s="8" t="s">
        <v>22</v>
      </c>
      <c r="G156" s="8">
        <v>569</v>
      </c>
      <c r="H156" s="8" t="s">
        <v>23</v>
      </c>
      <c r="I156" s="8" t="s">
        <v>695</v>
      </c>
      <c r="J156" s="8" t="s">
        <v>41</v>
      </c>
      <c r="K156" s="8" t="s">
        <v>26</v>
      </c>
      <c r="L156" s="8" t="s">
        <v>696</v>
      </c>
      <c r="M156" s="8">
        <v>7996</v>
      </c>
      <c r="N156" s="8" t="s">
        <v>696</v>
      </c>
      <c r="O156" s="8" t="s">
        <v>2946</v>
      </c>
      <c r="P156" s="8" t="s">
        <v>2476</v>
      </c>
      <c r="Q156" s="8" t="s">
        <v>2477</v>
      </c>
    </row>
    <row r="157" spans="1:17" ht="15" customHeight="1">
      <c r="A157" s="9">
        <v>156</v>
      </c>
      <c r="B157" s="9" t="s">
        <v>2472</v>
      </c>
      <c r="C157" s="9" t="s">
        <v>2947</v>
      </c>
      <c r="D157" s="9" t="s">
        <v>2948</v>
      </c>
      <c r="E157" s="9" t="s">
        <v>21</v>
      </c>
      <c r="F157" s="9" t="s">
        <v>22</v>
      </c>
      <c r="G157" s="9">
        <v>498</v>
      </c>
      <c r="H157" s="9" t="s">
        <v>23</v>
      </c>
      <c r="I157" s="9" t="s">
        <v>379</v>
      </c>
      <c r="J157" s="9" t="s">
        <v>41</v>
      </c>
      <c r="K157" s="9" t="s">
        <v>26</v>
      </c>
      <c r="L157" s="9" t="s">
        <v>380</v>
      </c>
      <c r="M157" s="9">
        <v>5411</v>
      </c>
      <c r="N157" s="9" t="s">
        <v>380</v>
      </c>
      <c r="O157" s="9" t="s">
        <v>2949</v>
      </c>
      <c r="P157" s="9" t="s">
        <v>2476</v>
      </c>
      <c r="Q157" s="9" t="s">
        <v>2477</v>
      </c>
    </row>
    <row r="158" spans="1:17" ht="15" customHeight="1">
      <c r="A158" s="8">
        <v>157</v>
      </c>
      <c r="B158" s="8" t="s">
        <v>2472</v>
      </c>
      <c r="C158" s="8" t="s">
        <v>2950</v>
      </c>
      <c r="D158" s="8" t="s">
        <v>2951</v>
      </c>
      <c r="E158" s="8" t="s">
        <v>21</v>
      </c>
      <c r="F158" s="8" t="s">
        <v>22</v>
      </c>
      <c r="G158" s="8">
        <v>833</v>
      </c>
      <c r="H158" s="8" t="s">
        <v>23</v>
      </c>
      <c r="I158" s="8" t="s">
        <v>56</v>
      </c>
      <c r="J158" s="8" t="s">
        <v>41</v>
      </c>
      <c r="K158" s="8" t="s">
        <v>26</v>
      </c>
      <c r="L158" s="8" t="s">
        <v>57</v>
      </c>
      <c r="M158" s="8">
        <v>5999</v>
      </c>
      <c r="N158" s="8" t="s">
        <v>57</v>
      </c>
      <c r="O158" s="8" t="s">
        <v>2952</v>
      </c>
      <c r="P158" s="8" t="s">
        <v>2476</v>
      </c>
      <c r="Q158" s="8" t="s">
        <v>2477</v>
      </c>
    </row>
    <row r="159" spans="1:17" ht="15" customHeight="1">
      <c r="A159" s="9">
        <v>158</v>
      </c>
      <c r="B159" s="9" t="s">
        <v>2472</v>
      </c>
      <c r="C159" s="9" t="s">
        <v>2953</v>
      </c>
      <c r="D159" s="9" t="s">
        <v>2954</v>
      </c>
      <c r="E159" s="9" t="s">
        <v>21</v>
      </c>
      <c r="F159" s="9" t="s">
        <v>22</v>
      </c>
      <c r="G159" s="9">
        <v>498</v>
      </c>
      <c r="H159" s="9" t="s">
        <v>23</v>
      </c>
      <c r="I159" s="9" t="s">
        <v>180</v>
      </c>
      <c r="J159" s="9" t="s">
        <v>41</v>
      </c>
      <c r="K159" s="9" t="s">
        <v>26</v>
      </c>
      <c r="L159" s="9" t="s">
        <v>181</v>
      </c>
      <c r="M159" s="9">
        <v>5411</v>
      </c>
      <c r="N159" s="9" t="s">
        <v>181</v>
      </c>
      <c r="O159" s="9" t="s">
        <v>2955</v>
      </c>
      <c r="P159" s="9" t="s">
        <v>2476</v>
      </c>
      <c r="Q159" s="9" t="s">
        <v>2477</v>
      </c>
    </row>
    <row r="160" spans="1:17" ht="15" customHeight="1">
      <c r="A160" s="8">
        <v>159</v>
      </c>
      <c r="B160" s="8" t="s">
        <v>2472</v>
      </c>
      <c r="C160" s="8" t="s">
        <v>2956</v>
      </c>
      <c r="D160" s="8" t="s">
        <v>2957</v>
      </c>
      <c r="E160" s="8" t="s">
        <v>21</v>
      </c>
      <c r="F160" s="8" t="s">
        <v>22</v>
      </c>
      <c r="G160" s="8">
        <v>381</v>
      </c>
      <c r="H160" s="8" t="s">
        <v>23</v>
      </c>
      <c r="I160" s="8" t="s">
        <v>560</v>
      </c>
      <c r="J160" s="8" t="s">
        <v>331</v>
      </c>
      <c r="K160" s="8" t="s">
        <v>26</v>
      </c>
      <c r="L160" s="8" t="s">
        <v>561</v>
      </c>
      <c r="M160" s="8">
        <v>6011</v>
      </c>
      <c r="N160" s="8" t="s">
        <v>561</v>
      </c>
      <c r="O160" s="8" t="s">
        <v>2958</v>
      </c>
      <c r="P160" s="8" t="s">
        <v>2476</v>
      </c>
      <c r="Q160" s="8" t="s">
        <v>2477</v>
      </c>
    </row>
    <row r="161" spans="1:17" ht="15" customHeight="1">
      <c r="A161" s="9">
        <v>160</v>
      </c>
      <c r="B161" s="9" t="s">
        <v>2472</v>
      </c>
      <c r="C161" s="9" t="s">
        <v>2959</v>
      </c>
      <c r="D161" s="9" t="s">
        <v>2960</v>
      </c>
      <c r="E161" s="9" t="s">
        <v>94</v>
      </c>
      <c r="F161" s="9" t="s">
        <v>22</v>
      </c>
      <c r="G161" s="9">
        <v>13200</v>
      </c>
      <c r="H161" s="9" t="s">
        <v>23</v>
      </c>
      <c r="I161" s="9" t="s">
        <v>2534</v>
      </c>
      <c r="J161" s="9" t="s">
        <v>96</v>
      </c>
      <c r="K161" s="9" t="s">
        <v>97</v>
      </c>
      <c r="L161" s="9" t="s">
        <v>2476</v>
      </c>
      <c r="M161" s="9"/>
      <c r="N161" s="9" t="s">
        <v>2476</v>
      </c>
      <c r="O161" s="9" t="s">
        <v>2961</v>
      </c>
      <c r="P161" s="9" t="s">
        <v>2476</v>
      </c>
      <c r="Q161" s="9" t="s">
        <v>2477</v>
      </c>
    </row>
    <row r="162" spans="1:17" ht="15" customHeight="1">
      <c r="A162" s="8">
        <v>161</v>
      </c>
      <c r="B162" s="8" t="s">
        <v>2472</v>
      </c>
      <c r="C162" s="8" t="s">
        <v>2962</v>
      </c>
      <c r="D162" s="8" t="s">
        <v>2963</v>
      </c>
      <c r="E162" s="8" t="s">
        <v>21</v>
      </c>
      <c r="F162" s="8" t="s">
        <v>22</v>
      </c>
      <c r="G162" s="8">
        <v>498</v>
      </c>
      <c r="H162" s="8" t="s">
        <v>23</v>
      </c>
      <c r="I162" s="8" t="s">
        <v>244</v>
      </c>
      <c r="J162" s="8" t="s">
        <v>41</v>
      </c>
      <c r="K162" s="8" t="s">
        <v>26</v>
      </c>
      <c r="L162" s="8" t="s">
        <v>245</v>
      </c>
      <c r="M162" s="8">
        <v>5411</v>
      </c>
      <c r="N162" s="8" t="s">
        <v>245</v>
      </c>
      <c r="O162" s="8" t="s">
        <v>2964</v>
      </c>
      <c r="P162" s="8" t="s">
        <v>2476</v>
      </c>
      <c r="Q162" s="8" t="s">
        <v>2477</v>
      </c>
    </row>
    <row r="163" spans="1:17" ht="15" customHeight="1">
      <c r="A163" s="9">
        <v>162</v>
      </c>
      <c r="B163" s="9" t="s">
        <v>2472</v>
      </c>
      <c r="C163" s="9" t="s">
        <v>2965</v>
      </c>
      <c r="D163" s="9" t="s">
        <v>2966</v>
      </c>
      <c r="E163" s="9" t="s">
        <v>21</v>
      </c>
      <c r="F163" s="9" t="s">
        <v>22</v>
      </c>
      <c r="G163" s="9">
        <v>1400</v>
      </c>
      <c r="H163" s="9" t="s">
        <v>23</v>
      </c>
      <c r="I163" s="9" t="s">
        <v>2484</v>
      </c>
      <c r="J163" s="9" t="s">
        <v>36</v>
      </c>
      <c r="K163" s="9" t="s">
        <v>26</v>
      </c>
      <c r="L163" s="9" t="s">
        <v>2485</v>
      </c>
      <c r="M163" s="9">
        <v>6012</v>
      </c>
      <c r="N163" s="9" t="s">
        <v>2485</v>
      </c>
      <c r="O163" s="9" t="s">
        <v>2967</v>
      </c>
      <c r="P163" s="9" t="s">
        <v>2476</v>
      </c>
      <c r="Q163" s="9" t="s">
        <v>2477</v>
      </c>
    </row>
    <row r="164" spans="1:17" ht="15" customHeight="1">
      <c r="A164" s="8">
        <v>163</v>
      </c>
      <c r="B164" s="8" t="s">
        <v>2472</v>
      </c>
      <c r="C164" s="8" t="s">
        <v>2968</v>
      </c>
      <c r="D164" s="8" t="s">
        <v>2969</v>
      </c>
      <c r="E164" s="8" t="s">
        <v>21</v>
      </c>
      <c r="F164" s="8" t="s">
        <v>22</v>
      </c>
      <c r="G164" s="8">
        <v>473</v>
      </c>
      <c r="H164" s="8" t="s">
        <v>23</v>
      </c>
      <c r="I164" s="8" t="s">
        <v>379</v>
      </c>
      <c r="J164" s="8" t="s">
        <v>41</v>
      </c>
      <c r="K164" s="8" t="s">
        <v>26</v>
      </c>
      <c r="L164" s="8" t="s">
        <v>380</v>
      </c>
      <c r="M164" s="8">
        <v>5411</v>
      </c>
      <c r="N164" s="8" t="s">
        <v>380</v>
      </c>
      <c r="O164" s="8" t="s">
        <v>2970</v>
      </c>
      <c r="P164" s="8" t="s">
        <v>2476</v>
      </c>
      <c r="Q164" s="8" t="s">
        <v>2477</v>
      </c>
    </row>
    <row r="165" spans="1:17" ht="15" customHeight="1">
      <c r="A165" s="9">
        <v>164</v>
      </c>
      <c r="B165" s="9" t="s">
        <v>2472</v>
      </c>
      <c r="C165" s="9" t="s">
        <v>2971</v>
      </c>
      <c r="D165" s="9" t="s">
        <v>2972</v>
      </c>
      <c r="E165" s="9" t="s">
        <v>21</v>
      </c>
      <c r="F165" s="9" t="s">
        <v>22</v>
      </c>
      <c r="G165" s="9">
        <v>324</v>
      </c>
      <c r="H165" s="9" t="s">
        <v>23</v>
      </c>
      <c r="I165" s="9" t="s">
        <v>74</v>
      </c>
      <c r="J165" s="9" t="s">
        <v>41</v>
      </c>
      <c r="K165" s="9" t="s">
        <v>26</v>
      </c>
      <c r="L165" s="9" t="s">
        <v>75</v>
      </c>
      <c r="M165" s="9">
        <v>5812</v>
      </c>
      <c r="N165" s="9" t="s">
        <v>75</v>
      </c>
      <c r="O165" s="9" t="s">
        <v>2973</v>
      </c>
      <c r="P165" s="9" t="s">
        <v>2476</v>
      </c>
      <c r="Q165" s="9" t="s">
        <v>2477</v>
      </c>
    </row>
    <row r="166" spans="1:17" ht="15" customHeight="1">
      <c r="A166" s="8">
        <v>165</v>
      </c>
      <c r="B166" s="8" t="s">
        <v>2472</v>
      </c>
      <c r="C166" s="8" t="s">
        <v>2974</v>
      </c>
      <c r="D166" s="8" t="s">
        <v>2975</v>
      </c>
      <c r="E166" s="8" t="s">
        <v>21</v>
      </c>
      <c r="F166" s="8" t="s">
        <v>22</v>
      </c>
      <c r="G166" s="8">
        <v>1266</v>
      </c>
      <c r="H166" s="8" t="s">
        <v>23</v>
      </c>
      <c r="I166" s="8" t="s">
        <v>56</v>
      </c>
      <c r="J166" s="8" t="s">
        <v>41</v>
      </c>
      <c r="K166" s="8" t="s">
        <v>26</v>
      </c>
      <c r="L166" s="8" t="s">
        <v>57</v>
      </c>
      <c r="M166" s="8">
        <v>5999</v>
      </c>
      <c r="N166" s="8" t="s">
        <v>57</v>
      </c>
      <c r="O166" s="8" t="s">
        <v>2976</v>
      </c>
      <c r="P166" s="8" t="s">
        <v>2476</v>
      </c>
      <c r="Q166" s="8" t="s">
        <v>2477</v>
      </c>
    </row>
    <row r="167" spans="1:17" ht="15" customHeight="1">
      <c r="A167" s="9">
        <v>166</v>
      </c>
      <c r="B167" s="9" t="s">
        <v>2472</v>
      </c>
      <c r="C167" s="9" t="s">
        <v>2977</v>
      </c>
      <c r="D167" s="9" t="s">
        <v>2978</v>
      </c>
      <c r="E167" s="9" t="s">
        <v>21</v>
      </c>
      <c r="F167" s="9" t="s">
        <v>22</v>
      </c>
      <c r="G167" s="9">
        <v>323</v>
      </c>
      <c r="H167" s="9" t="s">
        <v>23</v>
      </c>
      <c r="I167" s="9" t="s">
        <v>40</v>
      </c>
      <c r="J167" s="9" t="s">
        <v>41</v>
      </c>
      <c r="K167" s="9" t="s">
        <v>26</v>
      </c>
      <c r="L167" s="9" t="s">
        <v>42</v>
      </c>
      <c r="M167" s="9">
        <v>5812</v>
      </c>
      <c r="N167" s="9" t="s">
        <v>42</v>
      </c>
      <c r="O167" s="9" t="s">
        <v>2979</v>
      </c>
      <c r="P167" s="9" t="s">
        <v>2476</v>
      </c>
      <c r="Q167" s="9" t="s">
        <v>2477</v>
      </c>
    </row>
    <row r="168" spans="1:17" ht="15" customHeight="1">
      <c r="A168" s="8">
        <v>167</v>
      </c>
      <c r="B168" s="8" t="s">
        <v>2472</v>
      </c>
      <c r="C168" s="8" t="s">
        <v>2980</v>
      </c>
      <c r="D168" s="8" t="s">
        <v>2981</v>
      </c>
      <c r="E168" s="8" t="s">
        <v>21</v>
      </c>
      <c r="F168" s="8" t="s">
        <v>22</v>
      </c>
      <c r="G168" s="8">
        <v>813</v>
      </c>
      <c r="H168" s="8" t="s">
        <v>23</v>
      </c>
      <c r="I168" s="8" t="s">
        <v>111</v>
      </c>
      <c r="J168" s="8" t="s">
        <v>41</v>
      </c>
      <c r="K168" s="8" t="s">
        <v>26</v>
      </c>
      <c r="L168" s="8" t="s">
        <v>112</v>
      </c>
      <c r="M168" s="8">
        <v>5541</v>
      </c>
      <c r="N168" s="8" t="s">
        <v>112</v>
      </c>
      <c r="O168" s="8" t="s">
        <v>2982</v>
      </c>
      <c r="P168" s="8" t="s">
        <v>2476</v>
      </c>
      <c r="Q168" s="8" t="s">
        <v>2477</v>
      </c>
    </row>
    <row r="169" spans="1:17" ht="15" customHeight="1">
      <c r="A169" s="9">
        <v>168</v>
      </c>
      <c r="B169" s="9" t="s">
        <v>2472</v>
      </c>
      <c r="C169" s="9" t="s">
        <v>2983</v>
      </c>
      <c r="D169" s="9" t="s">
        <v>2984</v>
      </c>
      <c r="E169" s="9" t="s">
        <v>21</v>
      </c>
      <c r="F169" s="9" t="s">
        <v>22</v>
      </c>
      <c r="G169" s="9">
        <v>473</v>
      </c>
      <c r="H169" s="9" t="s">
        <v>23</v>
      </c>
      <c r="I169" s="9" t="s">
        <v>82</v>
      </c>
      <c r="J169" s="9" t="s">
        <v>41</v>
      </c>
      <c r="K169" s="9" t="s">
        <v>26</v>
      </c>
      <c r="L169" s="9" t="s">
        <v>83</v>
      </c>
      <c r="M169" s="9">
        <v>5411</v>
      </c>
      <c r="N169" s="9" t="s">
        <v>83</v>
      </c>
      <c r="O169" s="9" t="s">
        <v>2985</v>
      </c>
      <c r="P169" s="9" t="s">
        <v>2476</v>
      </c>
      <c r="Q169" s="9" t="s">
        <v>2477</v>
      </c>
    </row>
    <row r="170" spans="1:17" ht="15" customHeight="1">
      <c r="A170" s="8">
        <v>169</v>
      </c>
      <c r="B170" s="8" t="s">
        <v>2472</v>
      </c>
      <c r="C170" s="8" t="s">
        <v>2986</v>
      </c>
      <c r="D170" s="8" t="s">
        <v>2987</v>
      </c>
      <c r="E170" s="8" t="s">
        <v>21</v>
      </c>
      <c r="F170" s="8" t="s">
        <v>22</v>
      </c>
      <c r="G170" s="8">
        <v>340</v>
      </c>
      <c r="H170" s="8" t="s">
        <v>23</v>
      </c>
      <c r="I170" s="8" t="s">
        <v>560</v>
      </c>
      <c r="J170" s="8" t="s">
        <v>331</v>
      </c>
      <c r="K170" s="8" t="s">
        <v>26</v>
      </c>
      <c r="L170" s="8" t="s">
        <v>561</v>
      </c>
      <c r="M170" s="8">
        <v>6011</v>
      </c>
      <c r="N170" s="8" t="s">
        <v>561</v>
      </c>
      <c r="O170" s="8" t="s">
        <v>2988</v>
      </c>
      <c r="P170" s="8" t="s">
        <v>2476</v>
      </c>
      <c r="Q170" s="8" t="s">
        <v>2477</v>
      </c>
    </row>
    <row r="171" spans="1:17" ht="15" customHeight="1">
      <c r="A171" s="9">
        <v>170</v>
      </c>
      <c r="B171" s="9" t="s">
        <v>2472</v>
      </c>
      <c r="C171" s="9" t="s">
        <v>2989</v>
      </c>
      <c r="D171" s="9" t="s">
        <v>2990</v>
      </c>
      <c r="E171" s="9" t="s">
        <v>21</v>
      </c>
      <c r="F171" s="9" t="s">
        <v>22</v>
      </c>
      <c r="G171" s="9">
        <v>952</v>
      </c>
      <c r="H171" s="9" t="s">
        <v>23</v>
      </c>
      <c r="I171" s="9" t="s">
        <v>61</v>
      </c>
      <c r="J171" s="9" t="s">
        <v>25</v>
      </c>
      <c r="K171" s="9" t="s">
        <v>26</v>
      </c>
      <c r="L171" s="9" t="s">
        <v>62</v>
      </c>
      <c r="M171" s="9">
        <v>5999</v>
      </c>
      <c r="N171" s="9" t="s">
        <v>62</v>
      </c>
      <c r="O171" s="9" t="s">
        <v>2991</v>
      </c>
      <c r="P171" s="9" t="s">
        <v>2476</v>
      </c>
      <c r="Q171" s="9" t="s">
        <v>2477</v>
      </c>
    </row>
    <row r="172" spans="1:17" ht="15" customHeight="1">
      <c r="A172" s="8">
        <v>171</v>
      </c>
      <c r="B172" s="8" t="s">
        <v>2472</v>
      </c>
      <c r="C172" s="8" t="s">
        <v>2992</v>
      </c>
      <c r="D172" s="8" t="s">
        <v>2993</v>
      </c>
      <c r="E172" s="8" t="s">
        <v>21</v>
      </c>
      <c r="F172" s="8" t="s">
        <v>22</v>
      </c>
      <c r="G172" s="8">
        <v>473</v>
      </c>
      <c r="H172" s="8" t="s">
        <v>23</v>
      </c>
      <c r="I172" s="8" t="s">
        <v>102</v>
      </c>
      <c r="J172" s="8" t="s">
        <v>41</v>
      </c>
      <c r="K172" s="8" t="s">
        <v>26</v>
      </c>
      <c r="L172" s="8" t="s">
        <v>103</v>
      </c>
      <c r="M172" s="8">
        <v>5411</v>
      </c>
      <c r="N172" s="8" t="s">
        <v>103</v>
      </c>
      <c r="O172" s="8" t="s">
        <v>2994</v>
      </c>
      <c r="P172" s="8" t="s">
        <v>2476</v>
      </c>
      <c r="Q172" s="8" t="s">
        <v>2477</v>
      </c>
    </row>
    <row r="173" spans="1:17" ht="15" customHeight="1">
      <c r="A173" s="9">
        <v>172</v>
      </c>
      <c r="B173" s="9" t="s">
        <v>2472</v>
      </c>
      <c r="C173" s="9" t="s">
        <v>2995</v>
      </c>
      <c r="D173" s="9" t="s">
        <v>2996</v>
      </c>
      <c r="E173" s="9" t="s">
        <v>21</v>
      </c>
      <c r="F173" s="9" t="s">
        <v>22</v>
      </c>
      <c r="G173" s="9">
        <v>422</v>
      </c>
      <c r="H173" s="9" t="s">
        <v>23</v>
      </c>
      <c r="I173" s="9" t="s">
        <v>152</v>
      </c>
      <c r="J173" s="9" t="s">
        <v>41</v>
      </c>
      <c r="K173" s="9" t="s">
        <v>26</v>
      </c>
      <c r="L173" s="9" t="s">
        <v>153</v>
      </c>
      <c r="M173" s="9">
        <v>8011</v>
      </c>
      <c r="N173" s="9" t="s">
        <v>153</v>
      </c>
      <c r="O173" s="9" t="s">
        <v>2997</v>
      </c>
      <c r="P173" s="9" t="s">
        <v>2476</v>
      </c>
      <c r="Q173" s="9" t="s">
        <v>2477</v>
      </c>
    </row>
    <row r="174" spans="1:17" ht="15" customHeight="1">
      <c r="A174" s="8">
        <v>173</v>
      </c>
      <c r="B174" s="8" t="s">
        <v>2472</v>
      </c>
      <c r="C174" s="8" t="s">
        <v>2998</v>
      </c>
      <c r="D174" s="8" t="s">
        <v>2999</v>
      </c>
      <c r="E174" s="8" t="s">
        <v>21</v>
      </c>
      <c r="F174" s="8" t="s">
        <v>22</v>
      </c>
      <c r="G174" s="8">
        <v>869</v>
      </c>
      <c r="H174" s="8" t="s">
        <v>23</v>
      </c>
      <c r="I174" s="8" t="s">
        <v>90</v>
      </c>
      <c r="J174" s="8" t="s">
        <v>36</v>
      </c>
      <c r="K174" s="8" t="s">
        <v>26</v>
      </c>
      <c r="L174" s="8" t="s">
        <v>91</v>
      </c>
      <c r="M174" s="8">
        <v>4900</v>
      </c>
      <c r="N174" s="8" t="s">
        <v>91</v>
      </c>
      <c r="O174" s="8" t="s">
        <v>3000</v>
      </c>
      <c r="P174" s="8" t="s">
        <v>2476</v>
      </c>
      <c r="Q174" s="8" t="s">
        <v>2477</v>
      </c>
    </row>
    <row r="175" spans="1:17" ht="15" customHeight="1">
      <c r="A175" s="9">
        <v>174</v>
      </c>
      <c r="B175" s="9" t="s">
        <v>2472</v>
      </c>
      <c r="C175" s="9" t="s">
        <v>3001</v>
      </c>
      <c r="D175" s="9" t="s">
        <v>3002</v>
      </c>
      <c r="E175" s="9" t="s">
        <v>21</v>
      </c>
      <c r="F175" s="9" t="s">
        <v>22</v>
      </c>
      <c r="G175" s="9">
        <v>472</v>
      </c>
      <c r="H175" s="9" t="s">
        <v>23</v>
      </c>
      <c r="I175" s="9" t="s">
        <v>244</v>
      </c>
      <c r="J175" s="9" t="s">
        <v>41</v>
      </c>
      <c r="K175" s="9" t="s">
        <v>26</v>
      </c>
      <c r="L175" s="9" t="s">
        <v>245</v>
      </c>
      <c r="M175" s="9">
        <v>5411</v>
      </c>
      <c r="N175" s="9" t="s">
        <v>245</v>
      </c>
      <c r="O175" s="9" t="s">
        <v>3003</v>
      </c>
      <c r="P175" s="9" t="s">
        <v>2476</v>
      </c>
      <c r="Q175" s="9" t="s">
        <v>2477</v>
      </c>
    </row>
    <row r="176" spans="1:17" ht="15" customHeight="1">
      <c r="A176" s="8">
        <v>175</v>
      </c>
      <c r="B176" s="8" t="s">
        <v>2472</v>
      </c>
      <c r="C176" s="8" t="s">
        <v>3004</v>
      </c>
      <c r="D176" s="8" t="s">
        <v>3005</v>
      </c>
      <c r="E176" s="8" t="s">
        <v>21</v>
      </c>
      <c r="F176" s="8" t="s">
        <v>22</v>
      </c>
      <c r="G176" s="8">
        <v>324</v>
      </c>
      <c r="H176" s="8" t="s">
        <v>23</v>
      </c>
      <c r="I176" s="8" t="s">
        <v>138</v>
      </c>
      <c r="J176" s="8" t="s">
        <v>41</v>
      </c>
      <c r="K176" s="8" t="s">
        <v>26</v>
      </c>
      <c r="L176" s="8" t="s">
        <v>139</v>
      </c>
      <c r="M176" s="8">
        <v>5812</v>
      </c>
      <c r="N176" s="8" t="s">
        <v>139</v>
      </c>
      <c r="O176" s="8" t="s">
        <v>3006</v>
      </c>
      <c r="P176" s="8" t="s">
        <v>2476</v>
      </c>
      <c r="Q176" s="8" t="s">
        <v>2477</v>
      </c>
    </row>
    <row r="177" spans="1:17" ht="15" customHeight="1">
      <c r="A177" s="9">
        <v>176</v>
      </c>
      <c r="B177" s="9" t="s">
        <v>2472</v>
      </c>
      <c r="C177" s="9" t="s">
        <v>3007</v>
      </c>
      <c r="D177" s="9" t="s">
        <v>3008</v>
      </c>
      <c r="E177" s="9" t="s">
        <v>94</v>
      </c>
      <c r="F177" s="9" t="s">
        <v>22</v>
      </c>
      <c r="G177" s="9">
        <v>13500</v>
      </c>
      <c r="H177" s="9" t="s">
        <v>23</v>
      </c>
      <c r="I177" s="9" t="s">
        <v>2534</v>
      </c>
      <c r="J177" s="9" t="s">
        <v>96</v>
      </c>
      <c r="K177" s="9" t="s">
        <v>97</v>
      </c>
      <c r="L177" s="9" t="s">
        <v>2476</v>
      </c>
      <c r="M177" s="9"/>
      <c r="N177" s="9" t="s">
        <v>2476</v>
      </c>
      <c r="O177" s="9" t="s">
        <v>3009</v>
      </c>
      <c r="P177" s="9" t="s">
        <v>2476</v>
      </c>
      <c r="Q177" s="9" t="s">
        <v>2477</v>
      </c>
    </row>
    <row r="178" spans="1:17" ht="15" customHeight="1">
      <c r="A178" s="8">
        <v>177</v>
      </c>
      <c r="B178" s="8" t="s">
        <v>2472</v>
      </c>
      <c r="C178" s="8" t="s">
        <v>3010</v>
      </c>
      <c r="D178" s="8" t="s">
        <v>3011</v>
      </c>
      <c r="E178" s="8" t="s">
        <v>21</v>
      </c>
      <c r="F178" s="8" t="s">
        <v>22</v>
      </c>
      <c r="G178" s="8">
        <v>1165</v>
      </c>
      <c r="H178" s="8" t="s">
        <v>23</v>
      </c>
      <c r="I178" s="8" t="s">
        <v>24</v>
      </c>
      <c r="J178" s="8" t="s">
        <v>25</v>
      </c>
      <c r="K178" s="8" t="s">
        <v>26</v>
      </c>
      <c r="L178" s="8" t="s">
        <v>27</v>
      </c>
      <c r="M178" s="8">
        <v>8299</v>
      </c>
      <c r="N178" s="8" t="s">
        <v>27</v>
      </c>
      <c r="O178" s="8" t="s">
        <v>3012</v>
      </c>
      <c r="P178" s="8" t="s">
        <v>2476</v>
      </c>
      <c r="Q178" s="8" t="s">
        <v>2477</v>
      </c>
    </row>
    <row r="179" spans="1:17" ht="15" customHeight="1">
      <c r="A179" s="9">
        <v>178</v>
      </c>
      <c r="B179" s="9" t="s">
        <v>2472</v>
      </c>
      <c r="C179" s="9" t="s">
        <v>3013</v>
      </c>
      <c r="D179" s="9" t="s">
        <v>3014</v>
      </c>
      <c r="E179" s="9" t="s">
        <v>21</v>
      </c>
      <c r="F179" s="9" t="s">
        <v>22</v>
      </c>
      <c r="G179" s="9">
        <v>491</v>
      </c>
      <c r="H179" s="9" t="s">
        <v>23</v>
      </c>
      <c r="I179" s="9" t="s">
        <v>86</v>
      </c>
      <c r="J179" s="9" t="s">
        <v>36</v>
      </c>
      <c r="K179" s="9" t="s">
        <v>26</v>
      </c>
      <c r="L179" s="9" t="s">
        <v>87</v>
      </c>
      <c r="M179" s="9">
        <v>4813</v>
      </c>
      <c r="N179" s="9" t="s">
        <v>87</v>
      </c>
      <c r="O179" s="9" t="s">
        <v>3015</v>
      </c>
      <c r="P179" s="9" t="s">
        <v>2476</v>
      </c>
      <c r="Q179" s="9" t="s">
        <v>2477</v>
      </c>
    </row>
    <row r="180" spans="1:17" ht="15" customHeight="1">
      <c r="A180" s="8">
        <v>179</v>
      </c>
      <c r="B180" s="8" t="s">
        <v>2472</v>
      </c>
      <c r="C180" s="8" t="s">
        <v>3016</v>
      </c>
      <c r="D180" s="8" t="s">
        <v>3017</v>
      </c>
      <c r="E180" s="8" t="s">
        <v>21</v>
      </c>
      <c r="F180" s="8" t="s">
        <v>22</v>
      </c>
      <c r="G180" s="8">
        <v>1400</v>
      </c>
      <c r="H180" s="8" t="s">
        <v>23</v>
      </c>
      <c r="I180" s="8" t="s">
        <v>2484</v>
      </c>
      <c r="J180" s="8" t="s">
        <v>36</v>
      </c>
      <c r="K180" s="8" t="s">
        <v>26</v>
      </c>
      <c r="L180" s="8" t="s">
        <v>2485</v>
      </c>
      <c r="M180" s="8">
        <v>6012</v>
      </c>
      <c r="N180" s="8" t="s">
        <v>2485</v>
      </c>
      <c r="O180" s="8" t="s">
        <v>3018</v>
      </c>
      <c r="P180" s="8" t="s">
        <v>2476</v>
      </c>
      <c r="Q180" s="8" t="s">
        <v>2477</v>
      </c>
    </row>
    <row r="181" spans="1:17" ht="15" customHeight="1">
      <c r="A181" s="9">
        <v>180</v>
      </c>
      <c r="B181" s="9" t="s">
        <v>2472</v>
      </c>
      <c r="C181" s="9" t="s">
        <v>3019</v>
      </c>
      <c r="D181" s="9" t="s">
        <v>3020</v>
      </c>
      <c r="E181" s="9" t="s">
        <v>21</v>
      </c>
      <c r="F181" s="9" t="s">
        <v>22</v>
      </c>
      <c r="G181" s="9">
        <v>412</v>
      </c>
      <c r="H181" s="9" t="s">
        <v>23</v>
      </c>
      <c r="I181" s="9" t="s">
        <v>351</v>
      </c>
      <c r="J181" s="9" t="s">
        <v>36</v>
      </c>
      <c r="K181" s="9" t="s">
        <v>26</v>
      </c>
      <c r="L181" s="9" t="s">
        <v>352</v>
      </c>
      <c r="M181" s="9">
        <v>4813</v>
      </c>
      <c r="N181" s="9" t="s">
        <v>352</v>
      </c>
      <c r="O181" s="9" t="s">
        <v>3021</v>
      </c>
      <c r="P181" s="9" t="s">
        <v>2476</v>
      </c>
      <c r="Q181" s="9" t="s">
        <v>2477</v>
      </c>
    </row>
    <row r="182" spans="1:17" ht="15" customHeight="1">
      <c r="A182" s="8">
        <v>181</v>
      </c>
      <c r="B182" s="8" t="s">
        <v>2472</v>
      </c>
      <c r="C182" s="8" t="s">
        <v>3022</v>
      </c>
      <c r="D182" s="8" t="s">
        <v>3023</v>
      </c>
      <c r="E182" s="8" t="s">
        <v>21</v>
      </c>
      <c r="F182" s="8" t="s">
        <v>22</v>
      </c>
      <c r="G182" s="8">
        <v>484</v>
      </c>
      <c r="H182" s="8" t="s">
        <v>23</v>
      </c>
      <c r="I182" s="8" t="s">
        <v>143</v>
      </c>
      <c r="J182" s="8" t="s">
        <v>41</v>
      </c>
      <c r="K182" s="8" t="s">
        <v>26</v>
      </c>
      <c r="L182" s="8" t="s">
        <v>144</v>
      </c>
      <c r="M182" s="8">
        <v>7996</v>
      </c>
      <c r="N182" s="8" t="s">
        <v>144</v>
      </c>
      <c r="O182" s="8" t="s">
        <v>3024</v>
      </c>
      <c r="P182" s="8" t="s">
        <v>2476</v>
      </c>
      <c r="Q182" s="8" t="s">
        <v>2477</v>
      </c>
    </row>
    <row r="183" spans="1:17" ht="15" customHeight="1">
      <c r="A183" s="9">
        <v>182</v>
      </c>
      <c r="B183" s="9" t="s">
        <v>2472</v>
      </c>
      <c r="C183" s="9" t="s">
        <v>3025</v>
      </c>
      <c r="D183" s="9" t="s">
        <v>3026</v>
      </c>
      <c r="E183" s="9" t="s">
        <v>21</v>
      </c>
      <c r="F183" s="9" t="s">
        <v>22</v>
      </c>
      <c r="G183" s="9">
        <v>389</v>
      </c>
      <c r="H183" s="9" t="s">
        <v>23</v>
      </c>
      <c r="I183" s="9" t="s">
        <v>82</v>
      </c>
      <c r="J183" s="9" t="s">
        <v>41</v>
      </c>
      <c r="K183" s="9" t="s">
        <v>26</v>
      </c>
      <c r="L183" s="9" t="s">
        <v>83</v>
      </c>
      <c r="M183" s="9">
        <v>5411</v>
      </c>
      <c r="N183" s="9" t="s">
        <v>83</v>
      </c>
      <c r="O183" s="9" t="s">
        <v>3027</v>
      </c>
      <c r="P183" s="9" t="s">
        <v>2476</v>
      </c>
      <c r="Q183" s="9" t="s">
        <v>2477</v>
      </c>
    </row>
    <row r="184" spans="1:17" ht="15" customHeight="1">
      <c r="A184" s="8">
        <v>183</v>
      </c>
      <c r="B184" s="8" t="s">
        <v>2472</v>
      </c>
      <c r="C184" s="8" t="s">
        <v>3028</v>
      </c>
      <c r="D184" s="8" t="s">
        <v>3029</v>
      </c>
      <c r="E184" s="8" t="s">
        <v>21</v>
      </c>
      <c r="F184" s="8" t="s">
        <v>22</v>
      </c>
      <c r="G184" s="8">
        <v>389</v>
      </c>
      <c r="H184" s="8" t="s">
        <v>23</v>
      </c>
      <c r="I184" s="8" t="s">
        <v>244</v>
      </c>
      <c r="J184" s="8" t="s">
        <v>41</v>
      </c>
      <c r="K184" s="8" t="s">
        <v>26</v>
      </c>
      <c r="L184" s="8" t="s">
        <v>245</v>
      </c>
      <c r="M184" s="8">
        <v>5411</v>
      </c>
      <c r="N184" s="8" t="s">
        <v>245</v>
      </c>
      <c r="O184" s="8" t="s">
        <v>3030</v>
      </c>
      <c r="P184" s="8" t="s">
        <v>2476</v>
      </c>
      <c r="Q184" s="8" t="s">
        <v>2477</v>
      </c>
    </row>
    <row r="185" spans="1:17" ht="15" customHeight="1">
      <c r="A185" s="9">
        <v>184</v>
      </c>
      <c r="B185" s="9" t="s">
        <v>2472</v>
      </c>
      <c r="C185" s="9" t="s">
        <v>3031</v>
      </c>
      <c r="D185" s="9" t="s">
        <v>3032</v>
      </c>
      <c r="E185" s="9" t="s">
        <v>21</v>
      </c>
      <c r="F185" s="9" t="s">
        <v>22</v>
      </c>
      <c r="G185" s="9">
        <v>388</v>
      </c>
      <c r="H185" s="9" t="s">
        <v>23</v>
      </c>
      <c r="I185" s="9" t="s">
        <v>180</v>
      </c>
      <c r="J185" s="9" t="s">
        <v>41</v>
      </c>
      <c r="K185" s="9" t="s">
        <v>26</v>
      </c>
      <c r="L185" s="9" t="s">
        <v>181</v>
      </c>
      <c r="M185" s="9">
        <v>5411</v>
      </c>
      <c r="N185" s="9" t="s">
        <v>181</v>
      </c>
      <c r="O185" s="9" t="s">
        <v>3033</v>
      </c>
      <c r="P185" s="9" t="s">
        <v>2476</v>
      </c>
      <c r="Q185" s="9" t="s">
        <v>2477</v>
      </c>
    </row>
    <row r="186" spans="1:17" ht="15" customHeight="1">
      <c r="A186" s="8">
        <v>185</v>
      </c>
      <c r="B186" s="8" t="s">
        <v>2472</v>
      </c>
      <c r="C186" s="8" t="s">
        <v>3034</v>
      </c>
      <c r="D186" s="8" t="s">
        <v>3035</v>
      </c>
      <c r="E186" s="8" t="s">
        <v>21</v>
      </c>
      <c r="F186" s="8" t="s">
        <v>22</v>
      </c>
      <c r="G186" s="8">
        <v>207</v>
      </c>
      <c r="H186" s="8" t="s">
        <v>23</v>
      </c>
      <c r="I186" s="8" t="s">
        <v>74</v>
      </c>
      <c r="J186" s="8" t="s">
        <v>41</v>
      </c>
      <c r="K186" s="8" t="s">
        <v>26</v>
      </c>
      <c r="L186" s="8" t="s">
        <v>75</v>
      </c>
      <c r="M186" s="8">
        <v>5812</v>
      </c>
      <c r="N186" s="8" t="s">
        <v>75</v>
      </c>
      <c r="O186" s="8" t="s">
        <v>3036</v>
      </c>
      <c r="P186" s="8" t="s">
        <v>2476</v>
      </c>
      <c r="Q186" s="8" t="s">
        <v>2477</v>
      </c>
    </row>
    <row r="187" spans="1:17" ht="15" customHeight="1">
      <c r="A187" s="9">
        <v>186</v>
      </c>
      <c r="B187" s="9" t="s">
        <v>2472</v>
      </c>
      <c r="C187" s="9" t="s">
        <v>3037</v>
      </c>
      <c r="D187" s="9" t="s">
        <v>3038</v>
      </c>
      <c r="E187" s="9" t="s">
        <v>21</v>
      </c>
      <c r="F187" s="9" t="s">
        <v>22</v>
      </c>
      <c r="G187" s="9">
        <v>388</v>
      </c>
      <c r="H187" s="9" t="s">
        <v>23</v>
      </c>
      <c r="I187" s="9" t="s">
        <v>131</v>
      </c>
      <c r="J187" s="9" t="s">
        <v>41</v>
      </c>
      <c r="K187" s="9" t="s">
        <v>26</v>
      </c>
      <c r="L187" s="9" t="s">
        <v>132</v>
      </c>
      <c r="M187" s="9">
        <v>5411</v>
      </c>
      <c r="N187" s="9" t="s">
        <v>132</v>
      </c>
      <c r="O187" s="9" t="s">
        <v>3039</v>
      </c>
      <c r="P187" s="9" t="s">
        <v>2476</v>
      </c>
      <c r="Q187" s="9" t="s">
        <v>2477</v>
      </c>
    </row>
    <row r="188" spans="1:17" ht="15" customHeight="1">
      <c r="A188" s="8">
        <v>187</v>
      </c>
      <c r="B188" s="8" t="s">
        <v>2472</v>
      </c>
      <c r="C188" s="8" t="s">
        <v>3040</v>
      </c>
      <c r="D188" s="8" t="s">
        <v>3041</v>
      </c>
      <c r="E188" s="8" t="s">
        <v>21</v>
      </c>
      <c r="F188" s="8" t="s">
        <v>22</v>
      </c>
      <c r="G188" s="8">
        <v>658</v>
      </c>
      <c r="H188" s="8" t="s">
        <v>23</v>
      </c>
      <c r="I188" s="8" t="s">
        <v>70</v>
      </c>
      <c r="J188" s="8" t="s">
        <v>41</v>
      </c>
      <c r="K188" s="8" t="s">
        <v>26</v>
      </c>
      <c r="L188" s="8" t="s">
        <v>71</v>
      </c>
      <c r="M188" s="8">
        <v>5541</v>
      </c>
      <c r="N188" s="8" t="s">
        <v>71</v>
      </c>
      <c r="O188" s="8" t="s">
        <v>3042</v>
      </c>
      <c r="P188" s="8" t="s">
        <v>2476</v>
      </c>
      <c r="Q188" s="8" t="s">
        <v>2477</v>
      </c>
    </row>
    <row r="189" spans="1:17" ht="15" customHeight="1">
      <c r="A189" s="9">
        <v>188</v>
      </c>
      <c r="B189" s="9" t="s">
        <v>2472</v>
      </c>
      <c r="C189" s="9" t="s">
        <v>3043</v>
      </c>
      <c r="D189" s="9" t="s">
        <v>3044</v>
      </c>
      <c r="E189" s="9" t="s">
        <v>21</v>
      </c>
      <c r="F189" s="9" t="s">
        <v>22</v>
      </c>
      <c r="G189" s="9">
        <v>984</v>
      </c>
      <c r="H189" s="9" t="s">
        <v>23</v>
      </c>
      <c r="I189" s="9" t="s">
        <v>24</v>
      </c>
      <c r="J189" s="9" t="s">
        <v>25</v>
      </c>
      <c r="K189" s="9" t="s">
        <v>26</v>
      </c>
      <c r="L189" s="9" t="s">
        <v>27</v>
      </c>
      <c r="M189" s="9">
        <v>8299</v>
      </c>
      <c r="N189" s="9" t="s">
        <v>27</v>
      </c>
      <c r="O189" s="9" t="s">
        <v>3045</v>
      </c>
      <c r="P189" s="9" t="s">
        <v>2476</v>
      </c>
      <c r="Q189" s="9" t="s">
        <v>2477</v>
      </c>
    </row>
    <row r="190" spans="1:17" ht="15" customHeight="1">
      <c r="A190" s="8">
        <v>189</v>
      </c>
      <c r="B190" s="8" t="s">
        <v>2472</v>
      </c>
      <c r="C190" s="8" t="s">
        <v>3046</v>
      </c>
      <c r="D190" s="8" t="s">
        <v>3047</v>
      </c>
      <c r="E190" s="8" t="s">
        <v>21</v>
      </c>
      <c r="F190" s="8" t="s">
        <v>22</v>
      </c>
      <c r="G190" s="8">
        <v>1079</v>
      </c>
      <c r="H190" s="8" t="s">
        <v>23</v>
      </c>
      <c r="I190" s="8" t="s">
        <v>866</v>
      </c>
      <c r="J190" s="8" t="s">
        <v>25</v>
      </c>
      <c r="K190" s="8" t="s">
        <v>26</v>
      </c>
      <c r="L190" s="8" t="s">
        <v>867</v>
      </c>
      <c r="M190" s="8">
        <v>5999</v>
      </c>
      <c r="N190" s="8" t="s">
        <v>867</v>
      </c>
      <c r="O190" s="8" t="s">
        <v>3048</v>
      </c>
      <c r="P190" s="8" t="s">
        <v>2476</v>
      </c>
      <c r="Q190" s="8" t="s">
        <v>2477</v>
      </c>
    </row>
    <row r="191" spans="1:17" ht="15" customHeight="1">
      <c r="A191" s="9">
        <v>190</v>
      </c>
      <c r="B191" s="9" t="s">
        <v>2472</v>
      </c>
      <c r="C191" s="9" t="s">
        <v>3049</v>
      </c>
      <c r="D191" s="9" t="s">
        <v>3050</v>
      </c>
      <c r="E191" s="9" t="s">
        <v>21</v>
      </c>
      <c r="F191" s="9" t="s">
        <v>22</v>
      </c>
      <c r="G191" s="9">
        <v>208</v>
      </c>
      <c r="H191" s="9" t="s">
        <v>23</v>
      </c>
      <c r="I191" s="9" t="s">
        <v>52</v>
      </c>
      <c r="J191" s="9" t="s">
        <v>41</v>
      </c>
      <c r="K191" s="9" t="s">
        <v>26</v>
      </c>
      <c r="L191" s="9" t="s">
        <v>53</v>
      </c>
      <c r="M191" s="9">
        <v>5812</v>
      </c>
      <c r="N191" s="9" t="s">
        <v>53</v>
      </c>
      <c r="O191" s="9" t="s">
        <v>3051</v>
      </c>
      <c r="P191" s="9" t="s">
        <v>2476</v>
      </c>
      <c r="Q191" s="9" t="s">
        <v>2477</v>
      </c>
    </row>
    <row r="192" spans="1:17" ht="15" customHeight="1">
      <c r="A192" s="8">
        <v>191</v>
      </c>
      <c r="B192" s="8" t="s">
        <v>2472</v>
      </c>
      <c r="C192" s="8" t="s">
        <v>3052</v>
      </c>
      <c r="D192" s="8" t="s">
        <v>3053</v>
      </c>
      <c r="E192" s="8" t="s">
        <v>21</v>
      </c>
      <c r="F192" s="8" t="s">
        <v>22</v>
      </c>
      <c r="G192" s="8">
        <v>738</v>
      </c>
      <c r="H192" s="8" t="s">
        <v>23</v>
      </c>
      <c r="I192" s="8" t="s">
        <v>186</v>
      </c>
      <c r="J192" s="8" t="s">
        <v>41</v>
      </c>
      <c r="K192" s="8" t="s">
        <v>26</v>
      </c>
      <c r="L192" s="8" t="s">
        <v>187</v>
      </c>
      <c r="M192" s="8">
        <v>5999</v>
      </c>
      <c r="N192" s="8" t="s">
        <v>187</v>
      </c>
      <c r="O192" s="8" t="s">
        <v>3054</v>
      </c>
      <c r="P192" s="8" t="s">
        <v>2476</v>
      </c>
      <c r="Q192" s="8" t="s">
        <v>2477</v>
      </c>
    </row>
    <row r="193" spans="1:17" ht="15" customHeight="1">
      <c r="A193" s="9">
        <v>192</v>
      </c>
      <c r="B193" s="9" t="s">
        <v>2472</v>
      </c>
      <c r="C193" s="9" t="s">
        <v>3055</v>
      </c>
      <c r="D193" s="9" t="s">
        <v>3056</v>
      </c>
      <c r="E193" s="9" t="s">
        <v>21</v>
      </c>
      <c r="F193" s="9" t="s">
        <v>22</v>
      </c>
      <c r="G193" s="9">
        <v>905</v>
      </c>
      <c r="H193" s="9" t="s">
        <v>23</v>
      </c>
      <c r="I193" s="9" t="s">
        <v>198</v>
      </c>
      <c r="J193" s="9" t="s">
        <v>36</v>
      </c>
      <c r="K193" s="9" t="s">
        <v>26</v>
      </c>
      <c r="L193" s="9" t="s">
        <v>199</v>
      </c>
      <c r="M193" s="9">
        <v>4900</v>
      </c>
      <c r="N193" s="9" t="s">
        <v>199</v>
      </c>
      <c r="O193" s="9" t="s">
        <v>3057</v>
      </c>
      <c r="P193" s="9" t="s">
        <v>2476</v>
      </c>
      <c r="Q193" s="9" t="s">
        <v>2477</v>
      </c>
    </row>
    <row r="194" spans="1:17" ht="15" customHeight="1">
      <c r="A194" s="8">
        <v>193</v>
      </c>
      <c r="B194" s="8" t="s">
        <v>2472</v>
      </c>
      <c r="C194" s="8" t="s">
        <v>3058</v>
      </c>
      <c r="D194" s="8" t="s">
        <v>3059</v>
      </c>
      <c r="E194" s="8" t="s">
        <v>21</v>
      </c>
      <c r="F194" s="8" t="s">
        <v>22</v>
      </c>
      <c r="G194" s="8">
        <v>1468</v>
      </c>
      <c r="H194" s="8" t="s">
        <v>23</v>
      </c>
      <c r="I194" s="8" t="s">
        <v>56</v>
      </c>
      <c r="J194" s="8" t="s">
        <v>41</v>
      </c>
      <c r="K194" s="8" t="s">
        <v>26</v>
      </c>
      <c r="L194" s="8" t="s">
        <v>57</v>
      </c>
      <c r="M194" s="8">
        <v>5999</v>
      </c>
      <c r="N194" s="8" t="s">
        <v>57</v>
      </c>
      <c r="O194" s="8" t="s">
        <v>3060</v>
      </c>
      <c r="P194" s="8" t="s">
        <v>2476</v>
      </c>
      <c r="Q194" s="8" t="s">
        <v>2477</v>
      </c>
    </row>
    <row r="195" spans="1:17" ht="15" customHeight="1">
      <c r="A195" s="9">
        <v>194</v>
      </c>
      <c r="B195" s="9" t="s">
        <v>2472</v>
      </c>
      <c r="C195" s="9" t="s">
        <v>3061</v>
      </c>
      <c r="D195" s="9" t="s">
        <v>3062</v>
      </c>
      <c r="E195" s="9" t="s">
        <v>21</v>
      </c>
      <c r="F195" s="9" t="s">
        <v>22</v>
      </c>
      <c r="G195" s="9">
        <v>207</v>
      </c>
      <c r="H195" s="9" t="s">
        <v>23</v>
      </c>
      <c r="I195" s="9" t="s">
        <v>217</v>
      </c>
      <c r="J195" s="9" t="s">
        <v>41</v>
      </c>
      <c r="K195" s="9" t="s">
        <v>26</v>
      </c>
      <c r="L195" s="9" t="s">
        <v>218</v>
      </c>
      <c r="M195" s="9">
        <v>5812</v>
      </c>
      <c r="N195" s="9" t="s">
        <v>218</v>
      </c>
      <c r="O195" s="9" t="s">
        <v>3063</v>
      </c>
      <c r="P195" s="9" t="s">
        <v>2476</v>
      </c>
      <c r="Q195" s="9" t="s">
        <v>2477</v>
      </c>
    </row>
    <row r="196" spans="1:17" ht="15" customHeight="1">
      <c r="A196" s="8">
        <v>195</v>
      </c>
      <c r="B196" s="8" t="s">
        <v>2472</v>
      </c>
      <c r="C196" s="8" t="s">
        <v>3064</v>
      </c>
      <c r="D196" s="8" t="s">
        <v>3065</v>
      </c>
      <c r="E196" s="8" t="s">
        <v>94</v>
      </c>
      <c r="F196" s="8" t="s">
        <v>22</v>
      </c>
      <c r="G196" s="8">
        <v>13400</v>
      </c>
      <c r="H196" s="8" t="s">
        <v>23</v>
      </c>
      <c r="I196" s="8" t="s">
        <v>2534</v>
      </c>
      <c r="J196" s="8" t="s">
        <v>96</v>
      </c>
      <c r="K196" s="8" t="s">
        <v>97</v>
      </c>
      <c r="L196" s="8" t="s">
        <v>2476</v>
      </c>
      <c r="M196" s="8"/>
      <c r="N196" s="8" t="s">
        <v>2476</v>
      </c>
      <c r="O196" s="8" t="s">
        <v>3066</v>
      </c>
      <c r="P196" s="8" t="s">
        <v>2476</v>
      </c>
      <c r="Q196" s="8" t="s">
        <v>2477</v>
      </c>
    </row>
    <row r="197" spans="1:17" ht="15" customHeight="1">
      <c r="A197" s="9">
        <v>196</v>
      </c>
      <c r="B197" s="9" t="s">
        <v>2472</v>
      </c>
      <c r="C197" s="9" t="s">
        <v>3067</v>
      </c>
      <c r="D197" s="9" t="s">
        <v>3068</v>
      </c>
      <c r="E197" s="9" t="s">
        <v>21</v>
      </c>
      <c r="F197" s="9" t="s">
        <v>22</v>
      </c>
      <c r="G197" s="9">
        <v>208</v>
      </c>
      <c r="H197" s="9" t="s">
        <v>23</v>
      </c>
      <c r="I197" s="9" t="s">
        <v>217</v>
      </c>
      <c r="J197" s="9" t="s">
        <v>41</v>
      </c>
      <c r="K197" s="9" t="s">
        <v>26</v>
      </c>
      <c r="L197" s="9" t="s">
        <v>218</v>
      </c>
      <c r="M197" s="9">
        <v>5812</v>
      </c>
      <c r="N197" s="9" t="s">
        <v>218</v>
      </c>
      <c r="O197" s="9" t="s">
        <v>3069</v>
      </c>
      <c r="P197" s="9" t="s">
        <v>2476</v>
      </c>
      <c r="Q197" s="9" t="s">
        <v>2477</v>
      </c>
    </row>
    <row r="198" spans="1:17" ht="15" customHeight="1">
      <c r="A198" s="8">
        <v>197</v>
      </c>
      <c r="B198" s="8" t="s">
        <v>2472</v>
      </c>
      <c r="C198" s="8" t="s">
        <v>3070</v>
      </c>
      <c r="D198" s="8" t="s">
        <v>3071</v>
      </c>
      <c r="E198" s="8" t="s">
        <v>21</v>
      </c>
      <c r="F198" s="8" t="s">
        <v>22</v>
      </c>
      <c r="G198" s="8">
        <v>1400</v>
      </c>
      <c r="H198" s="8" t="s">
        <v>23</v>
      </c>
      <c r="I198" s="8" t="s">
        <v>2484</v>
      </c>
      <c r="J198" s="8" t="s">
        <v>36</v>
      </c>
      <c r="K198" s="8" t="s">
        <v>26</v>
      </c>
      <c r="L198" s="8" t="s">
        <v>2485</v>
      </c>
      <c r="M198" s="8">
        <v>6012</v>
      </c>
      <c r="N198" s="8" t="s">
        <v>2485</v>
      </c>
      <c r="O198" s="8" t="s">
        <v>3072</v>
      </c>
      <c r="P198" s="8" t="s">
        <v>2476</v>
      </c>
      <c r="Q198" s="8" t="s">
        <v>2477</v>
      </c>
    </row>
    <row r="199" spans="1:17" ht="15" customHeight="1">
      <c r="A199" s="9">
        <v>198</v>
      </c>
      <c r="B199" s="9" t="s">
        <v>2472</v>
      </c>
      <c r="C199" s="9" t="s">
        <v>3073</v>
      </c>
      <c r="D199" s="9" t="s">
        <v>3074</v>
      </c>
      <c r="E199" s="9" t="s">
        <v>21</v>
      </c>
      <c r="F199" s="9" t="s">
        <v>22</v>
      </c>
      <c r="G199" s="9">
        <v>1192</v>
      </c>
      <c r="H199" s="9" t="s">
        <v>23</v>
      </c>
      <c r="I199" s="9" t="s">
        <v>24</v>
      </c>
      <c r="J199" s="9" t="s">
        <v>25</v>
      </c>
      <c r="K199" s="9" t="s">
        <v>26</v>
      </c>
      <c r="L199" s="9" t="s">
        <v>27</v>
      </c>
      <c r="M199" s="9">
        <v>8299</v>
      </c>
      <c r="N199" s="9" t="s">
        <v>27</v>
      </c>
      <c r="O199" s="9" t="s">
        <v>3075</v>
      </c>
      <c r="P199" s="9" t="s">
        <v>2476</v>
      </c>
      <c r="Q199" s="9" t="s">
        <v>2477</v>
      </c>
    </row>
    <row r="200" spans="1:17" ht="15" customHeight="1">
      <c r="A200" s="8">
        <v>199</v>
      </c>
      <c r="B200" s="8" t="s">
        <v>2472</v>
      </c>
      <c r="C200" s="8" t="s">
        <v>3076</v>
      </c>
      <c r="D200" s="8" t="s">
        <v>3077</v>
      </c>
      <c r="E200" s="8" t="s">
        <v>21</v>
      </c>
      <c r="F200" s="8" t="s">
        <v>22</v>
      </c>
      <c r="G200" s="8">
        <v>524</v>
      </c>
      <c r="H200" s="8" t="s">
        <v>23</v>
      </c>
      <c r="I200" s="8" t="s">
        <v>159</v>
      </c>
      <c r="J200" s="8" t="s">
        <v>25</v>
      </c>
      <c r="K200" s="8" t="s">
        <v>26</v>
      </c>
      <c r="L200" s="8" t="s">
        <v>160</v>
      </c>
      <c r="M200" s="8">
        <v>5999</v>
      </c>
      <c r="N200" s="8" t="s">
        <v>160</v>
      </c>
      <c r="O200" s="8" t="s">
        <v>3078</v>
      </c>
      <c r="P200" s="8" t="s">
        <v>2476</v>
      </c>
      <c r="Q200" s="8" t="s">
        <v>2477</v>
      </c>
    </row>
    <row r="201" spans="1:17" ht="15" customHeight="1">
      <c r="A201" s="9">
        <v>200</v>
      </c>
      <c r="B201" s="9" t="s">
        <v>2472</v>
      </c>
      <c r="C201" s="9" t="s">
        <v>3079</v>
      </c>
      <c r="D201" s="9" t="s">
        <v>3080</v>
      </c>
      <c r="E201" s="9" t="s">
        <v>21</v>
      </c>
      <c r="F201" s="9" t="s">
        <v>22</v>
      </c>
      <c r="G201" s="9">
        <v>400</v>
      </c>
      <c r="H201" s="9" t="s">
        <v>23</v>
      </c>
      <c r="I201" s="9" t="s">
        <v>351</v>
      </c>
      <c r="J201" s="9" t="s">
        <v>36</v>
      </c>
      <c r="K201" s="9" t="s">
        <v>26</v>
      </c>
      <c r="L201" s="9" t="s">
        <v>352</v>
      </c>
      <c r="M201" s="9">
        <v>4813</v>
      </c>
      <c r="N201" s="9" t="s">
        <v>352</v>
      </c>
      <c r="O201" s="9" t="s">
        <v>3081</v>
      </c>
      <c r="P201" s="9" t="s">
        <v>2476</v>
      </c>
      <c r="Q201" s="9" t="s">
        <v>2477</v>
      </c>
    </row>
    <row r="202" spans="1:17" ht="15" customHeight="1">
      <c r="A202" s="8">
        <v>201</v>
      </c>
      <c r="B202" s="8" t="s">
        <v>2472</v>
      </c>
      <c r="C202" s="8" t="s">
        <v>3082</v>
      </c>
      <c r="D202" s="8" t="s">
        <v>3083</v>
      </c>
      <c r="E202" s="8" t="s">
        <v>21</v>
      </c>
      <c r="F202" s="8" t="s">
        <v>22</v>
      </c>
      <c r="G202" s="8">
        <v>940</v>
      </c>
      <c r="H202" s="8" t="s">
        <v>23</v>
      </c>
      <c r="I202" s="8" t="s">
        <v>498</v>
      </c>
      <c r="J202" s="8" t="s">
        <v>36</v>
      </c>
      <c r="K202" s="8" t="s">
        <v>26</v>
      </c>
      <c r="L202" s="8" t="s">
        <v>499</v>
      </c>
      <c r="M202" s="8">
        <v>4900</v>
      </c>
      <c r="N202" s="8" t="s">
        <v>499</v>
      </c>
      <c r="O202" s="8" t="s">
        <v>3084</v>
      </c>
      <c r="P202" s="8" t="s">
        <v>2476</v>
      </c>
      <c r="Q202" s="8" t="s">
        <v>2477</v>
      </c>
    </row>
    <row r="203" spans="1:17" ht="15" customHeight="1">
      <c r="A203" s="9">
        <v>202</v>
      </c>
      <c r="B203" s="9" t="s">
        <v>2472</v>
      </c>
      <c r="C203" s="9" t="s">
        <v>3085</v>
      </c>
      <c r="D203" s="9" t="s">
        <v>3086</v>
      </c>
      <c r="E203" s="9" t="s">
        <v>21</v>
      </c>
      <c r="F203" s="9" t="s">
        <v>22</v>
      </c>
      <c r="G203" s="9">
        <v>558</v>
      </c>
      <c r="H203" s="9" t="s">
        <v>23</v>
      </c>
      <c r="I203" s="9" t="s">
        <v>82</v>
      </c>
      <c r="J203" s="9" t="s">
        <v>41</v>
      </c>
      <c r="K203" s="9" t="s">
        <v>26</v>
      </c>
      <c r="L203" s="9" t="s">
        <v>83</v>
      </c>
      <c r="M203" s="9">
        <v>5411</v>
      </c>
      <c r="N203" s="9" t="s">
        <v>83</v>
      </c>
      <c r="O203" s="9" t="s">
        <v>3087</v>
      </c>
      <c r="P203" s="9" t="s">
        <v>2476</v>
      </c>
      <c r="Q203" s="9" t="s">
        <v>2477</v>
      </c>
    </row>
    <row r="204" spans="1:17" ht="15" customHeight="1">
      <c r="A204" s="8">
        <v>203</v>
      </c>
      <c r="B204" s="8" t="s">
        <v>2472</v>
      </c>
      <c r="C204" s="8" t="s">
        <v>3088</v>
      </c>
      <c r="D204" s="8" t="s">
        <v>3089</v>
      </c>
      <c r="E204" s="8" t="s">
        <v>21</v>
      </c>
      <c r="F204" s="8" t="s">
        <v>22</v>
      </c>
      <c r="G204" s="8">
        <v>788</v>
      </c>
      <c r="H204" s="8" t="s">
        <v>23</v>
      </c>
      <c r="I204" s="8" t="s">
        <v>111</v>
      </c>
      <c r="J204" s="8" t="s">
        <v>41</v>
      </c>
      <c r="K204" s="8" t="s">
        <v>26</v>
      </c>
      <c r="L204" s="8" t="s">
        <v>112</v>
      </c>
      <c r="M204" s="8">
        <v>5541</v>
      </c>
      <c r="N204" s="8" t="s">
        <v>112</v>
      </c>
      <c r="O204" s="8" t="s">
        <v>3090</v>
      </c>
      <c r="P204" s="8" t="s">
        <v>2476</v>
      </c>
      <c r="Q204" s="8" t="s">
        <v>2477</v>
      </c>
    </row>
    <row r="205" spans="1:17" ht="15" customHeight="1">
      <c r="A205" s="9">
        <v>204</v>
      </c>
      <c r="B205" s="9" t="s">
        <v>2472</v>
      </c>
      <c r="C205" s="9" t="s">
        <v>3091</v>
      </c>
      <c r="D205" s="9" t="s">
        <v>3092</v>
      </c>
      <c r="E205" s="9" t="s">
        <v>21</v>
      </c>
      <c r="F205" s="9" t="s">
        <v>22</v>
      </c>
      <c r="G205" s="9">
        <v>290</v>
      </c>
      <c r="H205" s="9" t="s">
        <v>23</v>
      </c>
      <c r="I205" s="9" t="s">
        <v>138</v>
      </c>
      <c r="J205" s="9" t="s">
        <v>41</v>
      </c>
      <c r="K205" s="9" t="s">
        <v>26</v>
      </c>
      <c r="L205" s="9" t="s">
        <v>139</v>
      </c>
      <c r="M205" s="9">
        <v>5812</v>
      </c>
      <c r="N205" s="9" t="s">
        <v>139</v>
      </c>
      <c r="O205" s="9" t="s">
        <v>3093</v>
      </c>
      <c r="P205" s="9" t="s">
        <v>2476</v>
      </c>
      <c r="Q205" s="9" t="s">
        <v>2477</v>
      </c>
    </row>
    <row r="206" spans="1:17" ht="15" customHeight="1">
      <c r="A206" s="8">
        <v>205</v>
      </c>
      <c r="B206" s="8" t="s">
        <v>2472</v>
      </c>
      <c r="C206" s="8" t="s">
        <v>3094</v>
      </c>
      <c r="D206" s="8" t="s">
        <v>3095</v>
      </c>
      <c r="E206" s="8" t="s">
        <v>21</v>
      </c>
      <c r="F206" s="8" t="s">
        <v>22</v>
      </c>
      <c r="G206" s="8">
        <v>558</v>
      </c>
      <c r="H206" s="8" t="s">
        <v>23</v>
      </c>
      <c r="I206" s="8" t="s">
        <v>379</v>
      </c>
      <c r="J206" s="8" t="s">
        <v>41</v>
      </c>
      <c r="K206" s="8" t="s">
        <v>26</v>
      </c>
      <c r="L206" s="8" t="s">
        <v>380</v>
      </c>
      <c r="M206" s="8">
        <v>5411</v>
      </c>
      <c r="N206" s="8" t="s">
        <v>380</v>
      </c>
      <c r="O206" s="8" t="s">
        <v>3096</v>
      </c>
      <c r="P206" s="8" t="s">
        <v>2476</v>
      </c>
      <c r="Q206" s="8" t="s">
        <v>2477</v>
      </c>
    </row>
    <row r="207" spans="1:17" ht="15" customHeight="1">
      <c r="A207" s="9">
        <v>206</v>
      </c>
      <c r="B207" s="9" t="s">
        <v>2472</v>
      </c>
      <c r="C207" s="9" t="s">
        <v>3097</v>
      </c>
      <c r="D207" s="9" t="s">
        <v>3098</v>
      </c>
      <c r="E207" s="9" t="s">
        <v>21</v>
      </c>
      <c r="F207" s="9" t="s">
        <v>22</v>
      </c>
      <c r="G207" s="9">
        <v>636</v>
      </c>
      <c r="H207" s="9" t="s">
        <v>23</v>
      </c>
      <c r="I207" s="9" t="s">
        <v>143</v>
      </c>
      <c r="J207" s="9" t="s">
        <v>41</v>
      </c>
      <c r="K207" s="9" t="s">
        <v>26</v>
      </c>
      <c r="L207" s="9" t="s">
        <v>144</v>
      </c>
      <c r="M207" s="9">
        <v>7996</v>
      </c>
      <c r="N207" s="9" t="s">
        <v>144</v>
      </c>
      <c r="O207" s="9" t="s">
        <v>3099</v>
      </c>
      <c r="P207" s="9" t="s">
        <v>2476</v>
      </c>
      <c r="Q207" s="9" t="s">
        <v>2477</v>
      </c>
    </row>
    <row r="208" spans="1:17" ht="15" customHeight="1">
      <c r="A208" s="8">
        <v>207</v>
      </c>
      <c r="B208" s="8" t="s">
        <v>2472</v>
      </c>
      <c r="C208" s="8" t="s">
        <v>3100</v>
      </c>
      <c r="D208" s="8" t="s">
        <v>3101</v>
      </c>
      <c r="E208" s="8" t="s">
        <v>21</v>
      </c>
      <c r="F208" s="8" t="s">
        <v>22</v>
      </c>
      <c r="G208" s="8">
        <v>289</v>
      </c>
      <c r="H208" s="8" t="s">
        <v>23</v>
      </c>
      <c r="I208" s="8" t="s">
        <v>138</v>
      </c>
      <c r="J208" s="8" t="s">
        <v>41</v>
      </c>
      <c r="K208" s="8" t="s">
        <v>26</v>
      </c>
      <c r="L208" s="8" t="s">
        <v>139</v>
      </c>
      <c r="M208" s="8">
        <v>5812</v>
      </c>
      <c r="N208" s="8" t="s">
        <v>139</v>
      </c>
      <c r="O208" s="8" t="s">
        <v>3102</v>
      </c>
      <c r="P208" s="8" t="s">
        <v>2476</v>
      </c>
      <c r="Q208" s="8" t="s">
        <v>2477</v>
      </c>
    </row>
    <row r="209" spans="1:17" ht="15" customHeight="1">
      <c r="A209" s="9">
        <v>208</v>
      </c>
      <c r="B209" s="9" t="s">
        <v>2472</v>
      </c>
      <c r="C209" s="9" t="s">
        <v>3103</v>
      </c>
      <c r="D209" s="9" t="s">
        <v>3104</v>
      </c>
      <c r="E209" s="9" t="s">
        <v>21</v>
      </c>
      <c r="F209" s="9" t="s">
        <v>22</v>
      </c>
      <c r="G209" s="9">
        <v>290</v>
      </c>
      <c r="H209" s="9" t="s">
        <v>23</v>
      </c>
      <c r="I209" s="9" t="s">
        <v>340</v>
      </c>
      <c r="J209" s="9" t="s">
        <v>41</v>
      </c>
      <c r="K209" s="9" t="s">
        <v>26</v>
      </c>
      <c r="L209" s="9" t="s">
        <v>341</v>
      </c>
      <c r="M209" s="9">
        <v>5812</v>
      </c>
      <c r="N209" s="9" t="s">
        <v>341</v>
      </c>
      <c r="O209" s="9" t="s">
        <v>3105</v>
      </c>
      <c r="P209" s="9" t="s">
        <v>2476</v>
      </c>
      <c r="Q209" s="9" t="s">
        <v>2477</v>
      </c>
    </row>
    <row r="210" spans="1:17" ht="15" customHeight="1">
      <c r="A210" s="8">
        <v>209</v>
      </c>
      <c r="B210" s="8" t="s">
        <v>2472</v>
      </c>
      <c r="C210" s="8" t="s">
        <v>3106</v>
      </c>
      <c r="D210" s="8" t="s">
        <v>3107</v>
      </c>
      <c r="E210" s="8" t="s">
        <v>21</v>
      </c>
      <c r="F210" s="8" t="s">
        <v>22</v>
      </c>
      <c r="G210" s="8">
        <v>410</v>
      </c>
      <c r="H210" s="8" t="s">
        <v>23</v>
      </c>
      <c r="I210" s="8" t="s">
        <v>152</v>
      </c>
      <c r="J210" s="8" t="s">
        <v>41</v>
      </c>
      <c r="K210" s="8" t="s">
        <v>26</v>
      </c>
      <c r="L210" s="8" t="s">
        <v>153</v>
      </c>
      <c r="M210" s="8">
        <v>8011</v>
      </c>
      <c r="N210" s="8" t="s">
        <v>153</v>
      </c>
      <c r="O210" s="8" t="s">
        <v>3108</v>
      </c>
      <c r="P210" s="8" t="s">
        <v>2476</v>
      </c>
      <c r="Q210" s="8" t="s">
        <v>2477</v>
      </c>
    </row>
    <row r="211" spans="1:17" ht="15" customHeight="1">
      <c r="A211" s="9">
        <v>210</v>
      </c>
      <c r="B211" s="9" t="s">
        <v>2472</v>
      </c>
      <c r="C211" s="9" t="s">
        <v>3109</v>
      </c>
      <c r="D211" s="9" t="s">
        <v>3110</v>
      </c>
      <c r="E211" s="9" t="s">
        <v>94</v>
      </c>
      <c r="F211" s="9" t="s">
        <v>22</v>
      </c>
      <c r="G211" s="9">
        <v>13600</v>
      </c>
      <c r="H211" s="9" t="s">
        <v>23</v>
      </c>
      <c r="I211" s="9" t="s">
        <v>2534</v>
      </c>
      <c r="J211" s="9" t="s">
        <v>96</v>
      </c>
      <c r="K211" s="9" t="s">
        <v>97</v>
      </c>
      <c r="L211" s="9" t="s">
        <v>2476</v>
      </c>
      <c r="M211" s="9"/>
      <c r="N211" s="9" t="s">
        <v>2476</v>
      </c>
      <c r="O211" s="9" t="s">
        <v>3111</v>
      </c>
      <c r="P211" s="9" t="s">
        <v>2476</v>
      </c>
      <c r="Q211" s="9" t="s">
        <v>2477</v>
      </c>
    </row>
    <row r="212" spans="1:17" ht="15" customHeight="1">
      <c r="A212" s="8">
        <v>211</v>
      </c>
      <c r="B212" s="8" t="s">
        <v>2472</v>
      </c>
      <c r="C212" s="8" t="s">
        <v>3112</v>
      </c>
      <c r="D212" s="8" t="s">
        <v>3113</v>
      </c>
      <c r="E212" s="8" t="s">
        <v>21</v>
      </c>
      <c r="F212" s="8" t="s">
        <v>22</v>
      </c>
      <c r="G212" s="8">
        <v>525</v>
      </c>
      <c r="H212" s="8" t="s">
        <v>23</v>
      </c>
      <c r="I212" s="8" t="s">
        <v>159</v>
      </c>
      <c r="J212" s="8" t="s">
        <v>25</v>
      </c>
      <c r="K212" s="8" t="s">
        <v>26</v>
      </c>
      <c r="L212" s="8" t="s">
        <v>160</v>
      </c>
      <c r="M212" s="8">
        <v>5999</v>
      </c>
      <c r="N212" s="8" t="s">
        <v>160</v>
      </c>
      <c r="O212" s="8" t="s">
        <v>3114</v>
      </c>
      <c r="P212" s="8" t="s">
        <v>2476</v>
      </c>
      <c r="Q212" s="8" t="s">
        <v>2477</v>
      </c>
    </row>
    <row r="213" spans="1:17" ht="15" customHeight="1">
      <c r="A213" s="9">
        <v>212</v>
      </c>
      <c r="B213" s="9" t="s">
        <v>2472</v>
      </c>
      <c r="C213" s="9" t="s">
        <v>3115</v>
      </c>
      <c r="D213" s="9" t="s">
        <v>3116</v>
      </c>
      <c r="E213" s="9" t="s">
        <v>21</v>
      </c>
      <c r="F213" s="9" t="s">
        <v>22</v>
      </c>
      <c r="G213" s="9">
        <v>1290</v>
      </c>
      <c r="H213" s="9" t="s">
        <v>23</v>
      </c>
      <c r="I213" s="9" t="s">
        <v>56</v>
      </c>
      <c r="J213" s="9" t="s">
        <v>41</v>
      </c>
      <c r="K213" s="9" t="s">
        <v>26</v>
      </c>
      <c r="L213" s="9" t="s">
        <v>57</v>
      </c>
      <c r="M213" s="9">
        <v>5999</v>
      </c>
      <c r="N213" s="9" t="s">
        <v>57</v>
      </c>
      <c r="O213" s="9" t="s">
        <v>3117</v>
      </c>
      <c r="P213" s="9" t="s">
        <v>2476</v>
      </c>
      <c r="Q213" s="9" t="s">
        <v>2477</v>
      </c>
    </row>
    <row r="214" spans="1:17" ht="15" customHeight="1">
      <c r="A214" s="8">
        <v>213</v>
      </c>
      <c r="B214" s="8" t="s">
        <v>2472</v>
      </c>
      <c r="C214" s="8" t="s">
        <v>3118</v>
      </c>
      <c r="D214" s="8" t="s">
        <v>3119</v>
      </c>
      <c r="E214" s="8" t="s">
        <v>21</v>
      </c>
      <c r="F214" s="8" t="s">
        <v>22</v>
      </c>
      <c r="G214" s="8">
        <v>558</v>
      </c>
      <c r="H214" s="8" t="s">
        <v>23</v>
      </c>
      <c r="I214" s="8" t="s">
        <v>180</v>
      </c>
      <c r="J214" s="8" t="s">
        <v>41</v>
      </c>
      <c r="K214" s="8" t="s">
        <v>26</v>
      </c>
      <c r="L214" s="8" t="s">
        <v>181</v>
      </c>
      <c r="M214" s="8">
        <v>5411</v>
      </c>
      <c r="N214" s="8" t="s">
        <v>181</v>
      </c>
      <c r="O214" s="8" t="s">
        <v>3120</v>
      </c>
      <c r="P214" s="8" t="s">
        <v>2476</v>
      </c>
      <c r="Q214" s="8" t="s">
        <v>2477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7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9" style="5" customWidth="1"/>
    <col min="13" max="13" width="22" style="5" customWidth="1"/>
    <col min="14" max="14" width="29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3121</v>
      </c>
      <c r="T1" s="4"/>
      <c r="U1" s="4"/>
      <c r="V1" s="4"/>
      <c r="W1" s="4"/>
    </row>
    <row r="2" spans="1:23" ht="13.5" customHeight="1">
      <c r="A2" s="8">
        <v>1</v>
      </c>
      <c r="B2" s="8" t="s">
        <v>3122</v>
      </c>
      <c r="C2" s="8" t="s">
        <v>3123</v>
      </c>
      <c r="D2" s="8" t="s">
        <v>3124</v>
      </c>
      <c r="E2" s="8" t="s">
        <v>21</v>
      </c>
      <c r="F2" s="8" t="s">
        <v>22</v>
      </c>
      <c r="G2" s="8">
        <v>2200</v>
      </c>
      <c r="H2" s="8" t="s">
        <v>23</v>
      </c>
      <c r="I2" s="8" t="s">
        <v>3125</v>
      </c>
      <c r="J2" s="8" t="s">
        <v>36</v>
      </c>
      <c r="K2" s="8" t="s">
        <v>26</v>
      </c>
      <c r="L2" s="8" t="s">
        <v>3126</v>
      </c>
      <c r="M2" s="8">
        <v>6012</v>
      </c>
      <c r="N2" s="8" t="s">
        <v>3126</v>
      </c>
      <c r="O2" s="8" t="s">
        <v>3127</v>
      </c>
      <c r="P2" s="8" t="s">
        <v>1100</v>
      </c>
      <c r="Q2" s="8" t="s">
        <v>1101</v>
      </c>
      <c r="R2" s="7"/>
      <c r="S2" s="3" t="s">
        <v>3128</v>
      </c>
      <c r="T2" s="3"/>
      <c r="U2" s="3"/>
      <c r="V2" s="3"/>
      <c r="W2" s="3"/>
    </row>
    <row r="3" spans="1:23" ht="3.75" customHeight="1">
      <c r="A3" s="9">
        <v>2</v>
      </c>
      <c r="B3" s="9" t="s">
        <v>3122</v>
      </c>
      <c r="C3" s="9" t="s">
        <v>3129</v>
      </c>
      <c r="D3" s="9" t="s">
        <v>3130</v>
      </c>
      <c r="E3" s="9" t="s">
        <v>21</v>
      </c>
      <c r="F3" s="9" t="s">
        <v>22</v>
      </c>
      <c r="G3" s="9">
        <v>583</v>
      </c>
      <c r="H3" s="9" t="s">
        <v>23</v>
      </c>
      <c r="I3" s="9" t="s">
        <v>244</v>
      </c>
      <c r="J3" s="9" t="s">
        <v>41</v>
      </c>
      <c r="K3" s="9" t="s">
        <v>26</v>
      </c>
      <c r="L3" s="9" t="s">
        <v>245</v>
      </c>
      <c r="M3" s="9">
        <v>5411</v>
      </c>
      <c r="N3" s="9" t="s">
        <v>245</v>
      </c>
      <c r="O3" s="9" t="s">
        <v>3131</v>
      </c>
      <c r="P3" s="9" t="s">
        <v>1100</v>
      </c>
      <c r="Q3" s="9" t="s">
        <v>1101</v>
      </c>
      <c r="R3" s="7"/>
    </row>
    <row r="4" spans="1:23" ht="15" customHeight="1">
      <c r="A4" s="8">
        <v>3</v>
      </c>
      <c r="B4" s="8" t="s">
        <v>3122</v>
      </c>
      <c r="C4" s="8" t="s">
        <v>3132</v>
      </c>
      <c r="D4" s="8" t="s">
        <v>3133</v>
      </c>
      <c r="E4" s="8" t="s">
        <v>21</v>
      </c>
      <c r="F4" s="8" t="s">
        <v>22</v>
      </c>
      <c r="G4" s="8">
        <v>901</v>
      </c>
      <c r="H4" s="8" t="s">
        <v>23</v>
      </c>
      <c r="I4" s="8" t="s">
        <v>318</v>
      </c>
      <c r="J4" s="8" t="s">
        <v>25</v>
      </c>
      <c r="K4" s="8" t="s">
        <v>26</v>
      </c>
      <c r="L4" s="8" t="s">
        <v>319</v>
      </c>
      <c r="M4" s="8">
        <v>5999</v>
      </c>
      <c r="N4" s="8" t="s">
        <v>319</v>
      </c>
      <c r="O4" s="8" t="s">
        <v>3134</v>
      </c>
      <c r="P4" s="8" t="s">
        <v>1100</v>
      </c>
      <c r="Q4" s="8" t="s">
        <v>1101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3122</v>
      </c>
      <c r="C5" s="9" t="s">
        <v>3135</v>
      </c>
      <c r="D5" s="9" t="s">
        <v>3136</v>
      </c>
      <c r="E5" s="9" t="s">
        <v>21</v>
      </c>
      <c r="F5" s="9" t="s">
        <v>22</v>
      </c>
      <c r="G5" s="9">
        <v>584</v>
      </c>
      <c r="H5" s="9" t="s">
        <v>23</v>
      </c>
      <c r="I5" s="9" t="s">
        <v>244</v>
      </c>
      <c r="J5" s="9" t="s">
        <v>41</v>
      </c>
      <c r="K5" s="9" t="s">
        <v>26</v>
      </c>
      <c r="L5" s="9" t="s">
        <v>245</v>
      </c>
      <c r="M5" s="9">
        <v>5411</v>
      </c>
      <c r="N5" s="9" t="s">
        <v>245</v>
      </c>
      <c r="O5" s="9" t="s">
        <v>3137</v>
      </c>
      <c r="P5" s="9" t="s">
        <v>1100</v>
      </c>
      <c r="Q5" s="9" t="s">
        <v>1101</v>
      </c>
      <c r="R5" s="7"/>
      <c r="S5" s="10" t="s">
        <v>48</v>
      </c>
      <c r="T5" s="11">
        <v>33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3122</v>
      </c>
      <c r="C6" s="8" t="s">
        <v>3138</v>
      </c>
      <c r="D6" s="8" t="s">
        <v>3139</v>
      </c>
      <c r="E6" s="8" t="s">
        <v>21</v>
      </c>
      <c r="F6" s="8" t="s">
        <v>22</v>
      </c>
      <c r="G6" s="8">
        <v>480</v>
      </c>
      <c r="H6" s="8" t="s">
        <v>23</v>
      </c>
      <c r="I6" s="8" t="s">
        <v>351</v>
      </c>
      <c r="J6" s="8" t="s">
        <v>36</v>
      </c>
      <c r="K6" s="8" t="s">
        <v>26</v>
      </c>
      <c r="L6" s="8" t="s">
        <v>352</v>
      </c>
      <c r="M6" s="8">
        <v>4813</v>
      </c>
      <c r="N6" s="8" t="s">
        <v>352</v>
      </c>
      <c r="O6" s="8" t="s">
        <v>3140</v>
      </c>
      <c r="P6" s="8" t="s">
        <v>1100</v>
      </c>
      <c r="Q6" s="8" t="s">
        <v>1101</v>
      </c>
      <c r="R6" s="7"/>
    </row>
    <row r="7" spans="1:23" ht="15" customHeight="1">
      <c r="A7" s="9">
        <v>6</v>
      </c>
      <c r="B7" s="9" t="s">
        <v>3122</v>
      </c>
      <c r="C7" s="9" t="s">
        <v>3141</v>
      </c>
      <c r="D7" s="9" t="s">
        <v>3142</v>
      </c>
      <c r="E7" s="9" t="s">
        <v>21</v>
      </c>
      <c r="F7" s="9" t="s">
        <v>22</v>
      </c>
      <c r="G7" s="9">
        <v>2437</v>
      </c>
      <c r="H7" s="9" t="s">
        <v>23</v>
      </c>
      <c r="I7" s="9" t="s">
        <v>56</v>
      </c>
      <c r="J7" s="9" t="s">
        <v>41</v>
      </c>
      <c r="K7" s="9" t="s">
        <v>26</v>
      </c>
      <c r="L7" s="9" t="s">
        <v>57</v>
      </c>
      <c r="M7" s="9">
        <v>5999</v>
      </c>
      <c r="N7" s="9" t="s">
        <v>57</v>
      </c>
      <c r="O7" s="9" t="s">
        <v>3143</v>
      </c>
      <c r="P7" s="9" t="s">
        <v>1100</v>
      </c>
      <c r="Q7" s="9" t="s">
        <v>1101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3122</v>
      </c>
      <c r="C8" s="8" t="s">
        <v>3144</v>
      </c>
      <c r="D8" s="8" t="s">
        <v>3145</v>
      </c>
      <c r="E8" s="8" t="s">
        <v>21</v>
      </c>
      <c r="F8" s="8" t="s">
        <v>22</v>
      </c>
      <c r="G8" s="8">
        <v>584</v>
      </c>
      <c r="H8" s="8" t="s">
        <v>23</v>
      </c>
      <c r="I8" s="8" t="s">
        <v>180</v>
      </c>
      <c r="J8" s="8" t="s">
        <v>41</v>
      </c>
      <c r="K8" s="8" t="s">
        <v>26</v>
      </c>
      <c r="L8" s="8" t="s">
        <v>181</v>
      </c>
      <c r="M8" s="8">
        <v>5411</v>
      </c>
      <c r="N8" s="8" t="s">
        <v>181</v>
      </c>
      <c r="O8" s="8" t="s">
        <v>3146</v>
      </c>
      <c r="P8" s="8" t="s">
        <v>1100</v>
      </c>
      <c r="Q8" s="8" t="s">
        <v>1101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3122</v>
      </c>
      <c r="C9" s="9" t="s">
        <v>3147</v>
      </c>
      <c r="D9" s="9" t="s">
        <v>3148</v>
      </c>
      <c r="E9" s="9" t="s">
        <v>21</v>
      </c>
      <c r="F9" s="9" t="s">
        <v>22</v>
      </c>
      <c r="G9" s="9">
        <v>448</v>
      </c>
      <c r="H9" s="9" t="s">
        <v>23</v>
      </c>
      <c r="I9" s="9" t="s">
        <v>152</v>
      </c>
      <c r="J9" s="9" t="s">
        <v>41</v>
      </c>
      <c r="K9" s="9" t="s">
        <v>26</v>
      </c>
      <c r="L9" s="9" t="s">
        <v>153</v>
      </c>
      <c r="M9" s="9">
        <v>8011</v>
      </c>
      <c r="N9" s="9" t="s">
        <v>153</v>
      </c>
      <c r="O9" s="9" t="s">
        <v>3149</v>
      </c>
      <c r="P9" s="9" t="s">
        <v>1100</v>
      </c>
      <c r="Q9" s="9" t="s">
        <v>1101</v>
      </c>
      <c r="R9" s="7"/>
      <c r="S9" s="15">
        <v>45658</v>
      </c>
      <c r="T9" s="16">
        <f t="shared" ref="T9:T20" si="0">IFERROR(SUMPRODUCT((LEFT($C$2:$C$170,7)=TEXT(S9,"YYYY-MM"))*($E$2:$E$170="KSAOB.Credit")*($K$2:$K$170="KSAOB.Deposit")*($G$2:$G$170)),0)</f>
        <v>11200</v>
      </c>
      <c r="U9" s="16">
        <f t="shared" ref="U9:U20" si="1">IFERROR(SUMPRODUCT((LEFT($C$2:$C$170,7)=TEXT(S9,"YYYY-MM"))*($E$2:$E$170="KSAOB.Debit")*($M$2:$M$170=6012)*($G$2:$G$170)),0)</f>
        <v>2200</v>
      </c>
      <c r="V9" s="16">
        <f t="shared" ref="V9:V20" si="2">IFERROR(SUMPRODUCT((LEFT($C$2:$C$170,7)=TEXT(S9,"YYYY-MM"))*($E$2:$E$170="KSAOB.Debit")*($M$2:$M$170&lt;&gt;6012)*($G$2:$G$170)),0)</f>
        <v>8179</v>
      </c>
      <c r="W9" s="17">
        <f t="shared" ref="W9:W20" si="3">T9-U9-V9</f>
        <v>821</v>
      </c>
    </row>
    <row r="10" spans="1:23" ht="15" customHeight="1">
      <c r="A10" s="8">
        <v>9</v>
      </c>
      <c r="B10" s="8" t="s">
        <v>3122</v>
      </c>
      <c r="C10" s="8" t="s">
        <v>3150</v>
      </c>
      <c r="D10" s="8" t="s">
        <v>3151</v>
      </c>
      <c r="E10" s="8" t="s">
        <v>21</v>
      </c>
      <c r="F10" s="8" t="s">
        <v>22</v>
      </c>
      <c r="G10" s="8">
        <v>798</v>
      </c>
      <c r="H10" s="8" t="s">
        <v>23</v>
      </c>
      <c r="I10" s="8" t="s">
        <v>198</v>
      </c>
      <c r="J10" s="8" t="s">
        <v>36</v>
      </c>
      <c r="K10" s="8" t="s">
        <v>26</v>
      </c>
      <c r="L10" s="8" t="s">
        <v>199</v>
      </c>
      <c r="M10" s="8">
        <v>4900</v>
      </c>
      <c r="N10" s="8" t="s">
        <v>199</v>
      </c>
      <c r="O10" s="8" t="s">
        <v>3152</v>
      </c>
      <c r="P10" s="8" t="s">
        <v>1100</v>
      </c>
      <c r="Q10" s="8" t="s">
        <v>1101</v>
      </c>
      <c r="R10" s="7"/>
      <c r="S10" s="18">
        <v>45689</v>
      </c>
      <c r="T10" s="19">
        <f t="shared" si="0"/>
        <v>11500</v>
      </c>
      <c r="U10" s="19">
        <f t="shared" si="1"/>
        <v>2200</v>
      </c>
      <c r="V10" s="19">
        <f t="shared" si="2"/>
        <v>8395</v>
      </c>
      <c r="W10" s="20">
        <f t="shared" si="3"/>
        <v>905</v>
      </c>
    </row>
    <row r="11" spans="1:23" ht="15" customHeight="1">
      <c r="A11" s="9">
        <v>10</v>
      </c>
      <c r="B11" s="9" t="s">
        <v>3122</v>
      </c>
      <c r="C11" s="9" t="s">
        <v>3153</v>
      </c>
      <c r="D11" s="9" t="s">
        <v>3154</v>
      </c>
      <c r="E11" s="9" t="s">
        <v>94</v>
      </c>
      <c r="F11" s="9" t="s">
        <v>22</v>
      </c>
      <c r="G11" s="9">
        <v>11200</v>
      </c>
      <c r="H11" s="9" t="s">
        <v>23</v>
      </c>
      <c r="I11" s="9" t="s">
        <v>3155</v>
      </c>
      <c r="J11" s="9" t="s">
        <v>96</v>
      </c>
      <c r="K11" s="9" t="s">
        <v>97</v>
      </c>
      <c r="L11" s="9" t="s">
        <v>3156</v>
      </c>
      <c r="M11" s="9"/>
      <c r="N11" s="9" t="s">
        <v>3156</v>
      </c>
      <c r="O11" s="9" t="s">
        <v>3157</v>
      </c>
      <c r="P11" s="9" t="s">
        <v>1100</v>
      </c>
      <c r="Q11" s="9" t="s">
        <v>1101</v>
      </c>
      <c r="R11" s="7"/>
      <c r="S11" s="15">
        <v>45717</v>
      </c>
      <c r="T11" s="16">
        <f t="shared" si="0"/>
        <v>11300</v>
      </c>
      <c r="U11" s="16">
        <f t="shared" si="1"/>
        <v>2200</v>
      </c>
      <c r="V11" s="16">
        <f t="shared" si="2"/>
        <v>8249</v>
      </c>
      <c r="W11" s="17">
        <f t="shared" si="3"/>
        <v>851</v>
      </c>
    </row>
    <row r="12" spans="1:23" ht="15" customHeight="1">
      <c r="A12" s="8">
        <v>11</v>
      </c>
      <c r="B12" s="8" t="s">
        <v>3122</v>
      </c>
      <c r="C12" s="8" t="s">
        <v>3158</v>
      </c>
      <c r="D12" s="8" t="s">
        <v>3159</v>
      </c>
      <c r="E12" s="8" t="s">
        <v>21</v>
      </c>
      <c r="F12" s="8" t="s">
        <v>22</v>
      </c>
      <c r="G12" s="8">
        <v>623</v>
      </c>
      <c r="H12" s="8" t="s">
        <v>23</v>
      </c>
      <c r="I12" s="8" t="s">
        <v>70</v>
      </c>
      <c r="J12" s="8" t="s">
        <v>41</v>
      </c>
      <c r="K12" s="8" t="s">
        <v>26</v>
      </c>
      <c r="L12" s="8" t="s">
        <v>71</v>
      </c>
      <c r="M12" s="8">
        <v>5541</v>
      </c>
      <c r="N12" s="8" t="s">
        <v>71</v>
      </c>
      <c r="O12" s="8" t="s">
        <v>3160</v>
      </c>
      <c r="P12" s="8" t="s">
        <v>1100</v>
      </c>
      <c r="Q12" s="8" t="s">
        <v>1101</v>
      </c>
      <c r="R12" s="7"/>
      <c r="S12" s="18">
        <v>45748</v>
      </c>
      <c r="T12" s="19">
        <f t="shared" si="0"/>
        <v>11700</v>
      </c>
      <c r="U12" s="19">
        <f t="shared" si="1"/>
        <v>2200</v>
      </c>
      <c r="V12" s="19">
        <f t="shared" si="2"/>
        <v>8541</v>
      </c>
      <c r="W12" s="20">
        <f t="shared" si="3"/>
        <v>959</v>
      </c>
    </row>
    <row r="13" spans="1:23" ht="15" customHeight="1">
      <c r="A13" s="9">
        <v>12</v>
      </c>
      <c r="B13" s="9" t="s">
        <v>3122</v>
      </c>
      <c r="C13" s="9" t="s">
        <v>3161</v>
      </c>
      <c r="D13" s="9" t="s">
        <v>3162</v>
      </c>
      <c r="E13" s="9" t="s">
        <v>21</v>
      </c>
      <c r="F13" s="9" t="s">
        <v>22</v>
      </c>
      <c r="G13" s="9">
        <v>741</v>
      </c>
      <c r="H13" s="9" t="s">
        <v>23</v>
      </c>
      <c r="I13" s="9" t="s">
        <v>574</v>
      </c>
      <c r="J13" s="9" t="s">
        <v>41</v>
      </c>
      <c r="K13" s="9" t="s">
        <v>26</v>
      </c>
      <c r="L13" s="9" t="s">
        <v>575</v>
      </c>
      <c r="M13" s="9">
        <v>5812</v>
      </c>
      <c r="N13" s="9" t="s">
        <v>575</v>
      </c>
      <c r="O13" s="9" t="s">
        <v>3163</v>
      </c>
      <c r="P13" s="9" t="s">
        <v>1100</v>
      </c>
      <c r="Q13" s="9" t="s">
        <v>1101</v>
      </c>
      <c r="R13" s="7"/>
      <c r="S13" s="15">
        <v>45778</v>
      </c>
      <c r="T13" s="16">
        <f t="shared" si="0"/>
        <v>11400</v>
      </c>
      <c r="U13" s="16">
        <f t="shared" si="1"/>
        <v>2200</v>
      </c>
      <c r="V13" s="16">
        <f t="shared" si="2"/>
        <v>8322</v>
      </c>
      <c r="W13" s="17">
        <f t="shared" si="3"/>
        <v>878</v>
      </c>
    </row>
    <row r="14" spans="1:23" ht="15" customHeight="1">
      <c r="A14" s="8">
        <v>13</v>
      </c>
      <c r="B14" s="8" t="s">
        <v>3122</v>
      </c>
      <c r="C14" s="8" t="s">
        <v>3164</v>
      </c>
      <c r="D14" s="8" t="s">
        <v>3165</v>
      </c>
      <c r="E14" s="8" t="s">
        <v>21</v>
      </c>
      <c r="F14" s="8" t="s">
        <v>22</v>
      </c>
      <c r="G14" s="8">
        <v>717</v>
      </c>
      <c r="H14" s="8" t="s">
        <v>23</v>
      </c>
      <c r="I14" s="8" t="s">
        <v>498</v>
      </c>
      <c r="J14" s="8" t="s">
        <v>36</v>
      </c>
      <c r="K14" s="8" t="s">
        <v>26</v>
      </c>
      <c r="L14" s="8" t="s">
        <v>499</v>
      </c>
      <c r="M14" s="8">
        <v>4900</v>
      </c>
      <c r="N14" s="8" t="s">
        <v>499</v>
      </c>
      <c r="O14" s="8" t="s">
        <v>3166</v>
      </c>
      <c r="P14" s="8" t="s">
        <v>1100</v>
      </c>
      <c r="Q14" s="8" t="s">
        <v>1101</v>
      </c>
      <c r="R14" s="7"/>
      <c r="S14" s="18">
        <v>45809</v>
      </c>
      <c r="T14" s="19">
        <f t="shared" si="0"/>
        <v>11600</v>
      </c>
      <c r="U14" s="19">
        <f t="shared" si="1"/>
        <v>2200</v>
      </c>
      <c r="V14" s="19">
        <f t="shared" si="2"/>
        <v>8474</v>
      </c>
      <c r="W14" s="20">
        <f t="shared" si="3"/>
        <v>926</v>
      </c>
    </row>
    <row r="15" spans="1:23" ht="15" customHeight="1">
      <c r="A15" s="9">
        <v>14</v>
      </c>
      <c r="B15" s="9" t="s">
        <v>3122</v>
      </c>
      <c r="C15" s="9" t="s">
        <v>3167</v>
      </c>
      <c r="D15" s="9" t="s">
        <v>3168</v>
      </c>
      <c r="E15" s="9" t="s">
        <v>21</v>
      </c>
      <c r="F15" s="9" t="s">
        <v>22</v>
      </c>
      <c r="G15" s="9">
        <v>273</v>
      </c>
      <c r="H15" s="9" t="s">
        <v>23</v>
      </c>
      <c r="I15" s="9" t="s">
        <v>40</v>
      </c>
      <c r="J15" s="9" t="s">
        <v>41</v>
      </c>
      <c r="K15" s="9" t="s">
        <v>26</v>
      </c>
      <c r="L15" s="9" t="s">
        <v>42</v>
      </c>
      <c r="M15" s="9">
        <v>5812</v>
      </c>
      <c r="N15" s="9" t="s">
        <v>42</v>
      </c>
      <c r="O15" s="9" t="s">
        <v>3169</v>
      </c>
      <c r="P15" s="9" t="s">
        <v>1100</v>
      </c>
      <c r="Q15" s="9" t="s">
        <v>1101</v>
      </c>
      <c r="R15" s="7"/>
      <c r="S15" s="15">
        <v>45839</v>
      </c>
      <c r="T15" s="16">
        <f t="shared" si="0"/>
        <v>11300</v>
      </c>
      <c r="U15" s="16">
        <f t="shared" si="1"/>
        <v>2200</v>
      </c>
      <c r="V15" s="16">
        <f t="shared" si="2"/>
        <v>8249</v>
      </c>
      <c r="W15" s="17">
        <f t="shared" si="3"/>
        <v>851</v>
      </c>
    </row>
    <row r="16" spans="1:23" ht="15" customHeight="1">
      <c r="A16" s="8">
        <v>15</v>
      </c>
      <c r="B16" s="8" t="s">
        <v>3122</v>
      </c>
      <c r="C16" s="8" t="s">
        <v>3170</v>
      </c>
      <c r="D16" s="8" t="s">
        <v>3171</v>
      </c>
      <c r="E16" s="8" t="s">
        <v>21</v>
      </c>
      <c r="F16" s="8" t="s">
        <v>22</v>
      </c>
      <c r="G16" s="8">
        <v>2200</v>
      </c>
      <c r="H16" s="8" t="s">
        <v>23</v>
      </c>
      <c r="I16" s="8" t="s">
        <v>3125</v>
      </c>
      <c r="J16" s="8" t="s">
        <v>36</v>
      </c>
      <c r="K16" s="8" t="s">
        <v>26</v>
      </c>
      <c r="L16" s="8" t="s">
        <v>3126</v>
      </c>
      <c r="M16" s="8">
        <v>6012</v>
      </c>
      <c r="N16" s="8" t="s">
        <v>3126</v>
      </c>
      <c r="O16" s="8" t="s">
        <v>3172</v>
      </c>
      <c r="P16" s="8" t="s">
        <v>1100</v>
      </c>
      <c r="Q16" s="8" t="s">
        <v>1101</v>
      </c>
      <c r="R16" s="7"/>
      <c r="S16" s="18">
        <v>45870</v>
      </c>
      <c r="T16" s="19">
        <f t="shared" si="0"/>
        <v>11500</v>
      </c>
      <c r="U16" s="19">
        <f t="shared" si="1"/>
        <v>2200</v>
      </c>
      <c r="V16" s="19">
        <f t="shared" si="2"/>
        <v>8395</v>
      </c>
      <c r="W16" s="20">
        <f t="shared" si="3"/>
        <v>905</v>
      </c>
    </row>
    <row r="17" spans="1:23" ht="15" customHeight="1">
      <c r="A17" s="9">
        <v>16</v>
      </c>
      <c r="B17" s="9" t="s">
        <v>3122</v>
      </c>
      <c r="C17" s="9" t="s">
        <v>3173</v>
      </c>
      <c r="D17" s="9" t="s">
        <v>3174</v>
      </c>
      <c r="E17" s="9" t="s">
        <v>21</v>
      </c>
      <c r="F17" s="9" t="s">
        <v>22</v>
      </c>
      <c r="G17" s="9">
        <v>749</v>
      </c>
      <c r="H17" s="9" t="s">
        <v>23</v>
      </c>
      <c r="I17" s="9" t="s">
        <v>111</v>
      </c>
      <c r="J17" s="9" t="s">
        <v>41</v>
      </c>
      <c r="K17" s="9" t="s">
        <v>26</v>
      </c>
      <c r="L17" s="9" t="s">
        <v>112</v>
      </c>
      <c r="M17" s="9">
        <v>5541</v>
      </c>
      <c r="N17" s="9" t="s">
        <v>112</v>
      </c>
      <c r="O17" s="9" t="s">
        <v>3175</v>
      </c>
      <c r="P17" s="9" t="s">
        <v>1100</v>
      </c>
      <c r="Q17" s="9" t="s">
        <v>1101</v>
      </c>
      <c r="R17" s="7"/>
      <c r="S17" s="15">
        <v>45901</v>
      </c>
      <c r="T17" s="16">
        <f t="shared" si="0"/>
        <v>11200</v>
      </c>
      <c r="U17" s="16">
        <f t="shared" si="1"/>
        <v>2200</v>
      </c>
      <c r="V17" s="16">
        <f t="shared" si="2"/>
        <v>8179</v>
      </c>
      <c r="W17" s="17">
        <f t="shared" si="3"/>
        <v>821</v>
      </c>
    </row>
    <row r="18" spans="1:23" ht="15" customHeight="1">
      <c r="A18" s="8">
        <v>17</v>
      </c>
      <c r="B18" s="8" t="s">
        <v>3122</v>
      </c>
      <c r="C18" s="8" t="s">
        <v>3176</v>
      </c>
      <c r="D18" s="8" t="s">
        <v>3177</v>
      </c>
      <c r="E18" s="8" t="s">
        <v>21</v>
      </c>
      <c r="F18" s="8" t="s">
        <v>22</v>
      </c>
      <c r="G18" s="8">
        <v>1188</v>
      </c>
      <c r="H18" s="8" t="s">
        <v>23</v>
      </c>
      <c r="I18" s="8" t="s">
        <v>56</v>
      </c>
      <c r="J18" s="8" t="s">
        <v>41</v>
      </c>
      <c r="K18" s="8" t="s">
        <v>26</v>
      </c>
      <c r="L18" s="8" t="s">
        <v>57</v>
      </c>
      <c r="M18" s="8">
        <v>5999</v>
      </c>
      <c r="N18" s="8" t="s">
        <v>57</v>
      </c>
      <c r="O18" s="8" t="s">
        <v>3178</v>
      </c>
      <c r="P18" s="8" t="s">
        <v>1100</v>
      </c>
      <c r="Q18" s="8" t="s">
        <v>1101</v>
      </c>
      <c r="R18" s="7"/>
      <c r="S18" s="18">
        <v>45931</v>
      </c>
      <c r="T18" s="19">
        <f t="shared" si="0"/>
        <v>11600</v>
      </c>
      <c r="U18" s="19">
        <f t="shared" si="1"/>
        <v>2200</v>
      </c>
      <c r="V18" s="19">
        <f t="shared" si="2"/>
        <v>8474</v>
      </c>
      <c r="W18" s="20">
        <f t="shared" si="3"/>
        <v>926</v>
      </c>
    </row>
    <row r="19" spans="1:23" ht="15" customHeight="1">
      <c r="A19" s="9">
        <v>18</v>
      </c>
      <c r="B19" s="9" t="s">
        <v>3122</v>
      </c>
      <c r="C19" s="9" t="s">
        <v>3179</v>
      </c>
      <c r="D19" s="9" t="s">
        <v>3180</v>
      </c>
      <c r="E19" s="9" t="s">
        <v>21</v>
      </c>
      <c r="F19" s="9" t="s">
        <v>22</v>
      </c>
      <c r="G19" s="9">
        <v>748</v>
      </c>
      <c r="H19" s="9" t="s">
        <v>23</v>
      </c>
      <c r="I19" s="9" t="s">
        <v>363</v>
      </c>
      <c r="J19" s="9" t="s">
        <v>41</v>
      </c>
      <c r="K19" s="9" t="s">
        <v>26</v>
      </c>
      <c r="L19" s="9" t="s">
        <v>364</v>
      </c>
      <c r="M19" s="9">
        <v>5999</v>
      </c>
      <c r="N19" s="9" t="s">
        <v>364</v>
      </c>
      <c r="O19" s="9" t="s">
        <v>3181</v>
      </c>
      <c r="P19" s="9" t="s">
        <v>1100</v>
      </c>
      <c r="Q19" s="9" t="s">
        <v>1101</v>
      </c>
      <c r="R19" s="7"/>
      <c r="S19" s="15">
        <v>45962</v>
      </c>
      <c r="T19" s="16">
        <f t="shared" si="0"/>
        <v>11400</v>
      </c>
      <c r="U19" s="16">
        <f t="shared" si="1"/>
        <v>2200</v>
      </c>
      <c r="V19" s="16">
        <f t="shared" si="2"/>
        <v>8322</v>
      </c>
      <c r="W19" s="17">
        <f t="shared" si="3"/>
        <v>878</v>
      </c>
    </row>
    <row r="20" spans="1:23" ht="15" customHeight="1">
      <c r="A20" s="8">
        <v>19</v>
      </c>
      <c r="B20" s="8" t="s">
        <v>3122</v>
      </c>
      <c r="C20" s="8" t="s">
        <v>3182</v>
      </c>
      <c r="D20" s="8" t="s">
        <v>3183</v>
      </c>
      <c r="E20" s="8" t="s">
        <v>21</v>
      </c>
      <c r="F20" s="8" t="s">
        <v>22</v>
      </c>
      <c r="G20" s="8">
        <v>747</v>
      </c>
      <c r="H20" s="8" t="s">
        <v>23</v>
      </c>
      <c r="I20" s="8" t="s">
        <v>186</v>
      </c>
      <c r="J20" s="8" t="s">
        <v>41</v>
      </c>
      <c r="K20" s="8" t="s">
        <v>26</v>
      </c>
      <c r="L20" s="8" t="s">
        <v>187</v>
      </c>
      <c r="M20" s="8">
        <v>5999</v>
      </c>
      <c r="N20" s="8" t="s">
        <v>187</v>
      </c>
      <c r="O20" s="8" t="s">
        <v>3184</v>
      </c>
      <c r="P20" s="8" t="s">
        <v>1100</v>
      </c>
      <c r="Q20" s="8" t="s">
        <v>1101</v>
      </c>
      <c r="R20" s="7"/>
      <c r="S20" s="18">
        <v>45992</v>
      </c>
      <c r="T20" s="19">
        <f t="shared" si="0"/>
        <v>11500</v>
      </c>
      <c r="U20" s="19">
        <f t="shared" si="1"/>
        <v>2200</v>
      </c>
      <c r="V20" s="19">
        <f t="shared" si="2"/>
        <v>8395</v>
      </c>
      <c r="W20" s="20">
        <f t="shared" si="3"/>
        <v>905</v>
      </c>
    </row>
    <row r="21" spans="1:23" ht="15" customHeight="1">
      <c r="A21" s="9">
        <v>20</v>
      </c>
      <c r="B21" s="9" t="s">
        <v>3122</v>
      </c>
      <c r="C21" s="9" t="s">
        <v>3185</v>
      </c>
      <c r="D21" s="9" t="s">
        <v>3186</v>
      </c>
      <c r="E21" s="9" t="s">
        <v>21</v>
      </c>
      <c r="F21" s="9" t="s">
        <v>22</v>
      </c>
      <c r="G21" s="9">
        <v>640</v>
      </c>
      <c r="H21" s="9" t="s">
        <v>23</v>
      </c>
      <c r="I21" s="9" t="s">
        <v>82</v>
      </c>
      <c r="J21" s="9" t="s">
        <v>41</v>
      </c>
      <c r="K21" s="9" t="s">
        <v>26</v>
      </c>
      <c r="L21" s="9" t="s">
        <v>83</v>
      </c>
      <c r="M21" s="9">
        <v>5411</v>
      </c>
      <c r="N21" s="9" t="s">
        <v>83</v>
      </c>
      <c r="O21" s="9" t="s">
        <v>3187</v>
      </c>
      <c r="P21" s="9" t="s">
        <v>1100</v>
      </c>
      <c r="Q21" s="9" t="s">
        <v>1101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3122</v>
      </c>
      <c r="C22" s="8" t="s">
        <v>3188</v>
      </c>
      <c r="D22" s="8" t="s">
        <v>3189</v>
      </c>
      <c r="E22" s="8" t="s">
        <v>21</v>
      </c>
      <c r="F22" s="8" t="s">
        <v>22</v>
      </c>
      <c r="G22" s="8">
        <v>640</v>
      </c>
      <c r="H22" s="8" t="s">
        <v>23</v>
      </c>
      <c r="I22" s="8" t="s">
        <v>82</v>
      </c>
      <c r="J22" s="8" t="s">
        <v>41</v>
      </c>
      <c r="K22" s="8" t="s">
        <v>26</v>
      </c>
      <c r="L22" s="8" t="s">
        <v>83</v>
      </c>
      <c r="M22" s="8">
        <v>5411</v>
      </c>
      <c r="N22" s="8" t="s">
        <v>83</v>
      </c>
      <c r="O22" s="8" t="s">
        <v>3190</v>
      </c>
      <c r="P22" s="8" t="s">
        <v>1100</v>
      </c>
      <c r="Q22" s="8" t="s">
        <v>1101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3122</v>
      </c>
      <c r="C23" s="9" t="s">
        <v>3191</v>
      </c>
      <c r="D23" s="9" t="s">
        <v>3192</v>
      </c>
      <c r="E23" s="9" t="s">
        <v>21</v>
      </c>
      <c r="F23" s="9" t="s">
        <v>22</v>
      </c>
      <c r="G23" s="9">
        <v>473</v>
      </c>
      <c r="H23" s="9" t="s">
        <v>23</v>
      </c>
      <c r="I23" s="9" t="s">
        <v>174</v>
      </c>
      <c r="J23" s="9" t="s">
        <v>36</v>
      </c>
      <c r="K23" s="9" t="s">
        <v>26</v>
      </c>
      <c r="L23" s="9" t="s">
        <v>175</v>
      </c>
      <c r="M23" s="9">
        <v>4813</v>
      </c>
      <c r="N23" s="9" t="s">
        <v>175</v>
      </c>
      <c r="O23" s="9" t="s">
        <v>3193</v>
      </c>
      <c r="P23" s="9" t="s">
        <v>1100</v>
      </c>
      <c r="Q23" s="9" t="s">
        <v>1101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3122</v>
      </c>
      <c r="C24" s="8" t="s">
        <v>3194</v>
      </c>
      <c r="D24" s="8" t="s">
        <v>3195</v>
      </c>
      <c r="E24" s="8" t="s">
        <v>21</v>
      </c>
      <c r="F24" s="8" t="s">
        <v>22</v>
      </c>
      <c r="G24" s="8">
        <v>517</v>
      </c>
      <c r="H24" s="8" t="s">
        <v>23</v>
      </c>
      <c r="I24" s="8" t="s">
        <v>61</v>
      </c>
      <c r="J24" s="8" t="s">
        <v>25</v>
      </c>
      <c r="K24" s="8" t="s">
        <v>26</v>
      </c>
      <c r="L24" s="8" t="s">
        <v>62</v>
      </c>
      <c r="M24" s="8">
        <v>5999</v>
      </c>
      <c r="N24" s="8" t="s">
        <v>62</v>
      </c>
      <c r="O24" s="8" t="s">
        <v>3196</v>
      </c>
      <c r="P24" s="8" t="s">
        <v>1100</v>
      </c>
      <c r="Q24" s="8" t="s">
        <v>1101</v>
      </c>
      <c r="R24" s="7"/>
      <c r="S24" s="22" t="s">
        <v>133</v>
      </c>
      <c r="T24" s="23">
        <f>IFERROR(AVERAGEIF(T9:T20,"&gt;"&amp;0),0)</f>
        <v>11433.333333333334</v>
      </c>
      <c r="U24" s="23">
        <f>IFERROR(AVERAGEIF(U9:U20,"&gt;"&amp;0),0)</f>
        <v>2200</v>
      </c>
      <c r="V24" s="23">
        <f>IFERROR(AVERAGEIF(V9:V20,"&gt;"&amp;0),0)</f>
        <v>8347.8333333333339</v>
      </c>
      <c r="W24" s="24">
        <f>T24-U24-V24</f>
        <v>885.5</v>
      </c>
    </row>
    <row r="25" spans="1:23" ht="3.75" customHeight="1">
      <c r="A25" s="9">
        <v>24</v>
      </c>
      <c r="B25" s="9" t="s">
        <v>3122</v>
      </c>
      <c r="C25" s="9" t="s">
        <v>3197</v>
      </c>
      <c r="D25" s="9" t="s">
        <v>3198</v>
      </c>
      <c r="E25" s="9" t="s">
        <v>21</v>
      </c>
      <c r="F25" s="9" t="s">
        <v>22</v>
      </c>
      <c r="G25" s="9">
        <v>272</v>
      </c>
      <c r="H25" s="9" t="s">
        <v>23</v>
      </c>
      <c r="I25" s="9" t="s">
        <v>40</v>
      </c>
      <c r="J25" s="9" t="s">
        <v>41</v>
      </c>
      <c r="K25" s="9" t="s">
        <v>26</v>
      </c>
      <c r="L25" s="9" t="s">
        <v>42</v>
      </c>
      <c r="M25" s="9">
        <v>5812</v>
      </c>
      <c r="N25" s="9" t="s">
        <v>42</v>
      </c>
      <c r="O25" s="9" t="s">
        <v>3199</v>
      </c>
      <c r="P25" s="9" t="s">
        <v>1100</v>
      </c>
      <c r="Q25" s="9" t="s">
        <v>1101</v>
      </c>
      <c r="R25" s="7"/>
    </row>
    <row r="26" spans="1:23" ht="15" customHeight="1">
      <c r="A26" s="8">
        <v>25</v>
      </c>
      <c r="B26" s="8" t="s">
        <v>3122</v>
      </c>
      <c r="C26" s="8" t="s">
        <v>3200</v>
      </c>
      <c r="D26" s="8" t="s">
        <v>3201</v>
      </c>
      <c r="E26" s="8" t="s">
        <v>21</v>
      </c>
      <c r="F26" s="8" t="s">
        <v>22</v>
      </c>
      <c r="G26" s="8">
        <v>517</v>
      </c>
      <c r="H26" s="8" t="s">
        <v>23</v>
      </c>
      <c r="I26" s="8" t="s">
        <v>159</v>
      </c>
      <c r="J26" s="8" t="s">
        <v>25</v>
      </c>
      <c r="K26" s="8" t="s">
        <v>26</v>
      </c>
      <c r="L26" s="8" t="s">
        <v>160</v>
      </c>
      <c r="M26" s="8">
        <v>5999</v>
      </c>
      <c r="N26" s="8" t="s">
        <v>160</v>
      </c>
      <c r="O26" s="8" t="s">
        <v>3202</v>
      </c>
      <c r="P26" s="8" t="s">
        <v>1100</v>
      </c>
      <c r="Q26" s="8" t="s">
        <v>1101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3122</v>
      </c>
      <c r="C27" s="9" t="s">
        <v>3203</v>
      </c>
      <c r="D27" s="9" t="s">
        <v>3204</v>
      </c>
      <c r="E27" s="9" t="s">
        <v>94</v>
      </c>
      <c r="F27" s="9" t="s">
        <v>22</v>
      </c>
      <c r="G27" s="9">
        <v>11500</v>
      </c>
      <c r="H27" s="9" t="s">
        <v>23</v>
      </c>
      <c r="I27" s="9" t="s">
        <v>3155</v>
      </c>
      <c r="J27" s="9" t="s">
        <v>96</v>
      </c>
      <c r="K27" s="9" t="s">
        <v>97</v>
      </c>
      <c r="L27" s="9" t="s">
        <v>3156</v>
      </c>
      <c r="M27" s="9"/>
      <c r="N27" s="9" t="s">
        <v>3156</v>
      </c>
      <c r="O27" s="9" t="s">
        <v>3205</v>
      </c>
      <c r="P27" s="9" t="s">
        <v>1100</v>
      </c>
      <c r="Q27" s="9" t="s">
        <v>1101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3122</v>
      </c>
      <c r="C28" s="8" t="s">
        <v>3206</v>
      </c>
      <c r="D28" s="8" t="s">
        <v>3207</v>
      </c>
      <c r="E28" s="8" t="s">
        <v>21</v>
      </c>
      <c r="F28" s="8" t="s">
        <v>22</v>
      </c>
      <c r="G28" s="8">
        <v>641</v>
      </c>
      <c r="H28" s="8" t="s">
        <v>23</v>
      </c>
      <c r="I28" s="8" t="s">
        <v>131</v>
      </c>
      <c r="J28" s="8" t="s">
        <v>41</v>
      </c>
      <c r="K28" s="8" t="s">
        <v>26</v>
      </c>
      <c r="L28" s="8" t="s">
        <v>132</v>
      </c>
      <c r="M28" s="8">
        <v>5411</v>
      </c>
      <c r="N28" s="8" t="s">
        <v>132</v>
      </c>
      <c r="O28" s="8" t="s">
        <v>3208</v>
      </c>
      <c r="P28" s="8" t="s">
        <v>1100</v>
      </c>
      <c r="Q28" s="8" t="s">
        <v>1101</v>
      </c>
      <c r="R28" s="7"/>
      <c r="S28" s="25" t="s">
        <v>154</v>
      </c>
      <c r="T28" s="26">
        <f>IFERROR(MEDIAN(T9:T20),0)</f>
        <v>11450</v>
      </c>
      <c r="U28" s="27" t="s">
        <v>155</v>
      </c>
      <c r="V28" s="28" t="s">
        <v>155</v>
      </c>
      <c r="W28" s="29" t="s">
        <v>802</v>
      </c>
    </row>
    <row r="29" spans="1:23" ht="15.75" customHeight="1">
      <c r="A29" s="9">
        <v>28</v>
      </c>
      <c r="B29" s="9" t="s">
        <v>3122</v>
      </c>
      <c r="C29" s="9" t="s">
        <v>3209</v>
      </c>
      <c r="D29" s="9" t="s">
        <v>3210</v>
      </c>
      <c r="E29" s="9" t="s">
        <v>21</v>
      </c>
      <c r="F29" s="9" t="s">
        <v>22</v>
      </c>
      <c r="G29" s="9">
        <v>273</v>
      </c>
      <c r="H29" s="9" t="s">
        <v>23</v>
      </c>
      <c r="I29" s="9" t="s">
        <v>574</v>
      </c>
      <c r="J29" s="9" t="s">
        <v>41</v>
      </c>
      <c r="K29" s="9" t="s">
        <v>26</v>
      </c>
      <c r="L29" s="9" t="s">
        <v>575</v>
      </c>
      <c r="M29" s="9">
        <v>5812</v>
      </c>
      <c r="N29" s="9" t="s">
        <v>575</v>
      </c>
      <c r="O29" s="9" t="s">
        <v>3211</v>
      </c>
      <c r="P29" s="9" t="s">
        <v>1100</v>
      </c>
      <c r="Q29" s="9" t="s">
        <v>1101</v>
      </c>
      <c r="R29" s="7"/>
      <c r="S29" s="30" t="s">
        <v>161</v>
      </c>
      <c r="T29" s="31">
        <f>T28*1.3</f>
        <v>14885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3122</v>
      </c>
      <c r="C30" s="8" t="s">
        <v>3212</v>
      </c>
      <c r="D30" s="8" t="s">
        <v>3213</v>
      </c>
      <c r="E30" s="8" t="s">
        <v>21</v>
      </c>
      <c r="F30" s="8" t="s">
        <v>22</v>
      </c>
      <c r="G30" s="8">
        <v>785</v>
      </c>
      <c r="H30" s="8" t="s">
        <v>23</v>
      </c>
      <c r="I30" s="8" t="s">
        <v>131</v>
      </c>
      <c r="J30" s="8" t="s">
        <v>41</v>
      </c>
      <c r="K30" s="8" t="s">
        <v>26</v>
      </c>
      <c r="L30" s="8" t="s">
        <v>132</v>
      </c>
      <c r="M30" s="8">
        <v>5411</v>
      </c>
      <c r="N30" s="8" t="s">
        <v>132</v>
      </c>
      <c r="O30" s="8" t="s">
        <v>3214</v>
      </c>
      <c r="P30" s="8" t="s">
        <v>1100</v>
      </c>
      <c r="Q30" s="8" t="s">
        <v>1101</v>
      </c>
      <c r="R30" s="7"/>
      <c r="S30" s="25" t="s">
        <v>166</v>
      </c>
      <c r="T30" s="26">
        <f>IFERROR(MEDIAN(MIN(T18,T29),MIN(T19,T29),MIN(T20,T29)),0)</f>
        <v>11500</v>
      </c>
      <c r="U30" s="27" t="s">
        <v>155</v>
      </c>
      <c r="V30" s="28" t="s">
        <v>155</v>
      </c>
      <c r="W30" s="29" t="s">
        <v>3215</v>
      </c>
    </row>
    <row r="31" spans="1:23" ht="15.75" customHeight="1">
      <c r="A31" s="9">
        <v>30</v>
      </c>
      <c r="B31" s="9" t="s">
        <v>3122</v>
      </c>
      <c r="C31" s="9" t="s">
        <v>3216</v>
      </c>
      <c r="D31" s="9" t="s">
        <v>3217</v>
      </c>
      <c r="E31" s="9" t="s">
        <v>21</v>
      </c>
      <c r="F31" s="9" t="s">
        <v>22</v>
      </c>
      <c r="G31" s="9">
        <v>2200</v>
      </c>
      <c r="H31" s="9" t="s">
        <v>23</v>
      </c>
      <c r="I31" s="9" t="s">
        <v>3125</v>
      </c>
      <c r="J31" s="9" t="s">
        <v>36</v>
      </c>
      <c r="K31" s="9" t="s">
        <v>26</v>
      </c>
      <c r="L31" s="9" t="s">
        <v>3126</v>
      </c>
      <c r="M31" s="9">
        <v>6012</v>
      </c>
      <c r="N31" s="9" t="s">
        <v>3126</v>
      </c>
      <c r="O31" s="9" t="s">
        <v>3218</v>
      </c>
      <c r="P31" s="9" t="s">
        <v>1100</v>
      </c>
      <c r="Q31" s="9" t="s">
        <v>1101</v>
      </c>
      <c r="R31" s="7"/>
      <c r="S31" s="30" t="s">
        <v>3219</v>
      </c>
      <c r="T31" s="31">
        <f>T20</f>
        <v>11500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3122</v>
      </c>
      <c r="C32" s="8" t="s">
        <v>3220</v>
      </c>
      <c r="D32" s="8" t="s">
        <v>3221</v>
      </c>
      <c r="E32" s="8" t="s">
        <v>21</v>
      </c>
      <c r="F32" s="8" t="s">
        <v>22</v>
      </c>
      <c r="G32" s="8">
        <v>259</v>
      </c>
      <c r="H32" s="8" t="s">
        <v>23</v>
      </c>
      <c r="I32" s="8" t="s">
        <v>40</v>
      </c>
      <c r="J32" s="8" t="s">
        <v>41</v>
      </c>
      <c r="K32" s="8" t="s">
        <v>26</v>
      </c>
      <c r="L32" s="8" t="s">
        <v>42</v>
      </c>
      <c r="M32" s="8">
        <v>5812</v>
      </c>
      <c r="N32" s="8" t="s">
        <v>42</v>
      </c>
      <c r="O32" s="8" t="s">
        <v>3222</v>
      </c>
      <c r="P32" s="8" t="s">
        <v>1100</v>
      </c>
      <c r="Q32" s="8" t="s">
        <v>1101</v>
      </c>
      <c r="R32" s="7"/>
      <c r="S32" s="25" t="s">
        <v>3223</v>
      </c>
      <c r="T32" s="26">
        <f>U20</f>
        <v>2200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3122</v>
      </c>
      <c r="C33" s="9" t="s">
        <v>3224</v>
      </c>
      <c r="D33" s="9" t="s">
        <v>3225</v>
      </c>
      <c r="E33" s="9" t="s">
        <v>21</v>
      </c>
      <c r="F33" s="9" t="s">
        <v>22</v>
      </c>
      <c r="G33" s="9">
        <v>796</v>
      </c>
      <c r="H33" s="9" t="s">
        <v>23</v>
      </c>
      <c r="I33" s="9" t="s">
        <v>498</v>
      </c>
      <c r="J33" s="9" t="s">
        <v>36</v>
      </c>
      <c r="K33" s="9" t="s">
        <v>26</v>
      </c>
      <c r="L33" s="9" t="s">
        <v>499</v>
      </c>
      <c r="M33" s="9">
        <v>4900</v>
      </c>
      <c r="N33" s="9" t="s">
        <v>499</v>
      </c>
      <c r="O33" s="9" t="s">
        <v>3226</v>
      </c>
      <c r="P33" s="9" t="s">
        <v>1100</v>
      </c>
      <c r="Q33" s="9" t="s">
        <v>1101</v>
      </c>
      <c r="R33" s="7"/>
      <c r="S33" s="30" t="s">
        <v>182</v>
      </c>
      <c r="T33" s="31">
        <f>T24</f>
        <v>11433.333333333334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3122</v>
      </c>
      <c r="C34" s="8" t="s">
        <v>3227</v>
      </c>
      <c r="D34" s="8" t="s">
        <v>3228</v>
      </c>
      <c r="E34" s="8" t="s">
        <v>21</v>
      </c>
      <c r="F34" s="8" t="s">
        <v>22</v>
      </c>
      <c r="G34" s="8">
        <v>259</v>
      </c>
      <c r="H34" s="8" t="s">
        <v>23</v>
      </c>
      <c r="I34" s="8" t="s">
        <v>254</v>
      </c>
      <c r="J34" s="8" t="s">
        <v>41</v>
      </c>
      <c r="K34" s="8" t="s">
        <v>26</v>
      </c>
      <c r="L34" s="8" t="s">
        <v>255</v>
      </c>
      <c r="M34" s="8">
        <v>5812</v>
      </c>
      <c r="N34" s="8" t="s">
        <v>255</v>
      </c>
      <c r="O34" s="8" t="s">
        <v>3229</v>
      </c>
      <c r="P34" s="8" t="s">
        <v>1100</v>
      </c>
      <c r="Q34" s="8" t="s">
        <v>1101</v>
      </c>
      <c r="R34" s="7"/>
      <c r="S34" s="25" t="s">
        <v>188</v>
      </c>
      <c r="T34" s="26">
        <f>V24</f>
        <v>8347.8333333333339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3122</v>
      </c>
      <c r="C35" s="9" t="s">
        <v>3230</v>
      </c>
      <c r="D35" s="9" t="s">
        <v>3231</v>
      </c>
      <c r="E35" s="9" t="s">
        <v>21</v>
      </c>
      <c r="F35" s="9" t="s">
        <v>22</v>
      </c>
      <c r="G35" s="9">
        <v>796</v>
      </c>
      <c r="H35" s="9" t="s">
        <v>23</v>
      </c>
      <c r="I35" s="9" t="s">
        <v>56</v>
      </c>
      <c r="J35" s="9" t="s">
        <v>41</v>
      </c>
      <c r="K35" s="9" t="s">
        <v>26</v>
      </c>
      <c r="L35" s="9" t="s">
        <v>57</v>
      </c>
      <c r="M35" s="9">
        <v>5999</v>
      </c>
      <c r="N35" s="9" t="s">
        <v>57</v>
      </c>
      <c r="O35" s="9" t="s">
        <v>3232</v>
      </c>
      <c r="P35" s="9" t="s">
        <v>1100</v>
      </c>
      <c r="Q35" s="9" t="s">
        <v>1101</v>
      </c>
      <c r="R35" s="7"/>
      <c r="S35" s="30" t="s">
        <v>193</v>
      </c>
      <c r="T35" s="35">
        <f>IFERROR((T33-T34)/T33,0)</f>
        <v>0.26986880466472302</v>
      </c>
      <c r="U35" s="32" t="s">
        <v>194</v>
      </c>
      <c r="V35" s="36" t="str">
        <f>IF(T35&gt;=0.2,"✅ Meets","⚠️ Below")</f>
        <v>✅ Meets</v>
      </c>
      <c r="W35" s="34" t="s">
        <v>195</v>
      </c>
    </row>
    <row r="36" spans="1:23" ht="15.75" customHeight="1">
      <c r="A36" s="8">
        <v>35</v>
      </c>
      <c r="B36" s="8" t="s">
        <v>3122</v>
      </c>
      <c r="C36" s="8" t="s">
        <v>3233</v>
      </c>
      <c r="D36" s="8" t="s">
        <v>3234</v>
      </c>
      <c r="E36" s="8" t="s">
        <v>21</v>
      </c>
      <c r="F36" s="8" t="s">
        <v>22</v>
      </c>
      <c r="G36" s="8">
        <v>259</v>
      </c>
      <c r="H36" s="8" t="s">
        <v>23</v>
      </c>
      <c r="I36" s="8" t="s">
        <v>574</v>
      </c>
      <c r="J36" s="8" t="s">
        <v>41</v>
      </c>
      <c r="K36" s="8" t="s">
        <v>26</v>
      </c>
      <c r="L36" s="8" t="s">
        <v>575</v>
      </c>
      <c r="M36" s="8">
        <v>5812</v>
      </c>
      <c r="N36" s="8" t="s">
        <v>575</v>
      </c>
      <c r="O36" s="8" t="s">
        <v>3235</v>
      </c>
      <c r="P36" s="8" t="s">
        <v>1100</v>
      </c>
      <c r="Q36" s="8" t="s">
        <v>1101</v>
      </c>
      <c r="R36" s="7"/>
      <c r="S36" s="25" t="s">
        <v>200</v>
      </c>
      <c r="T36" s="37">
        <f>T33-T34</f>
        <v>3085.5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3122</v>
      </c>
      <c r="C37" s="9" t="s">
        <v>3236</v>
      </c>
      <c r="D37" s="9" t="s">
        <v>3237</v>
      </c>
      <c r="E37" s="9" t="s">
        <v>21</v>
      </c>
      <c r="F37" s="9" t="s">
        <v>22</v>
      </c>
      <c r="G37" s="9">
        <v>724</v>
      </c>
      <c r="H37" s="9" t="s">
        <v>23</v>
      </c>
      <c r="I37" s="9" t="s">
        <v>186</v>
      </c>
      <c r="J37" s="9" t="s">
        <v>41</v>
      </c>
      <c r="K37" s="9" t="s">
        <v>26</v>
      </c>
      <c r="L37" s="9" t="s">
        <v>187</v>
      </c>
      <c r="M37" s="9">
        <v>5999</v>
      </c>
      <c r="N37" s="9" t="s">
        <v>187</v>
      </c>
      <c r="O37" s="9" t="s">
        <v>3238</v>
      </c>
      <c r="P37" s="9" t="s">
        <v>1100</v>
      </c>
      <c r="Q37" s="9" t="s">
        <v>1101</v>
      </c>
      <c r="R37" s="7"/>
      <c r="S37" s="30" t="s">
        <v>205</v>
      </c>
      <c r="T37" s="35">
        <f>IFERROR(U24/T30,0)</f>
        <v>0.19130434782608696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3122</v>
      </c>
      <c r="C38" s="8" t="s">
        <v>3239</v>
      </c>
      <c r="D38" s="8" t="s">
        <v>3240</v>
      </c>
      <c r="E38" s="8" t="s">
        <v>21</v>
      </c>
      <c r="F38" s="8" t="s">
        <v>22</v>
      </c>
      <c r="G38" s="8">
        <v>556</v>
      </c>
      <c r="H38" s="8" t="s">
        <v>23</v>
      </c>
      <c r="I38" s="8" t="s">
        <v>174</v>
      </c>
      <c r="J38" s="8" t="s">
        <v>36</v>
      </c>
      <c r="K38" s="8" t="s">
        <v>26</v>
      </c>
      <c r="L38" s="8" t="s">
        <v>175</v>
      </c>
      <c r="M38" s="8">
        <v>4813</v>
      </c>
      <c r="N38" s="8" t="s">
        <v>175</v>
      </c>
      <c r="O38" s="8" t="s">
        <v>3241</v>
      </c>
      <c r="P38" s="8" t="s">
        <v>1100</v>
      </c>
      <c r="Q38" s="8" t="s">
        <v>1101</v>
      </c>
      <c r="R38" s="7"/>
    </row>
    <row r="39" spans="1:23" ht="15" customHeight="1">
      <c r="A39" s="9">
        <v>38</v>
      </c>
      <c r="B39" s="9" t="s">
        <v>3122</v>
      </c>
      <c r="C39" s="9" t="s">
        <v>3242</v>
      </c>
      <c r="D39" s="9" t="s">
        <v>3243</v>
      </c>
      <c r="E39" s="9" t="s">
        <v>21</v>
      </c>
      <c r="F39" s="9" t="s">
        <v>22</v>
      </c>
      <c r="G39" s="9">
        <v>864</v>
      </c>
      <c r="H39" s="9" t="s">
        <v>23</v>
      </c>
      <c r="I39" s="9" t="s">
        <v>212</v>
      </c>
      <c r="J39" s="9" t="s">
        <v>25</v>
      </c>
      <c r="K39" s="9" t="s">
        <v>26</v>
      </c>
      <c r="L39" s="9" t="s">
        <v>213</v>
      </c>
      <c r="M39" s="9">
        <v>5999</v>
      </c>
      <c r="N39" s="9" t="s">
        <v>213</v>
      </c>
      <c r="O39" s="9" t="s">
        <v>3244</v>
      </c>
      <c r="P39" s="9" t="s">
        <v>1100</v>
      </c>
      <c r="Q39" s="9" t="s">
        <v>1101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3122</v>
      </c>
      <c r="C40" s="8" t="s">
        <v>3245</v>
      </c>
      <c r="D40" s="8" t="s">
        <v>3246</v>
      </c>
      <c r="E40" s="8" t="s">
        <v>21</v>
      </c>
      <c r="F40" s="8" t="s">
        <v>22</v>
      </c>
      <c r="G40" s="8">
        <v>786</v>
      </c>
      <c r="H40" s="8" t="s">
        <v>23</v>
      </c>
      <c r="I40" s="8" t="s">
        <v>379</v>
      </c>
      <c r="J40" s="8" t="s">
        <v>41</v>
      </c>
      <c r="K40" s="8" t="s">
        <v>26</v>
      </c>
      <c r="L40" s="8" t="s">
        <v>380</v>
      </c>
      <c r="M40" s="8">
        <v>5411</v>
      </c>
      <c r="N40" s="8" t="s">
        <v>380</v>
      </c>
      <c r="O40" s="8" t="s">
        <v>3247</v>
      </c>
      <c r="P40" s="8" t="s">
        <v>1100</v>
      </c>
      <c r="Q40" s="8" t="s">
        <v>1101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3122</v>
      </c>
      <c r="C41" s="9" t="s">
        <v>3248</v>
      </c>
      <c r="D41" s="9" t="s">
        <v>3249</v>
      </c>
      <c r="E41" s="9" t="s">
        <v>21</v>
      </c>
      <c r="F41" s="9" t="s">
        <v>22</v>
      </c>
      <c r="G41" s="9">
        <v>724</v>
      </c>
      <c r="H41" s="9" t="s">
        <v>23</v>
      </c>
      <c r="I41" s="9" t="s">
        <v>108</v>
      </c>
      <c r="J41" s="9" t="s">
        <v>41</v>
      </c>
      <c r="K41" s="9" t="s">
        <v>26</v>
      </c>
      <c r="L41" s="9" t="s">
        <v>57</v>
      </c>
      <c r="M41" s="9">
        <v>5999</v>
      </c>
      <c r="N41" s="9" t="s">
        <v>57</v>
      </c>
      <c r="O41" s="9" t="s">
        <v>3250</v>
      </c>
      <c r="P41" s="9" t="s">
        <v>1100</v>
      </c>
      <c r="Q41" s="9" t="s">
        <v>1101</v>
      </c>
      <c r="R41" s="7"/>
      <c r="S41" s="39" t="s">
        <v>226</v>
      </c>
      <c r="T41" s="40">
        <f>T5</f>
        <v>33</v>
      </c>
      <c r="U41" s="41">
        <f>IF(T41&lt;18,0,IF(T41&lt;=25,30,IF(T41&lt;=35,80,IF(T41&lt;=50,150,IF(T41&lt;=60,100,0)))))</f>
        <v>80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3122</v>
      </c>
      <c r="C42" s="8" t="s">
        <v>3251</v>
      </c>
      <c r="D42" s="8" t="s">
        <v>3252</v>
      </c>
      <c r="E42" s="8" t="s">
        <v>21</v>
      </c>
      <c r="F42" s="8" t="s">
        <v>22</v>
      </c>
      <c r="G42" s="8">
        <v>655</v>
      </c>
      <c r="H42" s="8" t="s">
        <v>23</v>
      </c>
      <c r="I42" s="8" t="s">
        <v>70</v>
      </c>
      <c r="J42" s="8" t="s">
        <v>41</v>
      </c>
      <c r="K42" s="8" t="s">
        <v>26</v>
      </c>
      <c r="L42" s="8" t="s">
        <v>71</v>
      </c>
      <c r="M42" s="8">
        <v>5541</v>
      </c>
      <c r="N42" s="8" t="s">
        <v>71</v>
      </c>
      <c r="O42" s="8" t="s">
        <v>3253</v>
      </c>
      <c r="P42" s="8" t="s">
        <v>1100</v>
      </c>
      <c r="Q42" s="8" t="s">
        <v>1101</v>
      </c>
      <c r="R42" s="7"/>
      <c r="S42" s="43" t="s">
        <v>230</v>
      </c>
      <c r="T42" s="44">
        <f>T30</f>
        <v>11500</v>
      </c>
      <c r="U42" s="41">
        <f>IF(T42&lt;=5000,0,IF(T42&lt;=10000,50,IF(T42&lt;=15000,100,150)))</f>
        <v>100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3122</v>
      </c>
      <c r="C43" s="9" t="s">
        <v>3254</v>
      </c>
      <c r="D43" s="9" t="s">
        <v>3255</v>
      </c>
      <c r="E43" s="9" t="s">
        <v>94</v>
      </c>
      <c r="F43" s="9" t="s">
        <v>22</v>
      </c>
      <c r="G43" s="9">
        <v>11300</v>
      </c>
      <c r="H43" s="9" t="s">
        <v>23</v>
      </c>
      <c r="I43" s="9" t="s">
        <v>3155</v>
      </c>
      <c r="J43" s="9" t="s">
        <v>96</v>
      </c>
      <c r="K43" s="9" t="s">
        <v>97</v>
      </c>
      <c r="L43" s="9" t="s">
        <v>3156</v>
      </c>
      <c r="M43" s="9"/>
      <c r="N43" s="9" t="s">
        <v>3156</v>
      </c>
      <c r="O43" s="9" t="s">
        <v>3256</v>
      </c>
      <c r="P43" s="9" t="s">
        <v>1100</v>
      </c>
      <c r="Q43" s="9" t="s">
        <v>1101</v>
      </c>
      <c r="R43" s="7"/>
      <c r="S43" s="39" t="s">
        <v>236</v>
      </c>
      <c r="T43" s="45">
        <f>T32</f>
        <v>2200</v>
      </c>
      <c r="U43" s="41">
        <f>IF(T43=0,150,IF(T43&lt;=1500,150,IF(T43&lt;=3000,130,IF(T43&lt;=4500,110,IF(T43&lt;=9000,80,IF(T43&lt;=15000,40,0))))))</f>
        <v>130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3122</v>
      </c>
      <c r="C44" s="8" t="s">
        <v>3257</v>
      </c>
      <c r="D44" s="8" t="s">
        <v>3258</v>
      </c>
      <c r="E44" s="8" t="s">
        <v>21</v>
      </c>
      <c r="F44" s="8" t="s">
        <v>22</v>
      </c>
      <c r="G44" s="8">
        <v>786</v>
      </c>
      <c r="H44" s="8" t="s">
        <v>23</v>
      </c>
      <c r="I44" s="8" t="s">
        <v>131</v>
      </c>
      <c r="J44" s="8" t="s">
        <v>41</v>
      </c>
      <c r="K44" s="8" t="s">
        <v>26</v>
      </c>
      <c r="L44" s="8" t="s">
        <v>132</v>
      </c>
      <c r="M44" s="8">
        <v>5411</v>
      </c>
      <c r="N44" s="8" t="s">
        <v>132</v>
      </c>
      <c r="O44" s="8" t="s">
        <v>3259</v>
      </c>
      <c r="P44" s="8" t="s">
        <v>1100</v>
      </c>
      <c r="Q44" s="8" t="s">
        <v>1101</v>
      </c>
      <c r="R44" s="7"/>
      <c r="S44" s="43" t="s">
        <v>240</v>
      </c>
      <c r="T44" s="46">
        <f>T35</f>
        <v>0.26986880466472302</v>
      </c>
      <c r="U44" s="41">
        <f>IF(T44&lt;=0,0,IF(T44&lt;=0.1,50,IF(T44&lt;=0.2,100,IF(T44&lt;=0.3,130,150))))</f>
        <v>130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3122</v>
      </c>
      <c r="C45" s="9" t="s">
        <v>3260</v>
      </c>
      <c r="D45" s="9" t="s">
        <v>3261</v>
      </c>
      <c r="E45" s="9" t="s">
        <v>21</v>
      </c>
      <c r="F45" s="9" t="s">
        <v>22</v>
      </c>
      <c r="G45" s="9">
        <v>461</v>
      </c>
      <c r="H45" s="9" t="s">
        <v>23</v>
      </c>
      <c r="I45" s="9" t="s">
        <v>217</v>
      </c>
      <c r="J45" s="9" t="s">
        <v>41</v>
      </c>
      <c r="K45" s="9" t="s">
        <v>26</v>
      </c>
      <c r="L45" s="9" t="s">
        <v>218</v>
      </c>
      <c r="M45" s="9">
        <v>5812</v>
      </c>
      <c r="N45" s="9" t="s">
        <v>218</v>
      </c>
      <c r="O45" s="9" t="s">
        <v>3262</v>
      </c>
      <c r="P45" s="9" t="s">
        <v>1100</v>
      </c>
      <c r="Q45" s="9" t="s">
        <v>1101</v>
      </c>
      <c r="R45" s="7"/>
      <c r="S45" s="39" t="s">
        <v>246</v>
      </c>
      <c r="T45" s="45">
        <f>T31</f>
        <v>11500</v>
      </c>
      <c r="U45" s="41">
        <f>IF(T45&lt;=5000,30,IF(T45&lt;=15000,90,150))</f>
        <v>90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3122</v>
      </c>
      <c r="C46" s="8" t="s">
        <v>3263</v>
      </c>
      <c r="D46" s="8" t="s">
        <v>3264</v>
      </c>
      <c r="E46" s="8" t="s">
        <v>21</v>
      </c>
      <c r="F46" s="8" t="s">
        <v>22</v>
      </c>
      <c r="G46" s="8">
        <v>1197</v>
      </c>
      <c r="H46" s="8" t="s">
        <v>23</v>
      </c>
      <c r="I46" s="8" t="s">
        <v>379</v>
      </c>
      <c r="J46" s="8" t="s">
        <v>41</v>
      </c>
      <c r="K46" s="8" t="s">
        <v>26</v>
      </c>
      <c r="L46" s="8" t="s">
        <v>380</v>
      </c>
      <c r="M46" s="8">
        <v>5411</v>
      </c>
      <c r="N46" s="8" t="s">
        <v>380</v>
      </c>
      <c r="O46" s="8" t="s">
        <v>3265</v>
      </c>
      <c r="P46" s="8" t="s">
        <v>1100</v>
      </c>
      <c r="Q46" s="8" t="s">
        <v>1101</v>
      </c>
      <c r="R46" s="7"/>
      <c r="S46" s="43" t="s">
        <v>250</v>
      </c>
      <c r="T46" s="47">
        <f>T36</f>
        <v>3085.5</v>
      </c>
      <c r="U46" s="41">
        <f>IF(T46&lt;0,0,IF(T46&lt;=1000,50,IF(T46&lt;=3000,100,150)))</f>
        <v>150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3122</v>
      </c>
      <c r="C47" s="9" t="s">
        <v>3266</v>
      </c>
      <c r="D47" s="9" t="s">
        <v>3267</v>
      </c>
      <c r="E47" s="9" t="s">
        <v>21</v>
      </c>
      <c r="F47" s="9" t="s">
        <v>22</v>
      </c>
      <c r="G47" s="9">
        <v>2200</v>
      </c>
      <c r="H47" s="9" t="s">
        <v>23</v>
      </c>
      <c r="I47" s="9" t="s">
        <v>3125</v>
      </c>
      <c r="J47" s="9" t="s">
        <v>36</v>
      </c>
      <c r="K47" s="9" t="s">
        <v>26</v>
      </c>
      <c r="L47" s="9" t="s">
        <v>3126</v>
      </c>
      <c r="M47" s="9">
        <v>6012</v>
      </c>
      <c r="N47" s="9" t="s">
        <v>3126</v>
      </c>
      <c r="O47" s="9" t="s">
        <v>3268</v>
      </c>
      <c r="P47" s="9" t="s">
        <v>1100</v>
      </c>
      <c r="Q47" s="9" t="s">
        <v>1101</v>
      </c>
      <c r="R47" s="7"/>
      <c r="S47" s="39" t="s">
        <v>256</v>
      </c>
      <c r="T47" s="48">
        <f>T37</f>
        <v>0.19130434782608696</v>
      </c>
      <c r="U47" s="41">
        <f>IF(T47&lt;=0.1,100,IF(T47&lt;=0.25,70,IF(T47&lt;=0.4,40,IF(T47&lt;=0.6,20,0))))</f>
        <v>70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3122</v>
      </c>
      <c r="C48" s="8" t="s">
        <v>3269</v>
      </c>
      <c r="D48" s="8" t="s">
        <v>3270</v>
      </c>
      <c r="E48" s="8" t="s">
        <v>21</v>
      </c>
      <c r="F48" s="8" t="s">
        <v>22</v>
      </c>
      <c r="G48" s="8">
        <v>541</v>
      </c>
      <c r="H48" s="8" t="s">
        <v>23</v>
      </c>
      <c r="I48" s="8" t="s">
        <v>127</v>
      </c>
      <c r="J48" s="8" t="s">
        <v>25</v>
      </c>
      <c r="K48" s="8" t="s">
        <v>26</v>
      </c>
      <c r="L48" s="8" t="s">
        <v>128</v>
      </c>
      <c r="M48" s="8">
        <v>5999</v>
      </c>
      <c r="N48" s="8" t="s">
        <v>128</v>
      </c>
      <c r="O48" s="8" t="s">
        <v>3271</v>
      </c>
      <c r="P48" s="8" t="s">
        <v>1100</v>
      </c>
      <c r="Q48" s="8" t="s">
        <v>1101</v>
      </c>
      <c r="R48" s="7"/>
    </row>
    <row r="49" spans="1:23" ht="27.75" customHeight="1">
      <c r="A49" s="9">
        <v>48</v>
      </c>
      <c r="B49" s="9" t="s">
        <v>3122</v>
      </c>
      <c r="C49" s="9" t="s">
        <v>3272</v>
      </c>
      <c r="D49" s="9" t="s">
        <v>3273</v>
      </c>
      <c r="E49" s="9" t="s">
        <v>21</v>
      </c>
      <c r="F49" s="9" t="s">
        <v>22</v>
      </c>
      <c r="G49" s="9">
        <v>1521</v>
      </c>
      <c r="H49" s="9" t="s">
        <v>23</v>
      </c>
      <c r="I49" s="9" t="s">
        <v>363</v>
      </c>
      <c r="J49" s="9" t="s">
        <v>41</v>
      </c>
      <c r="K49" s="9" t="s">
        <v>26</v>
      </c>
      <c r="L49" s="9" t="s">
        <v>364</v>
      </c>
      <c r="M49" s="9">
        <v>5999</v>
      </c>
      <c r="N49" s="9" t="s">
        <v>364</v>
      </c>
      <c r="O49" s="9" t="s">
        <v>3274</v>
      </c>
      <c r="P49" s="9" t="s">
        <v>1100</v>
      </c>
      <c r="Q49" s="9" t="s">
        <v>1101</v>
      </c>
      <c r="R49" s="7"/>
      <c r="S49" s="49" t="s">
        <v>264</v>
      </c>
      <c r="T49" s="50">
        <f>U41+U42+U43+U44+U45+U46+U47</f>
        <v>750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3122</v>
      </c>
      <c r="C50" s="8" t="s">
        <v>3275</v>
      </c>
      <c r="D50" s="8" t="s">
        <v>3276</v>
      </c>
      <c r="E50" s="8" t="s">
        <v>21</v>
      </c>
      <c r="F50" s="8" t="s">
        <v>22</v>
      </c>
      <c r="G50" s="8">
        <v>429</v>
      </c>
      <c r="H50" s="8" t="s">
        <v>23</v>
      </c>
      <c r="I50" s="8" t="s">
        <v>56</v>
      </c>
      <c r="J50" s="8" t="s">
        <v>41</v>
      </c>
      <c r="K50" s="8" t="s">
        <v>26</v>
      </c>
      <c r="L50" s="8" t="s">
        <v>57</v>
      </c>
      <c r="M50" s="8">
        <v>5999</v>
      </c>
      <c r="N50" s="8" t="s">
        <v>57</v>
      </c>
      <c r="O50" s="8" t="s">
        <v>3277</v>
      </c>
      <c r="P50" s="8" t="s">
        <v>1100</v>
      </c>
      <c r="Q50" s="8" t="s">
        <v>1101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A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3122</v>
      </c>
      <c r="C51" s="9" t="s">
        <v>3278</v>
      </c>
      <c r="D51" s="9" t="s">
        <v>3279</v>
      </c>
      <c r="E51" s="9" t="s">
        <v>21</v>
      </c>
      <c r="F51" s="9" t="s">
        <v>22</v>
      </c>
      <c r="G51" s="9">
        <v>541</v>
      </c>
      <c r="H51" s="9" t="s">
        <v>23</v>
      </c>
      <c r="I51" s="9" t="s">
        <v>866</v>
      </c>
      <c r="J51" s="9" t="s">
        <v>25</v>
      </c>
      <c r="K51" s="9" t="s">
        <v>26</v>
      </c>
      <c r="L51" s="9" t="s">
        <v>867</v>
      </c>
      <c r="M51" s="9">
        <v>5999</v>
      </c>
      <c r="N51" s="9" t="s">
        <v>867</v>
      </c>
      <c r="O51" s="9" t="s">
        <v>3280</v>
      </c>
      <c r="P51" s="9" t="s">
        <v>1100</v>
      </c>
      <c r="Q51" s="9" t="s">
        <v>1101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Good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3122</v>
      </c>
      <c r="C52" s="8" t="s">
        <v>3281</v>
      </c>
      <c r="D52" s="8" t="s">
        <v>3282</v>
      </c>
      <c r="E52" s="8" t="s">
        <v>21</v>
      </c>
      <c r="F52" s="8" t="s">
        <v>22</v>
      </c>
      <c r="G52" s="8">
        <v>888</v>
      </c>
      <c r="H52" s="8" t="s">
        <v>23</v>
      </c>
      <c r="I52" s="8" t="s">
        <v>198</v>
      </c>
      <c r="J52" s="8" t="s">
        <v>36</v>
      </c>
      <c r="K52" s="8" t="s">
        <v>26</v>
      </c>
      <c r="L52" s="8" t="s">
        <v>199</v>
      </c>
      <c r="M52" s="8">
        <v>4900</v>
      </c>
      <c r="N52" s="8" t="s">
        <v>199</v>
      </c>
      <c r="O52" s="8" t="s">
        <v>3283</v>
      </c>
      <c r="P52" s="8" t="s">
        <v>1100</v>
      </c>
      <c r="Q52" s="8" t="s">
        <v>1101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High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3122</v>
      </c>
      <c r="C53" s="9" t="s">
        <v>3284</v>
      </c>
      <c r="D53" s="9" t="s">
        <v>3285</v>
      </c>
      <c r="E53" s="9" t="s">
        <v>21</v>
      </c>
      <c r="F53" s="9" t="s">
        <v>22</v>
      </c>
      <c r="G53" s="9">
        <v>563</v>
      </c>
      <c r="H53" s="9" t="s">
        <v>23</v>
      </c>
      <c r="I53" s="9" t="s">
        <v>351</v>
      </c>
      <c r="J53" s="9" t="s">
        <v>36</v>
      </c>
      <c r="K53" s="9" t="s">
        <v>26</v>
      </c>
      <c r="L53" s="9" t="s">
        <v>352</v>
      </c>
      <c r="M53" s="9">
        <v>4813</v>
      </c>
      <c r="N53" s="9" t="s">
        <v>352</v>
      </c>
      <c r="O53" s="9" t="s">
        <v>3286</v>
      </c>
      <c r="P53" s="9" t="s">
        <v>1100</v>
      </c>
      <c r="Q53" s="9" t="s">
        <v>1101</v>
      </c>
      <c r="R53" s="7"/>
    </row>
    <row r="54" spans="1:23" ht="15.75" customHeight="1">
      <c r="A54" s="8">
        <v>53</v>
      </c>
      <c r="B54" s="8" t="s">
        <v>3122</v>
      </c>
      <c r="C54" s="8" t="s">
        <v>3287</v>
      </c>
      <c r="D54" s="8" t="s">
        <v>3288</v>
      </c>
      <c r="E54" s="8" t="s">
        <v>21</v>
      </c>
      <c r="F54" s="8" t="s">
        <v>22</v>
      </c>
      <c r="G54" s="8">
        <v>742</v>
      </c>
      <c r="H54" s="8" t="s">
        <v>23</v>
      </c>
      <c r="I54" s="8" t="s">
        <v>70</v>
      </c>
      <c r="J54" s="8" t="s">
        <v>41</v>
      </c>
      <c r="K54" s="8" t="s">
        <v>26</v>
      </c>
      <c r="L54" s="8" t="s">
        <v>71</v>
      </c>
      <c r="M54" s="8">
        <v>5541</v>
      </c>
      <c r="N54" s="8" t="s">
        <v>71</v>
      </c>
      <c r="O54" s="8" t="s">
        <v>3289</v>
      </c>
      <c r="P54" s="8" t="s">
        <v>1100</v>
      </c>
      <c r="Q54" s="8" t="s">
        <v>1101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3122</v>
      </c>
      <c r="C55" s="9" t="s">
        <v>3290</v>
      </c>
      <c r="D55" s="9" t="s">
        <v>3291</v>
      </c>
      <c r="E55" s="9" t="s">
        <v>21</v>
      </c>
      <c r="F55" s="9" t="s">
        <v>22</v>
      </c>
      <c r="G55" s="9">
        <v>1197</v>
      </c>
      <c r="H55" s="9" t="s">
        <v>23</v>
      </c>
      <c r="I55" s="9" t="s">
        <v>379</v>
      </c>
      <c r="J55" s="9" t="s">
        <v>41</v>
      </c>
      <c r="K55" s="9" t="s">
        <v>26</v>
      </c>
      <c r="L55" s="9" t="s">
        <v>380</v>
      </c>
      <c r="M55" s="9">
        <v>5411</v>
      </c>
      <c r="N55" s="9" t="s">
        <v>380</v>
      </c>
      <c r="O55" s="9" t="s">
        <v>3292</v>
      </c>
      <c r="P55" s="9" t="s">
        <v>1100</v>
      </c>
      <c r="Q55" s="9" t="s">
        <v>1101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3122</v>
      </c>
      <c r="C56" s="8" t="s">
        <v>3293</v>
      </c>
      <c r="D56" s="8" t="s">
        <v>3294</v>
      </c>
      <c r="E56" s="8" t="s">
        <v>21</v>
      </c>
      <c r="F56" s="8" t="s">
        <v>22</v>
      </c>
      <c r="G56" s="8">
        <v>461</v>
      </c>
      <c r="H56" s="8" t="s">
        <v>23</v>
      </c>
      <c r="I56" s="8" t="s">
        <v>115</v>
      </c>
      <c r="J56" s="8" t="s">
        <v>41</v>
      </c>
      <c r="K56" s="8" t="s">
        <v>26</v>
      </c>
      <c r="L56" s="8" t="s">
        <v>116</v>
      </c>
      <c r="M56" s="8">
        <v>5812</v>
      </c>
      <c r="N56" s="8" t="s">
        <v>116</v>
      </c>
      <c r="O56" s="8" t="s">
        <v>3295</v>
      </c>
      <c r="P56" s="8" t="s">
        <v>1100</v>
      </c>
      <c r="Q56" s="8" t="s">
        <v>1101</v>
      </c>
      <c r="R56" s="7"/>
      <c r="S56" s="61" t="s">
        <v>294</v>
      </c>
      <c r="T56" s="62">
        <f>IFERROR(U24/T24,0)</f>
        <v>0.1924198250728863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3122</v>
      </c>
      <c r="C57" s="9" t="s">
        <v>3296</v>
      </c>
      <c r="D57" s="9" t="s">
        <v>3297</v>
      </c>
      <c r="E57" s="9" t="s">
        <v>94</v>
      </c>
      <c r="F57" s="9" t="s">
        <v>22</v>
      </c>
      <c r="G57" s="9">
        <v>11700</v>
      </c>
      <c r="H57" s="9" t="s">
        <v>23</v>
      </c>
      <c r="I57" s="9" t="s">
        <v>3155</v>
      </c>
      <c r="J57" s="9" t="s">
        <v>96</v>
      </c>
      <c r="K57" s="9" t="s">
        <v>97</v>
      </c>
      <c r="L57" s="9" t="s">
        <v>3156</v>
      </c>
      <c r="M57" s="9"/>
      <c r="N57" s="9" t="s">
        <v>3156</v>
      </c>
      <c r="O57" s="9" t="s">
        <v>3298</v>
      </c>
      <c r="P57" s="9" t="s">
        <v>1100</v>
      </c>
      <c r="Q57" s="9" t="s">
        <v>1101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3122</v>
      </c>
      <c r="C58" s="8" t="s">
        <v>3299</v>
      </c>
      <c r="D58" s="8" t="s">
        <v>3300</v>
      </c>
      <c r="E58" s="8" t="s">
        <v>21</v>
      </c>
      <c r="F58" s="8" t="s">
        <v>22</v>
      </c>
      <c r="G58" s="8">
        <v>1113</v>
      </c>
      <c r="H58" s="8" t="s">
        <v>23</v>
      </c>
      <c r="I58" s="8" t="s">
        <v>866</v>
      </c>
      <c r="J58" s="8" t="s">
        <v>25</v>
      </c>
      <c r="K58" s="8" t="s">
        <v>26</v>
      </c>
      <c r="L58" s="8" t="s">
        <v>867</v>
      </c>
      <c r="M58" s="8">
        <v>5999</v>
      </c>
      <c r="N58" s="8" t="s">
        <v>867</v>
      </c>
      <c r="O58" s="8" t="s">
        <v>3301</v>
      </c>
      <c r="P58" s="8" t="s">
        <v>1100</v>
      </c>
      <c r="Q58" s="8" t="s">
        <v>1101</v>
      </c>
      <c r="R58" s="7"/>
      <c r="S58" s="61" t="s">
        <v>303</v>
      </c>
      <c r="T58" s="62">
        <f>T35</f>
        <v>0.26986880466472302</v>
      </c>
      <c r="U58" s="27" t="s">
        <v>304</v>
      </c>
      <c r="V58" s="38" t="str">
        <f>IF(T58&gt;=0.2,"✅ Meets","⚠️ Below")</f>
        <v>✅ Meets</v>
      </c>
      <c r="W58" s="29" t="s">
        <v>305</v>
      </c>
    </row>
    <row r="59" spans="1:23" ht="18" customHeight="1">
      <c r="A59" s="9">
        <v>58</v>
      </c>
      <c r="B59" s="9" t="s">
        <v>3122</v>
      </c>
      <c r="C59" s="9" t="s">
        <v>3302</v>
      </c>
      <c r="D59" s="9" t="s">
        <v>3303</v>
      </c>
      <c r="E59" s="9" t="s">
        <v>21</v>
      </c>
      <c r="F59" s="9" t="s">
        <v>22</v>
      </c>
      <c r="G59" s="9">
        <v>2200</v>
      </c>
      <c r="H59" s="9" t="s">
        <v>23</v>
      </c>
      <c r="I59" s="9" t="s">
        <v>3125</v>
      </c>
      <c r="J59" s="9" t="s">
        <v>36</v>
      </c>
      <c r="K59" s="9" t="s">
        <v>26</v>
      </c>
      <c r="L59" s="9" t="s">
        <v>3126</v>
      </c>
      <c r="M59" s="9">
        <v>6012</v>
      </c>
      <c r="N59" s="9" t="s">
        <v>3126</v>
      </c>
      <c r="O59" s="9" t="s">
        <v>3304</v>
      </c>
      <c r="P59" s="9" t="s">
        <v>1100</v>
      </c>
      <c r="Q59" s="9" t="s">
        <v>1101</v>
      </c>
      <c r="R59" s="7"/>
      <c r="S59" s="68" t="s">
        <v>308</v>
      </c>
      <c r="T59" s="69">
        <f>T36</f>
        <v>3085.5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3122</v>
      </c>
      <c r="C60" s="8" t="s">
        <v>3305</v>
      </c>
      <c r="D60" s="8" t="s">
        <v>3306</v>
      </c>
      <c r="E60" s="8" t="s">
        <v>21</v>
      </c>
      <c r="F60" s="8" t="s">
        <v>22</v>
      </c>
      <c r="G60" s="8">
        <v>1153</v>
      </c>
      <c r="H60" s="8" t="s">
        <v>23</v>
      </c>
      <c r="I60" s="8" t="s">
        <v>180</v>
      </c>
      <c r="J60" s="8" t="s">
        <v>41</v>
      </c>
      <c r="K60" s="8" t="s">
        <v>26</v>
      </c>
      <c r="L60" s="8" t="s">
        <v>181</v>
      </c>
      <c r="M60" s="8">
        <v>5411</v>
      </c>
      <c r="N60" s="8" t="s">
        <v>181</v>
      </c>
      <c r="O60" s="8" t="s">
        <v>3307</v>
      </c>
      <c r="P60" s="8" t="s">
        <v>1100</v>
      </c>
      <c r="Q60" s="8" t="s">
        <v>1101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3122</v>
      </c>
      <c r="C61" s="9" t="s">
        <v>3308</v>
      </c>
      <c r="D61" s="9" t="s">
        <v>3309</v>
      </c>
      <c r="E61" s="9" t="s">
        <v>21</v>
      </c>
      <c r="F61" s="9" t="s">
        <v>22</v>
      </c>
      <c r="G61" s="9">
        <v>1153</v>
      </c>
      <c r="H61" s="9" t="s">
        <v>23</v>
      </c>
      <c r="I61" s="9" t="s">
        <v>244</v>
      </c>
      <c r="J61" s="9" t="s">
        <v>41</v>
      </c>
      <c r="K61" s="9" t="s">
        <v>26</v>
      </c>
      <c r="L61" s="9" t="s">
        <v>245</v>
      </c>
      <c r="M61" s="9">
        <v>5411</v>
      </c>
      <c r="N61" s="9" t="s">
        <v>245</v>
      </c>
      <c r="O61" s="9" t="s">
        <v>3310</v>
      </c>
      <c r="P61" s="9" t="s">
        <v>1100</v>
      </c>
      <c r="Q61" s="9" t="s">
        <v>1101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3122</v>
      </c>
      <c r="C62" s="8" t="s">
        <v>3311</v>
      </c>
      <c r="D62" s="8" t="s">
        <v>3312</v>
      </c>
      <c r="E62" s="8" t="s">
        <v>21</v>
      </c>
      <c r="F62" s="8" t="s">
        <v>22</v>
      </c>
      <c r="G62" s="8">
        <v>316</v>
      </c>
      <c r="H62" s="8" t="s">
        <v>23</v>
      </c>
      <c r="I62" s="8" t="s">
        <v>574</v>
      </c>
      <c r="J62" s="8" t="s">
        <v>41</v>
      </c>
      <c r="K62" s="8" t="s">
        <v>26</v>
      </c>
      <c r="L62" s="8" t="s">
        <v>575</v>
      </c>
      <c r="M62" s="8">
        <v>5812</v>
      </c>
      <c r="N62" s="8" t="s">
        <v>575</v>
      </c>
      <c r="O62" s="8" t="s">
        <v>3313</v>
      </c>
      <c r="P62" s="8" t="s">
        <v>1100</v>
      </c>
      <c r="Q62" s="8" t="s">
        <v>1101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3122</v>
      </c>
      <c r="C63" s="9" t="s">
        <v>3314</v>
      </c>
      <c r="D63" s="9" t="s">
        <v>3315</v>
      </c>
      <c r="E63" s="9" t="s">
        <v>21</v>
      </c>
      <c r="F63" s="9" t="s">
        <v>22</v>
      </c>
      <c r="G63" s="9">
        <v>372</v>
      </c>
      <c r="H63" s="9" t="s">
        <v>23</v>
      </c>
      <c r="I63" s="9" t="s">
        <v>46</v>
      </c>
      <c r="J63" s="9" t="s">
        <v>41</v>
      </c>
      <c r="K63" s="9" t="s">
        <v>26</v>
      </c>
      <c r="L63" s="9" t="s">
        <v>47</v>
      </c>
      <c r="M63" s="9">
        <v>8011</v>
      </c>
      <c r="N63" s="9" t="s">
        <v>47</v>
      </c>
      <c r="O63" s="9" t="s">
        <v>3316</v>
      </c>
      <c r="P63" s="9" t="s">
        <v>1100</v>
      </c>
      <c r="Q63" s="9" t="s">
        <v>1101</v>
      </c>
      <c r="R63" s="7"/>
      <c r="S63" s="68" t="s">
        <v>333</v>
      </c>
      <c r="T63" s="74">
        <f>IFERROR((MIN(1,SUMPRODUCT((LEFT($C$2:$C$170,7)=TEXT(S9,"YYYY-MM"))*($E$2:$E$170="KSAOB.Credit")*($K$2:$K$170="KSAOB.Deposit")))+MIN(1,SUMPRODUCT((LEFT($C$2:$C$170,7)=TEXT(S10,"YYYY-MM"))*($E$2:$E$170="KSAOB.Credit")*($K$2:$K$170="KSAOB.Deposit")))+MIN(1,SUMPRODUCT((LEFT($C$2:$C$170,7)=TEXT(S11,"YYYY-MM"))*($E$2:$E$170="KSAOB.Credit")*($K$2:$K$170="KSAOB.Deposit")))+MIN(1,SUMPRODUCT((LEFT($C$2:$C$170,7)=TEXT(S12,"YYYY-MM"))*($E$2:$E$170="KSAOB.Credit")*($K$2:$K$170="KSAOB.Deposit")))+MIN(1,SUMPRODUCT((LEFT($C$2:$C$170,7)=TEXT(S13,"YYYY-MM"))*($E$2:$E$170="KSAOB.Credit")*($K$2:$K$170="KSAOB.Deposit")))+MIN(1,SUMPRODUCT((LEFT($C$2:$C$170,7)=TEXT(S14,"YYYY-MM"))*($E$2:$E$170="KSAOB.Credit")*($K$2:$K$170="KSAOB.Deposit")))+MIN(1,SUMPRODUCT((LEFT($C$2:$C$170,7)=TEXT(S15,"YYYY-MM"))*($E$2:$E$170="KSAOB.Credit")*($K$2:$K$170="KSAOB.Deposit")))+MIN(1,SUMPRODUCT((LEFT($C$2:$C$170,7)=TEXT(S16,"YYYY-MM"))*($E$2:$E$170="KSAOB.Credit")*($K$2:$K$170="KSAOB.Deposit")))+MIN(1,SUMPRODUCT((LEFT($C$2:$C$170,7)=TEXT(S17,"YYYY-MM"))*($E$2:$E$170="KSAOB.Credit")*($K$2:$K$170="KSAOB.Deposit")))+MIN(1,SUMPRODUCT((LEFT($C$2:$C$170,7)=TEXT(S18,"YYYY-MM"))*($E$2:$E$170="KSAOB.Credit")*($K$2:$K$170="KSAOB.Deposit")))+MIN(1,SUMPRODUCT((LEFT($C$2:$C$170,7)=TEXT(S19,"YYYY-MM"))*($E$2:$E$170="KSAOB.Credit")*($K$2:$K$170="KSAOB.Deposit")))+MIN(1,SUMPRODUCT((LEFT($C$2:$C$170,7)=TEXT(S20,"YYYY-MM"))*($E$2:$E$170="KSAOB.Credit")*($K$2:$K$170="KSAOB.Deposit"))))/12,0)</f>
        <v>1</v>
      </c>
      <c r="U63" s="32" t="s">
        <v>334</v>
      </c>
      <c r="V63" s="36" t="str">
        <f>IF(T63&gt;=0.9,"✅ Meets","⚠️ Below")</f>
        <v>✅ Meets</v>
      </c>
      <c r="W63" s="34" t="s">
        <v>878</v>
      </c>
    </row>
    <row r="64" spans="1:23" ht="15" customHeight="1">
      <c r="A64" s="8">
        <v>63</v>
      </c>
      <c r="B64" s="8" t="s">
        <v>3122</v>
      </c>
      <c r="C64" s="8" t="s">
        <v>3317</v>
      </c>
      <c r="D64" s="8" t="s">
        <v>3318</v>
      </c>
      <c r="E64" s="8" t="s">
        <v>21</v>
      </c>
      <c r="F64" s="8" t="s">
        <v>22</v>
      </c>
      <c r="G64" s="8">
        <v>488</v>
      </c>
      <c r="H64" s="8" t="s">
        <v>23</v>
      </c>
      <c r="I64" s="8" t="s">
        <v>86</v>
      </c>
      <c r="J64" s="8" t="s">
        <v>36</v>
      </c>
      <c r="K64" s="8" t="s">
        <v>26</v>
      </c>
      <c r="L64" s="8" t="s">
        <v>87</v>
      </c>
      <c r="M64" s="8">
        <v>4813</v>
      </c>
      <c r="N64" s="8" t="s">
        <v>87</v>
      </c>
      <c r="O64" s="8" t="s">
        <v>3319</v>
      </c>
      <c r="P64" s="8" t="s">
        <v>1100</v>
      </c>
      <c r="Q64" s="8" t="s">
        <v>1101</v>
      </c>
      <c r="R64" s="7"/>
    </row>
    <row r="65" spans="1:17" ht="15" customHeight="1">
      <c r="A65" s="9">
        <v>64</v>
      </c>
      <c r="B65" s="9" t="s">
        <v>3122</v>
      </c>
      <c r="C65" s="9" t="s">
        <v>3320</v>
      </c>
      <c r="D65" s="9" t="s">
        <v>3321</v>
      </c>
      <c r="E65" s="9" t="s">
        <v>21</v>
      </c>
      <c r="F65" s="9" t="s">
        <v>22</v>
      </c>
      <c r="G65" s="9">
        <v>673</v>
      </c>
      <c r="H65" s="9" t="s">
        <v>23</v>
      </c>
      <c r="I65" s="9" t="s">
        <v>123</v>
      </c>
      <c r="J65" s="9" t="s">
        <v>41</v>
      </c>
      <c r="K65" s="9" t="s">
        <v>26</v>
      </c>
      <c r="L65" s="9" t="s">
        <v>124</v>
      </c>
      <c r="M65" s="9">
        <v>5541</v>
      </c>
      <c r="N65" s="9" t="s">
        <v>124</v>
      </c>
      <c r="O65" s="9" t="s">
        <v>3322</v>
      </c>
      <c r="P65" s="9" t="s">
        <v>1100</v>
      </c>
      <c r="Q65" s="9" t="s">
        <v>1101</v>
      </c>
    </row>
    <row r="66" spans="1:17" ht="15" customHeight="1">
      <c r="A66" s="8">
        <v>65</v>
      </c>
      <c r="B66" s="8" t="s">
        <v>3122</v>
      </c>
      <c r="C66" s="8" t="s">
        <v>3323</v>
      </c>
      <c r="D66" s="8" t="s">
        <v>3324</v>
      </c>
      <c r="E66" s="8" t="s">
        <v>21</v>
      </c>
      <c r="F66" s="8" t="s">
        <v>22</v>
      </c>
      <c r="G66" s="8">
        <v>315</v>
      </c>
      <c r="H66" s="8" t="s">
        <v>23</v>
      </c>
      <c r="I66" s="8" t="s">
        <v>138</v>
      </c>
      <c r="J66" s="8" t="s">
        <v>41</v>
      </c>
      <c r="K66" s="8" t="s">
        <v>26</v>
      </c>
      <c r="L66" s="8" t="s">
        <v>139</v>
      </c>
      <c r="M66" s="8">
        <v>5812</v>
      </c>
      <c r="N66" s="8" t="s">
        <v>139</v>
      </c>
      <c r="O66" s="8" t="s">
        <v>3325</v>
      </c>
      <c r="P66" s="8" t="s">
        <v>1100</v>
      </c>
      <c r="Q66" s="8" t="s">
        <v>1101</v>
      </c>
    </row>
    <row r="67" spans="1:17" ht="15" customHeight="1">
      <c r="A67" s="9">
        <v>66</v>
      </c>
      <c r="B67" s="9" t="s">
        <v>3122</v>
      </c>
      <c r="C67" s="9" t="s">
        <v>3326</v>
      </c>
      <c r="D67" s="9" t="s">
        <v>3327</v>
      </c>
      <c r="E67" s="9" t="s">
        <v>21</v>
      </c>
      <c r="F67" s="9" t="s">
        <v>22</v>
      </c>
      <c r="G67" s="9">
        <v>1528</v>
      </c>
      <c r="H67" s="9" t="s">
        <v>23</v>
      </c>
      <c r="I67" s="9" t="s">
        <v>56</v>
      </c>
      <c r="J67" s="9" t="s">
        <v>41</v>
      </c>
      <c r="K67" s="9" t="s">
        <v>26</v>
      </c>
      <c r="L67" s="9" t="s">
        <v>57</v>
      </c>
      <c r="M67" s="9">
        <v>5999</v>
      </c>
      <c r="N67" s="9" t="s">
        <v>57</v>
      </c>
      <c r="O67" s="9" t="s">
        <v>3328</v>
      </c>
      <c r="P67" s="9" t="s">
        <v>1100</v>
      </c>
      <c r="Q67" s="9" t="s">
        <v>1101</v>
      </c>
    </row>
    <row r="68" spans="1:17" ht="15" customHeight="1">
      <c r="A68" s="8">
        <v>67</v>
      </c>
      <c r="B68" s="8" t="s">
        <v>3122</v>
      </c>
      <c r="C68" s="8" t="s">
        <v>3329</v>
      </c>
      <c r="D68" s="8" t="s">
        <v>3330</v>
      </c>
      <c r="E68" s="8" t="s">
        <v>21</v>
      </c>
      <c r="F68" s="8" t="s">
        <v>22</v>
      </c>
      <c r="G68" s="8">
        <v>895</v>
      </c>
      <c r="H68" s="8" t="s">
        <v>23</v>
      </c>
      <c r="I68" s="8" t="s">
        <v>198</v>
      </c>
      <c r="J68" s="8" t="s">
        <v>36</v>
      </c>
      <c r="K68" s="8" t="s">
        <v>26</v>
      </c>
      <c r="L68" s="8" t="s">
        <v>199</v>
      </c>
      <c r="M68" s="8">
        <v>4900</v>
      </c>
      <c r="N68" s="8" t="s">
        <v>199</v>
      </c>
      <c r="O68" s="8" t="s">
        <v>3331</v>
      </c>
      <c r="P68" s="8" t="s">
        <v>1100</v>
      </c>
      <c r="Q68" s="8" t="s">
        <v>1101</v>
      </c>
    </row>
    <row r="69" spans="1:17" ht="15" customHeight="1">
      <c r="A69" s="9">
        <v>68</v>
      </c>
      <c r="B69" s="9" t="s">
        <v>3122</v>
      </c>
      <c r="C69" s="9" t="s">
        <v>3332</v>
      </c>
      <c r="D69" s="9" t="s">
        <v>3333</v>
      </c>
      <c r="E69" s="9" t="s">
        <v>21</v>
      </c>
      <c r="F69" s="9" t="s">
        <v>22</v>
      </c>
      <c r="G69" s="9">
        <v>316</v>
      </c>
      <c r="H69" s="9" t="s">
        <v>23</v>
      </c>
      <c r="I69" s="9" t="s">
        <v>52</v>
      </c>
      <c r="J69" s="9" t="s">
        <v>41</v>
      </c>
      <c r="K69" s="9" t="s">
        <v>26</v>
      </c>
      <c r="L69" s="9" t="s">
        <v>53</v>
      </c>
      <c r="M69" s="9">
        <v>5812</v>
      </c>
      <c r="N69" s="9" t="s">
        <v>53</v>
      </c>
      <c r="O69" s="9" t="s">
        <v>3334</v>
      </c>
      <c r="P69" s="9" t="s">
        <v>1100</v>
      </c>
      <c r="Q69" s="9" t="s">
        <v>1101</v>
      </c>
    </row>
    <row r="70" spans="1:17" ht="15" customHeight="1">
      <c r="A70" s="8">
        <v>69</v>
      </c>
      <c r="B70" s="8" t="s">
        <v>3122</v>
      </c>
      <c r="C70" s="8" t="s">
        <v>3335</v>
      </c>
      <c r="D70" s="8" t="s">
        <v>3336</v>
      </c>
      <c r="E70" s="8" t="s">
        <v>94</v>
      </c>
      <c r="F70" s="8" t="s">
        <v>22</v>
      </c>
      <c r="G70" s="8">
        <v>11400</v>
      </c>
      <c r="H70" s="8" t="s">
        <v>23</v>
      </c>
      <c r="I70" s="8" t="s">
        <v>3155</v>
      </c>
      <c r="J70" s="8" t="s">
        <v>96</v>
      </c>
      <c r="K70" s="8" t="s">
        <v>97</v>
      </c>
      <c r="L70" s="8" t="s">
        <v>3156</v>
      </c>
      <c r="M70" s="8"/>
      <c r="N70" s="8" t="s">
        <v>3156</v>
      </c>
      <c r="O70" s="8" t="s">
        <v>3337</v>
      </c>
      <c r="P70" s="8" t="s">
        <v>1100</v>
      </c>
      <c r="Q70" s="8" t="s">
        <v>1101</v>
      </c>
    </row>
    <row r="71" spans="1:17" ht="15" customHeight="1">
      <c r="A71" s="9">
        <v>70</v>
      </c>
      <c r="B71" s="9" t="s">
        <v>3122</v>
      </c>
      <c r="C71" s="9" t="s">
        <v>3338</v>
      </c>
      <c r="D71" s="9" t="s">
        <v>3339</v>
      </c>
      <c r="E71" s="9" t="s">
        <v>21</v>
      </c>
      <c r="F71" s="9" t="s">
        <v>22</v>
      </c>
      <c r="G71" s="9">
        <v>2200</v>
      </c>
      <c r="H71" s="9" t="s">
        <v>23</v>
      </c>
      <c r="I71" s="9" t="s">
        <v>3125</v>
      </c>
      <c r="J71" s="9" t="s">
        <v>36</v>
      </c>
      <c r="K71" s="9" t="s">
        <v>26</v>
      </c>
      <c r="L71" s="9" t="s">
        <v>3126</v>
      </c>
      <c r="M71" s="9">
        <v>6012</v>
      </c>
      <c r="N71" s="9" t="s">
        <v>3126</v>
      </c>
      <c r="O71" s="9" t="s">
        <v>3340</v>
      </c>
      <c r="P71" s="9" t="s">
        <v>1100</v>
      </c>
      <c r="Q71" s="9" t="s">
        <v>1101</v>
      </c>
    </row>
    <row r="72" spans="1:17" ht="15" customHeight="1">
      <c r="A72" s="8">
        <v>71</v>
      </c>
      <c r="B72" s="8" t="s">
        <v>3122</v>
      </c>
      <c r="C72" s="8" t="s">
        <v>3341</v>
      </c>
      <c r="D72" s="8" t="s">
        <v>3342</v>
      </c>
      <c r="E72" s="8" t="s">
        <v>21</v>
      </c>
      <c r="F72" s="8" t="s">
        <v>22</v>
      </c>
      <c r="G72" s="8">
        <v>968</v>
      </c>
      <c r="H72" s="8" t="s">
        <v>23</v>
      </c>
      <c r="I72" s="8" t="s">
        <v>498</v>
      </c>
      <c r="J72" s="8" t="s">
        <v>36</v>
      </c>
      <c r="K72" s="8" t="s">
        <v>26</v>
      </c>
      <c r="L72" s="8" t="s">
        <v>499</v>
      </c>
      <c r="M72" s="8">
        <v>4900</v>
      </c>
      <c r="N72" s="8" t="s">
        <v>499</v>
      </c>
      <c r="O72" s="8" t="s">
        <v>3343</v>
      </c>
      <c r="P72" s="8" t="s">
        <v>1100</v>
      </c>
      <c r="Q72" s="8" t="s">
        <v>1101</v>
      </c>
    </row>
    <row r="73" spans="1:17" ht="15" customHeight="1">
      <c r="A73" s="9">
        <v>72</v>
      </c>
      <c r="B73" s="9" t="s">
        <v>3122</v>
      </c>
      <c r="C73" s="9" t="s">
        <v>3344</v>
      </c>
      <c r="D73" s="9" t="s">
        <v>3345</v>
      </c>
      <c r="E73" s="9" t="s">
        <v>21</v>
      </c>
      <c r="F73" s="9" t="s">
        <v>22</v>
      </c>
      <c r="G73" s="9">
        <v>667</v>
      </c>
      <c r="H73" s="9" t="s">
        <v>23</v>
      </c>
      <c r="I73" s="9" t="s">
        <v>123</v>
      </c>
      <c r="J73" s="9" t="s">
        <v>41</v>
      </c>
      <c r="K73" s="9" t="s">
        <v>26</v>
      </c>
      <c r="L73" s="9" t="s">
        <v>124</v>
      </c>
      <c r="M73" s="9">
        <v>5541</v>
      </c>
      <c r="N73" s="9" t="s">
        <v>124</v>
      </c>
      <c r="O73" s="9" t="s">
        <v>3346</v>
      </c>
      <c r="P73" s="9" t="s">
        <v>1100</v>
      </c>
      <c r="Q73" s="9" t="s">
        <v>1101</v>
      </c>
    </row>
    <row r="74" spans="1:17" ht="15" customHeight="1">
      <c r="A74" s="8">
        <v>73</v>
      </c>
      <c r="B74" s="8" t="s">
        <v>3122</v>
      </c>
      <c r="C74" s="8" t="s">
        <v>3347</v>
      </c>
      <c r="D74" s="8" t="s">
        <v>3348</v>
      </c>
      <c r="E74" s="8" t="s">
        <v>21</v>
      </c>
      <c r="F74" s="8" t="s">
        <v>22</v>
      </c>
      <c r="G74" s="8">
        <v>1023</v>
      </c>
      <c r="H74" s="8" t="s">
        <v>23</v>
      </c>
      <c r="I74" s="8" t="s">
        <v>159</v>
      </c>
      <c r="J74" s="8" t="s">
        <v>25</v>
      </c>
      <c r="K74" s="8" t="s">
        <v>26</v>
      </c>
      <c r="L74" s="8" t="s">
        <v>160</v>
      </c>
      <c r="M74" s="8">
        <v>5999</v>
      </c>
      <c r="N74" s="8" t="s">
        <v>160</v>
      </c>
      <c r="O74" s="8" t="s">
        <v>3349</v>
      </c>
      <c r="P74" s="8" t="s">
        <v>1100</v>
      </c>
      <c r="Q74" s="8" t="s">
        <v>1101</v>
      </c>
    </row>
    <row r="75" spans="1:17" ht="15" customHeight="1">
      <c r="A75" s="9">
        <v>74</v>
      </c>
      <c r="B75" s="9" t="s">
        <v>3122</v>
      </c>
      <c r="C75" s="9" t="s">
        <v>3350</v>
      </c>
      <c r="D75" s="9" t="s">
        <v>3351</v>
      </c>
      <c r="E75" s="9" t="s">
        <v>21</v>
      </c>
      <c r="F75" s="9" t="s">
        <v>22</v>
      </c>
      <c r="G75" s="9">
        <v>851</v>
      </c>
      <c r="H75" s="9" t="s">
        <v>23</v>
      </c>
      <c r="I75" s="9" t="s">
        <v>108</v>
      </c>
      <c r="J75" s="9" t="s">
        <v>41</v>
      </c>
      <c r="K75" s="9" t="s">
        <v>26</v>
      </c>
      <c r="L75" s="9" t="s">
        <v>57</v>
      </c>
      <c r="M75" s="9">
        <v>5999</v>
      </c>
      <c r="N75" s="9" t="s">
        <v>57</v>
      </c>
      <c r="O75" s="9" t="s">
        <v>3352</v>
      </c>
      <c r="P75" s="9" t="s">
        <v>1100</v>
      </c>
      <c r="Q75" s="9" t="s">
        <v>1101</v>
      </c>
    </row>
    <row r="76" spans="1:17" ht="15" customHeight="1">
      <c r="A76" s="8">
        <v>75</v>
      </c>
      <c r="B76" s="8" t="s">
        <v>3122</v>
      </c>
      <c r="C76" s="8" t="s">
        <v>3353</v>
      </c>
      <c r="D76" s="8" t="s">
        <v>3354</v>
      </c>
      <c r="E76" s="8" t="s">
        <v>21</v>
      </c>
      <c r="F76" s="8" t="s">
        <v>22</v>
      </c>
      <c r="G76" s="8">
        <v>580</v>
      </c>
      <c r="H76" s="8" t="s">
        <v>23</v>
      </c>
      <c r="I76" s="8" t="s">
        <v>86</v>
      </c>
      <c r="J76" s="8" t="s">
        <v>36</v>
      </c>
      <c r="K76" s="8" t="s">
        <v>26</v>
      </c>
      <c r="L76" s="8" t="s">
        <v>87</v>
      </c>
      <c r="M76" s="8">
        <v>4813</v>
      </c>
      <c r="N76" s="8" t="s">
        <v>87</v>
      </c>
      <c r="O76" s="8" t="s">
        <v>3355</v>
      </c>
      <c r="P76" s="8" t="s">
        <v>1100</v>
      </c>
      <c r="Q76" s="8" t="s">
        <v>1101</v>
      </c>
    </row>
    <row r="77" spans="1:17" ht="15" customHeight="1">
      <c r="A77" s="9">
        <v>76</v>
      </c>
      <c r="B77" s="9" t="s">
        <v>3122</v>
      </c>
      <c r="C77" s="9" t="s">
        <v>3356</v>
      </c>
      <c r="D77" s="9" t="s">
        <v>3357</v>
      </c>
      <c r="E77" s="9" t="s">
        <v>21</v>
      </c>
      <c r="F77" s="9" t="s">
        <v>22</v>
      </c>
      <c r="G77" s="9">
        <v>601</v>
      </c>
      <c r="H77" s="9" t="s">
        <v>23</v>
      </c>
      <c r="I77" s="9" t="s">
        <v>102</v>
      </c>
      <c r="J77" s="9" t="s">
        <v>41</v>
      </c>
      <c r="K77" s="9" t="s">
        <v>26</v>
      </c>
      <c r="L77" s="9" t="s">
        <v>103</v>
      </c>
      <c r="M77" s="9">
        <v>5411</v>
      </c>
      <c r="N77" s="9" t="s">
        <v>103</v>
      </c>
      <c r="O77" s="9" t="s">
        <v>3358</v>
      </c>
      <c r="P77" s="9" t="s">
        <v>1100</v>
      </c>
      <c r="Q77" s="9" t="s">
        <v>1101</v>
      </c>
    </row>
    <row r="78" spans="1:17" ht="15" customHeight="1">
      <c r="A78" s="8">
        <v>77</v>
      </c>
      <c r="B78" s="8" t="s">
        <v>3122</v>
      </c>
      <c r="C78" s="8" t="s">
        <v>3359</v>
      </c>
      <c r="D78" s="8" t="s">
        <v>3360</v>
      </c>
      <c r="E78" s="8" t="s">
        <v>21</v>
      </c>
      <c r="F78" s="8" t="s">
        <v>22</v>
      </c>
      <c r="G78" s="8">
        <v>601</v>
      </c>
      <c r="H78" s="8" t="s">
        <v>23</v>
      </c>
      <c r="I78" s="8" t="s">
        <v>180</v>
      </c>
      <c r="J78" s="8" t="s">
        <v>41</v>
      </c>
      <c r="K78" s="8" t="s">
        <v>26</v>
      </c>
      <c r="L78" s="8" t="s">
        <v>181</v>
      </c>
      <c r="M78" s="8">
        <v>5411</v>
      </c>
      <c r="N78" s="8" t="s">
        <v>181</v>
      </c>
      <c r="O78" s="8" t="s">
        <v>3361</v>
      </c>
      <c r="P78" s="8" t="s">
        <v>1100</v>
      </c>
      <c r="Q78" s="8" t="s">
        <v>1101</v>
      </c>
    </row>
    <row r="79" spans="1:17" ht="15" customHeight="1">
      <c r="A79" s="9">
        <v>78</v>
      </c>
      <c r="B79" s="9" t="s">
        <v>3122</v>
      </c>
      <c r="C79" s="9" t="s">
        <v>3362</v>
      </c>
      <c r="D79" s="9" t="s">
        <v>3363</v>
      </c>
      <c r="E79" s="9" t="s">
        <v>21</v>
      </c>
      <c r="F79" s="9" t="s">
        <v>22</v>
      </c>
      <c r="G79" s="9">
        <v>729</v>
      </c>
      <c r="H79" s="9" t="s">
        <v>23</v>
      </c>
      <c r="I79" s="9" t="s">
        <v>74</v>
      </c>
      <c r="J79" s="9" t="s">
        <v>41</v>
      </c>
      <c r="K79" s="9" t="s">
        <v>26</v>
      </c>
      <c r="L79" s="9" t="s">
        <v>75</v>
      </c>
      <c r="M79" s="9">
        <v>5812</v>
      </c>
      <c r="N79" s="9" t="s">
        <v>75</v>
      </c>
      <c r="O79" s="9" t="s">
        <v>3364</v>
      </c>
      <c r="P79" s="9" t="s">
        <v>1100</v>
      </c>
      <c r="Q79" s="9" t="s">
        <v>1101</v>
      </c>
    </row>
    <row r="80" spans="1:17" ht="15" customHeight="1">
      <c r="A80" s="8">
        <v>79</v>
      </c>
      <c r="B80" s="8" t="s">
        <v>3122</v>
      </c>
      <c r="C80" s="8" t="s">
        <v>3365</v>
      </c>
      <c r="D80" s="8" t="s">
        <v>3366</v>
      </c>
      <c r="E80" s="8" t="s">
        <v>21</v>
      </c>
      <c r="F80" s="8" t="s">
        <v>22</v>
      </c>
      <c r="G80" s="8">
        <v>600</v>
      </c>
      <c r="H80" s="8" t="s">
        <v>23</v>
      </c>
      <c r="I80" s="8" t="s">
        <v>379</v>
      </c>
      <c r="J80" s="8" t="s">
        <v>41</v>
      </c>
      <c r="K80" s="8" t="s">
        <v>26</v>
      </c>
      <c r="L80" s="8" t="s">
        <v>380</v>
      </c>
      <c r="M80" s="8">
        <v>5411</v>
      </c>
      <c r="N80" s="8" t="s">
        <v>380</v>
      </c>
      <c r="O80" s="8" t="s">
        <v>3367</v>
      </c>
      <c r="P80" s="8" t="s">
        <v>1100</v>
      </c>
      <c r="Q80" s="8" t="s">
        <v>1101</v>
      </c>
    </row>
    <row r="81" spans="1:17" ht="15" customHeight="1">
      <c r="A81" s="9">
        <v>80</v>
      </c>
      <c r="B81" s="9" t="s">
        <v>3122</v>
      </c>
      <c r="C81" s="9" t="s">
        <v>3368</v>
      </c>
      <c r="D81" s="9" t="s">
        <v>3369</v>
      </c>
      <c r="E81" s="9" t="s">
        <v>94</v>
      </c>
      <c r="F81" s="9" t="s">
        <v>22</v>
      </c>
      <c r="G81" s="9">
        <v>11600</v>
      </c>
      <c r="H81" s="9" t="s">
        <v>23</v>
      </c>
      <c r="I81" s="9" t="s">
        <v>3155</v>
      </c>
      <c r="J81" s="9" t="s">
        <v>96</v>
      </c>
      <c r="K81" s="9" t="s">
        <v>97</v>
      </c>
      <c r="L81" s="9" t="s">
        <v>3156</v>
      </c>
      <c r="M81" s="9"/>
      <c r="N81" s="9" t="s">
        <v>3156</v>
      </c>
      <c r="O81" s="9" t="s">
        <v>3370</v>
      </c>
      <c r="P81" s="9" t="s">
        <v>1100</v>
      </c>
      <c r="Q81" s="9" t="s">
        <v>1101</v>
      </c>
    </row>
    <row r="82" spans="1:17" ht="15" customHeight="1">
      <c r="A82" s="8">
        <v>81</v>
      </c>
      <c r="B82" s="8" t="s">
        <v>3122</v>
      </c>
      <c r="C82" s="8" t="s">
        <v>3371</v>
      </c>
      <c r="D82" s="8" t="s">
        <v>3372</v>
      </c>
      <c r="E82" s="8" t="s">
        <v>21</v>
      </c>
      <c r="F82" s="8" t="s">
        <v>22</v>
      </c>
      <c r="G82" s="8">
        <v>1003</v>
      </c>
      <c r="H82" s="8" t="s">
        <v>23</v>
      </c>
      <c r="I82" s="8" t="s">
        <v>56</v>
      </c>
      <c r="J82" s="8" t="s">
        <v>41</v>
      </c>
      <c r="K82" s="8" t="s">
        <v>26</v>
      </c>
      <c r="L82" s="8" t="s">
        <v>57</v>
      </c>
      <c r="M82" s="8">
        <v>5999</v>
      </c>
      <c r="N82" s="8" t="s">
        <v>57</v>
      </c>
      <c r="O82" s="8" t="s">
        <v>3373</v>
      </c>
      <c r="P82" s="8" t="s">
        <v>1100</v>
      </c>
      <c r="Q82" s="8" t="s">
        <v>1101</v>
      </c>
    </row>
    <row r="83" spans="1:17" ht="15" customHeight="1">
      <c r="A83" s="9">
        <v>82</v>
      </c>
      <c r="B83" s="9" t="s">
        <v>3122</v>
      </c>
      <c r="C83" s="9" t="s">
        <v>3374</v>
      </c>
      <c r="D83" s="9" t="s">
        <v>3375</v>
      </c>
      <c r="E83" s="9" t="s">
        <v>21</v>
      </c>
      <c r="F83" s="9" t="s">
        <v>22</v>
      </c>
      <c r="G83" s="9">
        <v>851</v>
      </c>
      <c r="H83" s="9" t="s">
        <v>23</v>
      </c>
      <c r="I83" s="9" t="s">
        <v>363</v>
      </c>
      <c r="J83" s="9" t="s">
        <v>41</v>
      </c>
      <c r="K83" s="9" t="s">
        <v>26</v>
      </c>
      <c r="L83" s="9" t="s">
        <v>364</v>
      </c>
      <c r="M83" s="9">
        <v>5999</v>
      </c>
      <c r="N83" s="9" t="s">
        <v>364</v>
      </c>
      <c r="O83" s="9" t="s">
        <v>3376</v>
      </c>
      <c r="P83" s="9" t="s">
        <v>1100</v>
      </c>
      <c r="Q83" s="9" t="s">
        <v>1101</v>
      </c>
    </row>
    <row r="84" spans="1:17" ht="15" customHeight="1">
      <c r="A84" s="8">
        <v>83</v>
      </c>
      <c r="B84" s="8" t="s">
        <v>3122</v>
      </c>
      <c r="C84" s="8" t="s">
        <v>3377</v>
      </c>
      <c r="D84" s="8" t="s">
        <v>3378</v>
      </c>
      <c r="E84" s="8" t="s">
        <v>21</v>
      </c>
      <c r="F84" s="8" t="s">
        <v>22</v>
      </c>
      <c r="G84" s="8">
        <v>2200</v>
      </c>
      <c r="H84" s="8" t="s">
        <v>23</v>
      </c>
      <c r="I84" s="8" t="s">
        <v>3125</v>
      </c>
      <c r="J84" s="8" t="s">
        <v>36</v>
      </c>
      <c r="K84" s="8" t="s">
        <v>26</v>
      </c>
      <c r="L84" s="8" t="s">
        <v>3126</v>
      </c>
      <c r="M84" s="8">
        <v>6012</v>
      </c>
      <c r="N84" s="8" t="s">
        <v>3126</v>
      </c>
      <c r="O84" s="8" t="s">
        <v>3379</v>
      </c>
      <c r="P84" s="8" t="s">
        <v>1100</v>
      </c>
      <c r="Q84" s="8" t="s">
        <v>1101</v>
      </c>
    </row>
    <row r="85" spans="1:17" ht="15" customHeight="1">
      <c r="A85" s="9">
        <v>84</v>
      </c>
      <c r="B85" s="9" t="s">
        <v>3122</v>
      </c>
      <c r="C85" s="9" t="s">
        <v>3380</v>
      </c>
      <c r="D85" s="9" t="s">
        <v>3381</v>
      </c>
      <c r="E85" s="9" t="s">
        <v>21</v>
      </c>
      <c r="F85" s="9" t="s">
        <v>22</v>
      </c>
      <c r="G85" s="9">
        <v>273</v>
      </c>
      <c r="H85" s="9" t="s">
        <v>23</v>
      </c>
      <c r="I85" s="9" t="s">
        <v>74</v>
      </c>
      <c r="J85" s="9" t="s">
        <v>41</v>
      </c>
      <c r="K85" s="9" t="s">
        <v>26</v>
      </c>
      <c r="L85" s="9" t="s">
        <v>75</v>
      </c>
      <c r="M85" s="9">
        <v>5812</v>
      </c>
      <c r="N85" s="9" t="s">
        <v>75</v>
      </c>
      <c r="O85" s="9" t="s">
        <v>3382</v>
      </c>
      <c r="P85" s="9" t="s">
        <v>1100</v>
      </c>
      <c r="Q85" s="9" t="s">
        <v>1101</v>
      </c>
    </row>
    <row r="86" spans="1:17" ht="15" customHeight="1">
      <c r="A86" s="8">
        <v>85</v>
      </c>
      <c r="B86" s="8" t="s">
        <v>3122</v>
      </c>
      <c r="C86" s="8" t="s">
        <v>3383</v>
      </c>
      <c r="D86" s="8" t="s">
        <v>3384</v>
      </c>
      <c r="E86" s="8" t="s">
        <v>21</v>
      </c>
      <c r="F86" s="8" t="s">
        <v>22</v>
      </c>
      <c r="G86" s="8">
        <v>548</v>
      </c>
      <c r="H86" s="8" t="s">
        <v>23</v>
      </c>
      <c r="I86" s="8" t="s">
        <v>174</v>
      </c>
      <c r="J86" s="8" t="s">
        <v>36</v>
      </c>
      <c r="K86" s="8" t="s">
        <v>26</v>
      </c>
      <c r="L86" s="8" t="s">
        <v>175</v>
      </c>
      <c r="M86" s="8">
        <v>4813</v>
      </c>
      <c r="N86" s="8" t="s">
        <v>175</v>
      </c>
      <c r="O86" s="8" t="s">
        <v>3385</v>
      </c>
      <c r="P86" s="8" t="s">
        <v>1100</v>
      </c>
      <c r="Q86" s="8" t="s">
        <v>1101</v>
      </c>
    </row>
    <row r="87" spans="1:17" ht="15" customHeight="1">
      <c r="A87" s="9">
        <v>86</v>
      </c>
      <c r="B87" s="9" t="s">
        <v>3122</v>
      </c>
      <c r="C87" s="9" t="s">
        <v>3386</v>
      </c>
      <c r="D87" s="9" t="s">
        <v>3387</v>
      </c>
      <c r="E87" s="9" t="s">
        <v>21</v>
      </c>
      <c r="F87" s="9" t="s">
        <v>22</v>
      </c>
      <c r="G87" s="9">
        <v>553</v>
      </c>
      <c r="H87" s="9" t="s">
        <v>23</v>
      </c>
      <c r="I87" s="9" t="s">
        <v>560</v>
      </c>
      <c r="J87" s="9" t="s">
        <v>331</v>
      </c>
      <c r="K87" s="9" t="s">
        <v>26</v>
      </c>
      <c r="L87" s="9" t="s">
        <v>561</v>
      </c>
      <c r="M87" s="9">
        <v>6011</v>
      </c>
      <c r="N87" s="9" t="s">
        <v>561</v>
      </c>
      <c r="O87" s="9" t="s">
        <v>3388</v>
      </c>
      <c r="P87" s="9" t="s">
        <v>1100</v>
      </c>
      <c r="Q87" s="9" t="s">
        <v>1101</v>
      </c>
    </row>
    <row r="88" spans="1:17" ht="15" customHeight="1">
      <c r="A88" s="8">
        <v>87</v>
      </c>
      <c r="B88" s="8" t="s">
        <v>3122</v>
      </c>
      <c r="C88" s="8" t="s">
        <v>3389</v>
      </c>
      <c r="D88" s="8" t="s">
        <v>3390</v>
      </c>
      <c r="E88" s="8" t="s">
        <v>21</v>
      </c>
      <c r="F88" s="8" t="s">
        <v>22</v>
      </c>
      <c r="G88" s="8">
        <v>273</v>
      </c>
      <c r="H88" s="8" t="s">
        <v>23</v>
      </c>
      <c r="I88" s="8" t="s">
        <v>52</v>
      </c>
      <c r="J88" s="8" t="s">
        <v>41</v>
      </c>
      <c r="K88" s="8" t="s">
        <v>26</v>
      </c>
      <c r="L88" s="8" t="s">
        <v>53</v>
      </c>
      <c r="M88" s="8">
        <v>5812</v>
      </c>
      <c r="N88" s="8" t="s">
        <v>53</v>
      </c>
      <c r="O88" s="8" t="s">
        <v>3391</v>
      </c>
      <c r="P88" s="8" t="s">
        <v>1100</v>
      </c>
      <c r="Q88" s="8" t="s">
        <v>1101</v>
      </c>
    </row>
    <row r="89" spans="1:17" ht="15" customHeight="1">
      <c r="A89" s="9">
        <v>88</v>
      </c>
      <c r="B89" s="9" t="s">
        <v>3122</v>
      </c>
      <c r="C89" s="9" t="s">
        <v>3392</v>
      </c>
      <c r="D89" s="9" t="s">
        <v>3393</v>
      </c>
      <c r="E89" s="9" t="s">
        <v>21</v>
      </c>
      <c r="F89" s="9" t="s">
        <v>22</v>
      </c>
      <c r="G89" s="9">
        <v>274</v>
      </c>
      <c r="H89" s="9" t="s">
        <v>23</v>
      </c>
      <c r="I89" s="9" t="s">
        <v>115</v>
      </c>
      <c r="J89" s="9" t="s">
        <v>41</v>
      </c>
      <c r="K89" s="9" t="s">
        <v>26</v>
      </c>
      <c r="L89" s="9" t="s">
        <v>116</v>
      </c>
      <c r="M89" s="9">
        <v>5812</v>
      </c>
      <c r="N89" s="9" t="s">
        <v>116</v>
      </c>
      <c r="O89" s="9" t="s">
        <v>3394</v>
      </c>
      <c r="P89" s="9" t="s">
        <v>1100</v>
      </c>
      <c r="Q89" s="9" t="s">
        <v>1101</v>
      </c>
    </row>
    <row r="90" spans="1:17" ht="15" customHeight="1">
      <c r="A90" s="8">
        <v>89</v>
      </c>
      <c r="B90" s="8" t="s">
        <v>3122</v>
      </c>
      <c r="C90" s="8" t="s">
        <v>3395</v>
      </c>
      <c r="D90" s="8" t="s">
        <v>3396</v>
      </c>
      <c r="E90" s="8" t="s">
        <v>21</v>
      </c>
      <c r="F90" s="8" t="s">
        <v>22</v>
      </c>
      <c r="G90" s="8">
        <v>875</v>
      </c>
      <c r="H90" s="8" t="s">
        <v>23</v>
      </c>
      <c r="I90" s="8" t="s">
        <v>498</v>
      </c>
      <c r="J90" s="8" t="s">
        <v>36</v>
      </c>
      <c r="K90" s="8" t="s">
        <v>26</v>
      </c>
      <c r="L90" s="8" t="s">
        <v>499</v>
      </c>
      <c r="M90" s="8">
        <v>4900</v>
      </c>
      <c r="N90" s="8" t="s">
        <v>499</v>
      </c>
      <c r="O90" s="8" t="s">
        <v>3397</v>
      </c>
      <c r="P90" s="8" t="s">
        <v>1100</v>
      </c>
      <c r="Q90" s="8" t="s">
        <v>1101</v>
      </c>
    </row>
    <row r="91" spans="1:17" ht="15" customHeight="1">
      <c r="A91" s="9">
        <v>90</v>
      </c>
      <c r="B91" s="9" t="s">
        <v>3122</v>
      </c>
      <c r="C91" s="9" t="s">
        <v>3398</v>
      </c>
      <c r="D91" s="9" t="s">
        <v>3399</v>
      </c>
      <c r="E91" s="9" t="s">
        <v>21</v>
      </c>
      <c r="F91" s="9" t="s">
        <v>22</v>
      </c>
      <c r="G91" s="9">
        <v>538</v>
      </c>
      <c r="H91" s="9" t="s">
        <v>23</v>
      </c>
      <c r="I91" s="9" t="s">
        <v>318</v>
      </c>
      <c r="J91" s="9" t="s">
        <v>25</v>
      </c>
      <c r="K91" s="9" t="s">
        <v>26</v>
      </c>
      <c r="L91" s="9" t="s">
        <v>319</v>
      </c>
      <c r="M91" s="9">
        <v>5999</v>
      </c>
      <c r="N91" s="9" t="s">
        <v>319</v>
      </c>
      <c r="O91" s="9" t="s">
        <v>3400</v>
      </c>
      <c r="P91" s="9" t="s">
        <v>1100</v>
      </c>
      <c r="Q91" s="9" t="s">
        <v>1101</v>
      </c>
    </row>
    <row r="92" spans="1:17" ht="15" customHeight="1">
      <c r="A92" s="8">
        <v>91</v>
      </c>
      <c r="B92" s="8" t="s">
        <v>3122</v>
      </c>
      <c r="C92" s="8" t="s">
        <v>3401</v>
      </c>
      <c r="D92" s="8" t="s">
        <v>3402</v>
      </c>
      <c r="E92" s="8" t="s">
        <v>21</v>
      </c>
      <c r="F92" s="8" t="s">
        <v>22</v>
      </c>
      <c r="G92" s="8">
        <v>829</v>
      </c>
      <c r="H92" s="8" t="s">
        <v>23</v>
      </c>
      <c r="I92" s="8" t="s">
        <v>186</v>
      </c>
      <c r="J92" s="8" t="s">
        <v>41</v>
      </c>
      <c r="K92" s="8" t="s">
        <v>26</v>
      </c>
      <c r="L92" s="8" t="s">
        <v>187</v>
      </c>
      <c r="M92" s="8">
        <v>5999</v>
      </c>
      <c r="N92" s="8" t="s">
        <v>187</v>
      </c>
      <c r="O92" s="8" t="s">
        <v>3403</v>
      </c>
      <c r="P92" s="8" t="s">
        <v>1100</v>
      </c>
      <c r="Q92" s="8" t="s">
        <v>1101</v>
      </c>
    </row>
    <row r="93" spans="1:17" ht="15" customHeight="1">
      <c r="A93" s="9">
        <v>92</v>
      </c>
      <c r="B93" s="9" t="s">
        <v>3122</v>
      </c>
      <c r="C93" s="9" t="s">
        <v>3404</v>
      </c>
      <c r="D93" s="9" t="s">
        <v>3405</v>
      </c>
      <c r="E93" s="9" t="s">
        <v>21</v>
      </c>
      <c r="F93" s="9" t="s">
        <v>22</v>
      </c>
      <c r="G93" s="9">
        <v>585</v>
      </c>
      <c r="H93" s="9" t="s">
        <v>23</v>
      </c>
      <c r="I93" s="9" t="s">
        <v>379</v>
      </c>
      <c r="J93" s="9" t="s">
        <v>41</v>
      </c>
      <c r="K93" s="9" t="s">
        <v>26</v>
      </c>
      <c r="L93" s="9" t="s">
        <v>380</v>
      </c>
      <c r="M93" s="9">
        <v>5411</v>
      </c>
      <c r="N93" s="9" t="s">
        <v>380</v>
      </c>
      <c r="O93" s="9" t="s">
        <v>3406</v>
      </c>
      <c r="P93" s="9" t="s">
        <v>1100</v>
      </c>
      <c r="Q93" s="9" t="s">
        <v>1101</v>
      </c>
    </row>
    <row r="94" spans="1:17" ht="15" customHeight="1">
      <c r="A94" s="8">
        <v>93</v>
      </c>
      <c r="B94" s="8" t="s">
        <v>3122</v>
      </c>
      <c r="C94" s="8" t="s">
        <v>3407</v>
      </c>
      <c r="D94" s="8" t="s">
        <v>3408</v>
      </c>
      <c r="E94" s="8" t="s">
        <v>21</v>
      </c>
      <c r="F94" s="8" t="s">
        <v>22</v>
      </c>
      <c r="G94" s="8">
        <v>271</v>
      </c>
      <c r="H94" s="8" t="s">
        <v>23</v>
      </c>
      <c r="I94" s="8" t="s">
        <v>56</v>
      </c>
      <c r="J94" s="8" t="s">
        <v>41</v>
      </c>
      <c r="K94" s="8" t="s">
        <v>26</v>
      </c>
      <c r="L94" s="8" t="s">
        <v>57</v>
      </c>
      <c r="M94" s="8">
        <v>5999</v>
      </c>
      <c r="N94" s="8" t="s">
        <v>57</v>
      </c>
      <c r="O94" s="8" t="s">
        <v>3409</v>
      </c>
      <c r="P94" s="8" t="s">
        <v>1100</v>
      </c>
      <c r="Q94" s="8" t="s">
        <v>1101</v>
      </c>
    </row>
    <row r="95" spans="1:17" ht="15" customHeight="1">
      <c r="A95" s="9">
        <v>94</v>
      </c>
      <c r="B95" s="9" t="s">
        <v>3122</v>
      </c>
      <c r="C95" s="9" t="s">
        <v>3410</v>
      </c>
      <c r="D95" s="9" t="s">
        <v>3411</v>
      </c>
      <c r="E95" s="9" t="s">
        <v>21</v>
      </c>
      <c r="F95" s="9" t="s">
        <v>22</v>
      </c>
      <c r="G95" s="9">
        <v>829</v>
      </c>
      <c r="H95" s="9" t="s">
        <v>23</v>
      </c>
      <c r="I95" s="9" t="s">
        <v>186</v>
      </c>
      <c r="J95" s="9" t="s">
        <v>41</v>
      </c>
      <c r="K95" s="9" t="s">
        <v>26</v>
      </c>
      <c r="L95" s="9" t="s">
        <v>187</v>
      </c>
      <c r="M95" s="9">
        <v>5999</v>
      </c>
      <c r="N95" s="9" t="s">
        <v>187</v>
      </c>
      <c r="O95" s="9" t="s">
        <v>3412</v>
      </c>
      <c r="P95" s="9" t="s">
        <v>1100</v>
      </c>
      <c r="Q95" s="9" t="s">
        <v>1101</v>
      </c>
    </row>
    <row r="96" spans="1:17" ht="15" customHeight="1">
      <c r="A96" s="8">
        <v>95</v>
      </c>
      <c r="B96" s="8" t="s">
        <v>3122</v>
      </c>
      <c r="C96" s="8" t="s">
        <v>3413</v>
      </c>
      <c r="D96" s="8" t="s">
        <v>3414</v>
      </c>
      <c r="E96" s="8" t="s">
        <v>21</v>
      </c>
      <c r="F96" s="8" t="s">
        <v>22</v>
      </c>
      <c r="G96" s="8">
        <v>584</v>
      </c>
      <c r="H96" s="8" t="s">
        <v>23</v>
      </c>
      <c r="I96" s="8" t="s">
        <v>379</v>
      </c>
      <c r="J96" s="8" t="s">
        <v>41</v>
      </c>
      <c r="K96" s="8" t="s">
        <v>26</v>
      </c>
      <c r="L96" s="8" t="s">
        <v>380</v>
      </c>
      <c r="M96" s="8">
        <v>5411</v>
      </c>
      <c r="N96" s="8" t="s">
        <v>380</v>
      </c>
      <c r="O96" s="8" t="s">
        <v>3415</v>
      </c>
      <c r="P96" s="8" t="s">
        <v>1100</v>
      </c>
      <c r="Q96" s="8" t="s">
        <v>1101</v>
      </c>
    </row>
    <row r="97" spans="1:17" ht="15" customHeight="1">
      <c r="A97" s="9">
        <v>96</v>
      </c>
      <c r="B97" s="9" t="s">
        <v>3122</v>
      </c>
      <c r="C97" s="9" t="s">
        <v>3416</v>
      </c>
      <c r="D97" s="9" t="s">
        <v>3417</v>
      </c>
      <c r="E97" s="9" t="s">
        <v>21</v>
      </c>
      <c r="F97" s="9" t="s">
        <v>22</v>
      </c>
      <c r="G97" s="9">
        <v>539</v>
      </c>
      <c r="H97" s="9" t="s">
        <v>23</v>
      </c>
      <c r="I97" s="9" t="s">
        <v>212</v>
      </c>
      <c r="J97" s="9" t="s">
        <v>25</v>
      </c>
      <c r="K97" s="9" t="s">
        <v>26</v>
      </c>
      <c r="L97" s="9" t="s">
        <v>213</v>
      </c>
      <c r="M97" s="9">
        <v>5999</v>
      </c>
      <c r="N97" s="9" t="s">
        <v>213</v>
      </c>
      <c r="O97" s="9" t="s">
        <v>3418</v>
      </c>
      <c r="P97" s="9" t="s">
        <v>1100</v>
      </c>
      <c r="Q97" s="9" t="s">
        <v>1101</v>
      </c>
    </row>
    <row r="98" spans="1:17" ht="15" customHeight="1">
      <c r="A98" s="8">
        <v>97</v>
      </c>
      <c r="B98" s="8" t="s">
        <v>3122</v>
      </c>
      <c r="C98" s="8" t="s">
        <v>3419</v>
      </c>
      <c r="D98" s="8" t="s">
        <v>3420</v>
      </c>
      <c r="E98" s="8" t="s">
        <v>21</v>
      </c>
      <c r="F98" s="8" t="s">
        <v>22</v>
      </c>
      <c r="G98" s="8">
        <v>694</v>
      </c>
      <c r="H98" s="8" t="s">
        <v>23</v>
      </c>
      <c r="I98" s="8" t="s">
        <v>70</v>
      </c>
      <c r="J98" s="8" t="s">
        <v>41</v>
      </c>
      <c r="K98" s="8" t="s">
        <v>26</v>
      </c>
      <c r="L98" s="8" t="s">
        <v>71</v>
      </c>
      <c r="M98" s="8">
        <v>5541</v>
      </c>
      <c r="N98" s="8" t="s">
        <v>71</v>
      </c>
      <c r="O98" s="8" t="s">
        <v>3421</v>
      </c>
      <c r="P98" s="8" t="s">
        <v>1100</v>
      </c>
      <c r="Q98" s="8" t="s">
        <v>1101</v>
      </c>
    </row>
    <row r="99" spans="1:17" ht="15" customHeight="1">
      <c r="A99" s="9">
        <v>98</v>
      </c>
      <c r="B99" s="9" t="s">
        <v>3122</v>
      </c>
      <c r="C99" s="9" t="s">
        <v>3422</v>
      </c>
      <c r="D99" s="9" t="s">
        <v>3423</v>
      </c>
      <c r="E99" s="9" t="s">
        <v>94</v>
      </c>
      <c r="F99" s="9" t="s">
        <v>22</v>
      </c>
      <c r="G99" s="9">
        <v>11300</v>
      </c>
      <c r="H99" s="9" t="s">
        <v>23</v>
      </c>
      <c r="I99" s="9" t="s">
        <v>3155</v>
      </c>
      <c r="J99" s="9" t="s">
        <v>96</v>
      </c>
      <c r="K99" s="9" t="s">
        <v>97</v>
      </c>
      <c r="L99" s="9" t="s">
        <v>3156</v>
      </c>
      <c r="M99" s="9"/>
      <c r="N99" s="9" t="s">
        <v>3156</v>
      </c>
      <c r="O99" s="9" t="s">
        <v>3424</v>
      </c>
      <c r="P99" s="9" t="s">
        <v>1100</v>
      </c>
      <c r="Q99" s="9" t="s">
        <v>1101</v>
      </c>
    </row>
    <row r="100" spans="1:17" ht="15" customHeight="1">
      <c r="A100" s="8">
        <v>99</v>
      </c>
      <c r="B100" s="8" t="s">
        <v>3122</v>
      </c>
      <c r="C100" s="8" t="s">
        <v>3425</v>
      </c>
      <c r="D100" s="8" t="s">
        <v>3426</v>
      </c>
      <c r="E100" s="8" t="s">
        <v>21</v>
      </c>
      <c r="F100" s="8" t="s">
        <v>22</v>
      </c>
      <c r="G100" s="8">
        <v>584</v>
      </c>
      <c r="H100" s="8" t="s">
        <v>23</v>
      </c>
      <c r="I100" s="8" t="s">
        <v>244</v>
      </c>
      <c r="J100" s="8" t="s">
        <v>41</v>
      </c>
      <c r="K100" s="8" t="s">
        <v>26</v>
      </c>
      <c r="L100" s="8" t="s">
        <v>245</v>
      </c>
      <c r="M100" s="8">
        <v>5411</v>
      </c>
      <c r="N100" s="8" t="s">
        <v>245</v>
      </c>
      <c r="O100" s="8" t="s">
        <v>3427</v>
      </c>
      <c r="P100" s="8" t="s">
        <v>1100</v>
      </c>
      <c r="Q100" s="8" t="s">
        <v>1101</v>
      </c>
    </row>
    <row r="101" spans="1:17" ht="15" customHeight="1">
      <c r="A101" s="9">
        <v>100</v>
      </c>
      <c r="B101" s="9" t="s">
        <v>3122</v>
      </c>
      <c r="C101" s="9" t="s">
        <v>3428</v>
      </c>
      <c r="D101" s="9" t="s">
        <v>3429</v>
      </c>
      <c r="E101" s="9" t="s">
        <v>21</v>
      </c>
      <c r="F101" s="9" t="s">
        <v>22</v>
      </c>
      <c r="G101" s="9">
        <v>2200</v>
      </c>
      <c r="H101" s="9" t="s">
        <v>23</v>
      </c>
      <c r="I101" s="9" t="s">
        <v>3125</v>
      </c>
      <c r="J101" s="9" t="s">
        <v>36</v>
      </c>
      <c r="K101" s="9" t="s">
        <v>26</v>
      </c>
      <c r="L101" s="9" t="s">
        <v>3126</v>
      </c>
      <c r="M101" s="9">
        <v>6012</v>
      </c>
      <c r="N101" s="9" t="s">
        <v>3126</v>
      </c>
      <c r="O101" s="9" t="s">
        <v>3430</v>
      </c>
      <c r="P101" s="9" t="s">
        <v>1100</v>
      </c>
      <c r="Q101" s="9" t="s">
        <v>1101</v>
      </c>
    </row>
    <row r="102" spans="1:17" ht="15" customHeight="1">
      <c r="A102" s="8">
        <v>101</v>
      </c>
      <c r="B102" s="8" t="s">
        <v>3122</v>
      </c>
      <c r="C102" s="8" t="s">
        <v>3431</v>
      </c>
      <c r="D102" s="8" t="s">
        <v>3432</v>
      </c>
      <c r="E102" s="8" t="s">
        <v>21</v>
      </c>
      <c r="F102" s="8" t="s">
        <v>22</v>
      </c>
      <c r="G102" s="8">
        <v>773</v>
      </c>
      <c r="H102" s="8" t="s">
        <v>23</v>
      </c>
      <c r="I102" s="8" t="s">
        <v>254</v>
      </c>
      <c r="J102" s="8" t="s">
        <v>41</v>
      </c>
      <c r="K102" s="8" t="s">
        <v>26</v>
      </c>
      <c r="L102" s="8" t="s">
        <v>255</v>
      </c>
      <c r="M102" s="8">
        <v>5812</v>
      </c>
      <c r="N102" s="8" t="s">
        <v>255</v>
      </c>
      <c r="O102" s="8" t="s">
        <v>3433</v>
      </c>
      <c r="P102" s="8" t="s">
        <v>1100</v>
      </c>
      <c r="Q102" s="8" t="s">
        <v>1101</v>
      </c>
    </row>
    <row r="103" spans="1:17" ht="15" customHeight="1">
      <c r="A103" s="9">
        <v>102</v>
      </c>
      <c r="B103" s="9" t="s">
        <v>3122</v>
      </c>
      <c r="C103" s="9" t="s">
        <v>3434</v>
      </c>
      <c r="D103" s="9" t="s">
        <v>3435</v>
      </c>
      <c r="E103" s="9" t="s">
        <v>21</v>
      </c>
      <c r="F103" s="9" t="s">
        <v>22</v>
      </c>
      <c r="G103" s="9">
        <v>798</v>
      </c>
      <c r="H103" s="9" t="s">
        <v>23</v>
      </c>
      <c r="I103" s="9" t="s">
        <v>379</v>
      </c>
      <c r="J103" s="9" t="s">
        <v>41</v>
      </c>
      <c r="K103" s="9" t="s">
        <v>26</v>
      </c>
      <c r="L103" s="9" t="s">
        <v>380</v>
      </c>
      <c r="M103" s="9">
        <v>5411</v>
      </c>
      <c r="N103" s="9" t="s">
        <v>380</v>
      </c>
      <c r="O103" s="9" t="s">
        <v>3436</v>
      </c>
      <c r="P103" s="9" t="s">
        <v>1100</v>
      </c>
      <c r="Q103" s="9" t="s">
        <v>1101</v>
      </c>
    </row>
    <row r="104" spans="1:17" ht="15" customHeight="1">
      <c r="A104" s="8">
        <v>103</v>
      </c>
      <c r="B104" s="8" t="s">
        <v>3122</v>
      </c>
      <c r="C104" s="8" t="s">
        <v>3437</v>
      </c>
      <c r="D104" s="8" t="s">
        <v>3438</v>
      </c>
      <c r="E104" s="8" t="s">
        <v>21</v>
      </c>
      <c r="F104" s="8" t="s">
        <v>22</v>
      </c>
      <c r="G104" s="8">
        <v>798</v>
      </c>
      <c r="H104" s="8" t="s">
        <v>23</v>
      </c>
      <c r="I104" s="8" t="s">
        <v>131</v>
      </c>
      <c r="J104" s="8" t="s">
        <v>41</v>
      </c>
      <c r="K104" s="8" t="s">
        <v>26</v>
      </c>
      <c r="L104" s="8" t="s">
        <v>132</v>
      </c>
      <c r="M104" s="8">
        <v>5411</v>
      </c>
      <c r="N104" s="8" t="s">
        <v>132</v>
      </c>
      <c r="O104" s="8" t="s">
        <v>3439</v>
      </c>
      <c r="P104" s="8" t="s">
        <v>1100</v>
      </c>
      <c r="Q104" s="8" t="s">
        <v>1101</v>
      </c>
    </row>
    <row r="105" spans="1:17" ht="15" customHeight="1">
      <c r="A105" s="9">
        <v>104</v>
      </c>
      <c r="B105" s="9" t="s">
        <v>3122</v>
      </c>
      <c r="C105" s="9" t="s">
        <v>3440</v>
      </c>
      <c r="D105" s="9" t="s">
        <v>3441</v>
      </c>
      <c r="E105" s="9" t="s">
        <v>21</v>
      </c>
      <c r="F105" s="9" t="s">
        <v>22</v>
      </c>
      <c r="G105" s="9">
        <v>1562</v>
      </c>
      <c r="H105" s="9" t="s">
        <v>23</v>
      </c>
      <c r="I105" s="9" t="s">
        <v>108</v>
      </c>
      <c r="J105" s="9" t="s">
        <v>41</v>
      </c>
      <c r="K105" s="9" t="s">
        <v>26</v>
      </c>
      <c r="L105" s="9" t="s">
        <v>57</v>
      </c>
      <c r="M105" s="9">
        <v>5999</v>
      </c>
      <c r="N105" s="9" t="s">
        <v>57</v>
      </c>
      <c r="O105" s="9" t="s">
        <v>3442</v>
      </c>
      <c r="P105" s="9" t="s">
        <v>1100</v>
      </c>
      <c r="Q105" s="9" t="s">
        <v>1101</v>
      </c>
    </row>
    <row r="106" spans="1:17" ht="15" customHeight="1">
      <c r="A106" s="8">
        <v>105</v>
      </c>
      <c r="B106" s="8" t="s">
        <v>3122</v>
      </c>
      <c r="C106" s="8" t="s">
        <v>3443</v>
      </c>
      <c r="D106" s="8" t="s">
        <v>3444</v>
      </c>
      <c r="E106" s="8" t="s">
        <v>21</v>
      </c>
      <c r="F106" s="8" t="s">
        <v>22</v>
      </c>
      <c r="G106" s="8">
        <v>818</v>
      </c>
      <c r="H106" s="8" t="s">
        <v>23</v>
      </c>
      <c r="I106" s="8" t="s">
        <v>56</v>
      </c>
      <c r="J106" s="8" t="s">
        <v>41</v>
      </c>
      <c r="K106" s="8" t="s">
        <v>26</v>
      </c>
      <c r="L106" s="8" t="s">
        <v>57</v>
      </c>
      <c r="M106" s="8">
        <v>5999</v>
      </c>
      <c r="N106" s="8" t="s">
        <v>57</v>
      </c>
      <c r="O106" s="8" t="s">
        <v>3445</v>
      </c>
      <c r="P106" s="8" t="s">
        <v>1100</v>
      </c>
      <c r="Q106" s="8" t="s">
        <v>1101</v>
      </c>
    </row>
    <row r="107" spans="1:17" ht="15" customHeight="1">
      <c r="A107" s="9">
        <v>106</v>
      </c>
      <c r="B107" s="9" t="s">
        <v>3122</v>
      </c>
      <c r="C107" s="9" t="s">
        <v>3446</v>
      </c>
      <c r="D107" s="9" t="s">
        <v>3447</v>
      </c>
      <c r="E107" s="9" t="s">
        <v>21</v>
      </c>
      <c r="F107" s="9" t="s">
        <v>22</v>
      </c>
      <c r="G107" s="9">
        <v>798</v>
      </c>
      <c r="H107" s="9" t="s">
        <v>23</v>
      </c>
      <c r="I107" s="9" t="s">
        <v>244</v>
      </c>
      <c r="J107" s="9" t="s">
        <v>41</v>
      </c>
      <c r="K107" s="9" t="s">
        <v>26</v>
      </c>
      <c r="L107" s="9" t="s">
        <v>245</v>
      </c>
      <c r="M107" s="9">
        <v>5411</v>
      </c>
      <c r="N107" s="9" t="s">
        <v>245</v>
      </c>
      <c r="O107" s="9" t="s">
        <v>3448</v>
      </c>
      <c r="P107" s="9" t="s">
        <v>1100</v>
      </c>
      <c r="Q107" s="9" t="s">
        <v>1101</v>
      </c>
    </row>
    <row r="108" spans="1:17" ht="15" customHeight="1">
      <c r="A108" s="8">
        <v>107</v>
      </c>
      <c r="B108" s="8" t="s">
        <v>3122</v>
      </c>
      <c r="C108" s="8" t="s">
        <v>3449</v>
      </c>
      <c r="D108" s="8" t="s">
        <v>3450</v>
      </c>
      <c r="E108" s="8" t="s">
        <v>21</v>
      </c>
      <c r="F108" s="8" t="s">
        <v>22</v>
      </c>
      <c r="G108" s="8">
        <v>581</v>
      </c>
      <c r="H108" s="8" t="s">
        <v>23</v>
      </c>
      <c r="I108" s="8" t="s">
        <v>111</v>
      </c>
      <c r="J108" s="8" t="s">
        <v>41</v>
      </c>
      <c r="K108" s="8" t="s">
        <v>26</v>
      </c>
      <c r="L108" s="8" t="s">
        <v>112</v>
      </c>
      <c r="M108" s="8">
        <v>5541</v>
      </c>
      <c r="N108" s="8" t="s">
        <v>112</v>
      </c>
      <c r="O108" s="8" t="s">
        <v>3451</v>
      </c>
      <c r="P108" s="8" t="s">
        <v>1100</v>
      </c>
      <c r="Q108" s="8" t="s">
        <v>1101</v>
      </c>
    </row>
    <row r="109" spans="1:17" ht="15" customHeight="1">
      <c r="A109" s="9">
        <v>108</v>
      </c>
      <c r="B109" s="9" t="s">
        <v>3122</v>
      </c>
      <c r="C109" s="9" t="s">
        <v>3452</v>
      </c>
      <c r="D109" s="9" t="s">
        <v>3453</v>
      </c>
      <c r="E109" s="9" t="s">
        <v>21</v>
      </c>
      <c r="F109" s="9" t="s">
        <v>22</v>
      </c>
      <c r="G109" s="9">
        <v>907</v>
      </c>
      <c r="H109" s="9" t="s">
        <v>23</v>
      </c>
      <c r="I109" s="9" t="s">
        <v>866</v>
      </c>
      <c r="J109" s="9" t="s">
        <v>25</v>
      </c>
      <c r="K109" s="9" t="s">
        <v>26</v>
      </c>
      <c r="L109" s="9" t="s">
        <v>867</v>
      </c>
      <c r="M109" s="9">
        <v>5999</v>
      </c>
      <c r="N109" s="9" t="s">
        <v>867</v>
      </c>
      <c r="O109" s="9" t="s">
        <v>3454</v>
      </c>
      <c r="P109" s="9" t="s">
        <v>1100</v>
      </c>
      <c r="Q109" s="9" t="s">
        <v>1101</v>
      </c>
    </row>
    <row r="110" spans="1:17" ht="15" customHeight="1">
      <c r="A110" s="8">
        <v>109</v>
      </c>
      <c r="B110" s="8" t="s">
        <v>3122</v>
      </c>
      <c r="C110" s="8" t="s">
        <v>3455</v>
      </c>
      <c r="D110" s="8" t="s">
        <v>3456</v>
      </c>
      <c r="E110" s="8" t="s">
        <v>94</v>
      </c>
      <c r="F110" s="8" t="s">
        <v>22</v>
      </c>
      <c r="G110" s="8">
        <v>11500</v>
      </c>
      <c r="H110" s="8" t="s">
        <v>23</v>
      </c>
      <c r="I110" s="8" t="s">
        <v>3155</v>
      </c>
      <c r="J110" s="8" t="s">
        <v>96</v>
      </c>
      <c r="K110" s="8" t="s">
        <v>97</v>
      </c>
      <c r="L110" s="8" t="s">
        <v>3156</v>
      </c>
      <c r="M110" s="8"/>
      <c r="N110" s="8" t="s">
        <v>3156</v>
      </c>
      <c r="O110" s="8" t="s">
        <v>3457</v>
      </c>
      <c r="P110" s="8" t="s">
        <v>1100</v>
      </c>
      <c r="Q110" s="8" t="s">
        <v>1101</v>
      </c>
    </row>
    <row r="111" spans="1:17" ht="15" customHeight="1">
      <c r="A111" s="9">
        <v>110</v>
      </c>
      <c r="B111" s="9" t="s">
        <v>3122</v>
      </c>
      <c r="C111" s="9" t="s">
        <v>3458</v>
      </c>
      <c r="D111" s="9" t="s">
        <v>3459</v>
      </c>
      <c r="E111" s="9" t="s">
        <v>21</v>
      </c>
      <c r="F111" s="9" t="s">
        <v>22</v>
      </c>
      <c r="G111" s="9">
        <v>557</v>
      </c>
      <c r="H111" s="9" t="s">
        <v>23</v>
      </c>
      <c r="I111" s="9" t="s">
        <v>86</v>
      </c>
      <c r="J111" s="9" t="s">
        <v>36</v>
      </c>
      <c r="K111" s="9" t="s">
        <v>26</v>
      </c>
      <c r="L111" s="9" t="s">
        <v>87</v>
      </c>
      <c r="M111" s="9">
        <v>4813</v>
      </c>
      <c r="N111" s="9" t="s">
        <v>87</v>
      </c>
      <c r="O111" s="9" t="s">
        <v>3460</v>
      </c>
      <c r="P111" s="9" t="s">
        <v>1100</v>
      </c>
      <c r="Q111" s="9" t="s">
        <v>1101</v>
      </c>
    </row>
    <row r="112" spans="1:17" ht="15" customHeight="1">
      <c r="A112" s="8">
        <v>111</v>
      </c>
      <c r="B112" s="8" t="s">
        <v>3122</v>
      </c>
      <c r="C112" s="8" t="s">
        <v>3461</v>
      </c>
      <c r="D112" s="8" t="s">
        <v>3462</v>
      </c>
      <c r="E112" s="8" t="s">
        <v>21</v>
      </c>
      <c r="F112" s="8" t="s">
        <v>22</v>
      </c>
      <c r="G112" s="8">
        <v>803</v>
      </c>
      <c r="H112" s="8" t="s">
        <v>23</v>
      </c>
      <c r="I112" s="8" t="s">
        <v>198</v>
      </c>
      <c r="J112" s="8" t="s">
        <v>36</v>
      </c>
      <c r="K112" s="8" t="s">
        <v>26</v>
      </c>
      <c r="L112" s="8" t="s">
        <v>199</v>
      </c>
      <c r="M112" s="8">
        <v>4900</v>
      </c>
      <c r="N112" s="8" t="s">
        <v>199</v>
      </c>
      <c r="O112" s="8" t="s">
        <v>3463</v>
      </c>
      <c r="P112" s="8" t="s">
        <v>1100</v>
      </c>
      <c r="Q112" s="8" t="s">
        <v>1101</v>
      </c>
    </row>
    <row r="113" spans="1:17" ht="15" customHeight="1">
      <c r="A113" s="9">
        <v>112</v>
      </c>
      <c r="B113" s="9" t="s">
        <v>3122</v>
      </c>
      <c r="C113" s="9" t="s">
        <v>3464</v>
      </c>
      <c r="D113" s="9" t="s">
        <v>3465</v>
      </c>
      <c r="E113" s="9" t="s">
        <v>21</v>
      </c>
      <c r="F113" s="9" t="s">
        <v>22</v>
      </c>
      <c r="G113" s="9">
        <v>449</v>
      </c>
      <c r="H113" s="9" t="s">
        <v>23</v>
      </c>
      <c r="I113" s="9" t="s">
        <v>391</v>
      </c>
      <c r="J113" s="9" t="s">
        <v>331</v>
      </c>
      <c r="K113" s="9" t="s">
        <v>26</v>
      </c>
      <c r="L113" s="9" t="s">
        <v>392</v>
      </c>
      <c r="M113" s="9">
        <v>6011</v>
      </c>
      <c r="N113" s="9" t="s">
        <v>392</v>
      </c>
      <c r="O113" s="9" t="s">
        <v>3466</v>
      </c>
      <c r="P113" s="9" t="s">
        <v>1100</v>
      </c>
      <c r="Q113" s="9" t="s">
        <v>1101</v>
      </c>
    </row>
    <row r="114" spans="1:17" ht="15" customHeight="1">
      <c r="A114" s="8">
        <v>113</v>
      </c>
      <c r="B114" s="8" t="s">
        <v>3122</v>
      </c>
      <c r="C114" s="8" t="s">
        <v>3467</v>
      </c>
      <c r="D114" s="8" t="s">
        <v>3468</v>
      </c>
      <c r="E114" s="8" t="s">
        <v>21</v>
      </c>
      <c r="F114" s="8" t="s">
        <v>22</v>
      </c>
      <c r="G114" s="8">
        <v>2200</v>
      </c>
      <c r="H114" s="8" t="s">
        <v>23</v>
      </c>
      <c r="I114" s="8" t="s">
        <v>3125</v>
      </c>
      <c r="J114" s="8" t="s">
        <v>36</v>
      </c>
      <c r="K114" s="8" t="s">
        <v>26</v>
      </c>
      <c r="L114" s="8" t="s">
        <v>3126</v>
      </c>
      <c r="M114" s="8">
        <v>6012</v>
      </c>
      <c r="N114" s="8" t="s">
        <v>3126</v>
      </c>
      <c r="O114" s="8" t="s">
        <v>3469</v>
      </c>
      <c r="P114" s="8" t="s">
        <v>1100</v>
      </c>
      <c r="Q114" s="8" t="s">
        <v>1101</v>
      </c>
    </row>
    <row r="115" spans="1:17" ht="15" customHeight="1">
      <c r="A115" s="9">
        <v>114</v>
      </c>
      <c r="B115" s="9" t="s">
        <v>3122</v>
      </c>
      <c r="C115" s="9" t="s">
        <v>3470</v>
      </c>
      <c r="D115" s="9" t="s">
        <v>3471</v>
      </c>
      <c r="E115" s="9" t="s">
        <v>21</v>
      </c>
      <c r="F115" s="9" t="s">
        <v>22</v>
      </c>
      <c r="G115" s="9">
        <v>406</v>
      </c>
      <c r="H115" s="9" t="s">
        <v>23</v>
      </c>
      <c r="I115" s="9" t="s">
        <v>217</v>
      </c>
      <c r="J115" s="9" t="s">
        <v>41</v>
      </c>
      <c r="K115" s="9" t="s">
        <v>26</v>
      </c>
      <c r="L115" s="9" t="s">
        <v>218</v>
      </c>
      <c r="M115" s="9">
        <v>5812</v>
      </c>
      <c r="N115" s="9" t="s">
        <v>218</v>
      </c>
      <c r="O115" s="9" t="s">
        <v>3472</v>
      </c>
      <c r="P115" s="9" t="s">
        <v>1100</v>
      </c>
      <c r="Q115" s="9" t="s">
        <v>1101</v>
      </c>
    </row>
    <row r="116" spans="1:17" ht="15" customHeight="1">
      <c r="A116" s="8">
        <v>115</v>
      </c>
      <c r="B116" s="8" t="s">
        <v>3122</v>
      </c>
      <c r="C116" s="8" t="s">
        <v>3473</v>
      </c>
      <c r="D116" s="8" t="s">
        <v>3474</v>
      </c>
      <c r="E116" s="8" t="s">
        <v>21</v>
      </c>
      <c r="F116" s="8" t="s">
        <v>22</v>
      </c>
      <c r="G116" s="8">
        <v>965</v>
      </c>
      <c r="H116" s="8" t="s">
        <v>23</v>
      </c>
      <c r="I116" s="8" t="s">
        <v>379</v>
      </c>
      <c r="J116" s="8" t="s">
        <v>41</v>
      </c>
      <c r="K116" s="8" t="s">
        <v>26</v>
      </c>
      <c r="L116" s="8" t="s">
        <v>380</v>
      </c>
      <c r="M116" s="8">
        <v>5411</v>
      </c>
      <c r="N116" s="8" t="s">
        <v>380</v>
      </c>
      <c r="O116" s="8" t="s">
        <v>3475</v>
      </c>
      <c r="P116" s="8" t="s">
        <v>1100</v>
      </c>
      <c r="Q116" s="8" t="s">
        <v>1101</v>
      </c>
    </row>
    <row r="117" spans="1:17" ht="15" customHeight="1">
      <c r="A117" s="9">
        <v>116</v>
      </c>
      <c r="B117" s="9" t="s">
        <v>3122</v>
      </c>
      <c r="C117" s="9" t="s">
        <v>3476</v>
      </c>
      <c r="D117" s="9" t="s">
        <v>3477</v>
      </c>
      <c r="E117" s="9" t="s">
        <v>21</v>
      </c>
      <c r="F117" s="9" t="s">
        <v>22</v>
      </c>
      <c r="G117" s="9">
        <v>405</v>
      </c>
      <c r="H117" s="9" t="s">
        <v>23</v>
      </c>
      <c r="I117" s="9" t="s">
        <v>52</v>
      </c>
      <c r="J117" s="9" t="s">
        <v>41</v>
      </c>
      <c r="K117" s="9" t="s">
        <v>26</v>
      </c>
      <c r="L117" s="9" t="s">
        <v>53</v>
      </c>
      <c r="M117" s="9">
        <v>5812</v>
      </c>
      <c r="N117" s="9" t="s">
        <v>53</v>
      </c>
      <c r="O117" s="9" t="s">
        <v>3478</v>
      </c>
      <c r="P117" s="9" t="s">
        <v>1100</v>
      </c>
      <c r="Q117" s="9" t="s">
        <v>1101</v>
      </c>
    </row>
    <row r="118" spans="1:17" ht="15" customHeight="1">
      <c r="A118" s="8">
        <v>117</v>
      </c>
      <c r="B118" s="8" t="s">
        <v>3122</v>
      </c>
      <c r="C118" s="8" t="s">
        <v>3479</v>
      </c>
      <c r="D118" s="8" t="s">
        <v>3480</v>
      </c>
      <c r="E118" s="8" t="s">
        <v>21</v>
      </c>
      <c r="F118" s="8" t="s">
        <v>22</v>
      </c>
      <c r="G118" s="8">
        <v>965</v>
      </c>
      <c r="H118" s="8" t="s">
        <v>23</v>
      </c>
      <c r="I118" s="8" t="s">
        <v>82</v>
      </c>
      <c r="J118" s="8" t="s">
        <v>41</v>
      </c>
      <c r="K118" s="8" t="s">
        <v>26</v>
      </c>
      <c r="L118" s="8" t="s">
        <v>83</v>
      </c>
      <c r="M118" s="8">
        <v>5411</v>
      </c>
      <c r="N118" s="8" t="s">
        <v>83</v>
      </c>
      <c r="O118" s="8" t="s">
        <v>3481</v>
      </c>
      <c r="P118" s="8" t="s">
        <v>1100</v>
      </c>
      <c r="Q118" s="8" t="s">
        <v>1101</v>
      </c>
    </row>
    <row r="119" spans="1:17" ht="15" customHeight="1">
      <c r="A119" s="9">
        <v>118</v>
      </c>
      <c r="B119" s="9" t="s">
        <v>3122</v>
      </c>
      <c r="C119" s="9" t="s">
        <v>3482</v>
      </c>
      <c r="D119" s="9" t="s">
        <v>3483</v>
      </c>
      <c r="E119" s="9" t="s">
        <v>21</v>
      </c>
      <c r="F119" s="9" t="s">
        <v>22</v>
      </c>
      <c r="G119" s="9">
        <v>633</v>
      </c>
      <c r="H119" s="9" t="s">
        <v>23</v>
      </c>
      <c r="I119" s="9" t="s">
        <v>186</v>
      </c>
      <c r="J119" s="9" t="s">
        <v>41</v>
      </c>
      <c r="K119" s="9" t="s">
        <v>26</v>
      </c>
      <c r="L119" s="9" t="s">
        <v>187</v>
      </c>
      <c r="M119" s="9">
        <v>5999</v>
      </c>
      <c r="N119" s="9" t="s">
        <v>187</v>
      </c>
      <c r="O119" s="9" t="s">
        <v>3484</v>
      </c>
      <c r="P119" s="9" t="s">
        <v>1100</v>
      </c>
      <c r="Q119" s="9" t="s">
        <v>1101</v>
      </c>
    </row>
    <row r="120" spans="1:17" ht="15" customHeight="1">
      <c r="A120" s="8">
        <v>119</v>
      </c>
      <c r="B120" s="8" t="s">
        <v>3122</v>
      </c>
      <c r="C120" s="8" t="s">
        <v>2879</v>
      </c>
      <c r="D120" s="8" t="s">
        <v>3485</v>
      </c>
      <c r="E120" s="8" t="s">
        <v>21</v>
      </c>
      <c r="F120" s="8" t="s">
        <v>22</v>
      </c>
      <c r="G120" s="8">
        <v>429</v>
      </c>
      <c r="H120" s="8" t="s">
        <v>23</v>
      </c>
      <c r="I120" s="8" t="s">
        <v>159</v>
      </c>
      <c r="J120" s="8" t="s">
        <v>25</v>
      </c>
      <c r="K120" s="8" t="s">
        <v>26</v>
      </c>
      <c r="L120" s="8" t="s">
        <v>160</v>
      </c>
      <c r="M120" s="8">
        <v>5999</v>
      </c>
      <c r="N120" s="8" t="s">
        <v>160</v>
      </c>
      <c r="O120" s="8" t="s">
        <v>3486</v>
      </c>
      <c r="P120" s="8" t="s">
        <v>1100</v>
      </c>
      <c r="Q120" s="8" t="s">
        <v>1101</v>
      </c>
    </row>
    <row r="121" spans="1:17" ht="15" customHeight="1">
      <c r="A121" s="9">
        <v>120</v>
      </c>
      <c r="B121" s="9" t="s">
        <v>3122</v>
      </c>
      <c r="C121" s="9" t="s">
        <v>3487</v>
      </c>
      <c r="D121" s="9" t="s">
        <v>3488</v>
      </c>
      <c r="E121" s="9" t="s">
        <v>21</v>
      </c>
      <c r="F121" s="9" t="s">
        <v>22</v>
      </c>
      <c r="G121" s="9">
        <v>547</v>
      </c>
      <c r="H121" s="9" t="s">
        <v>23</v>
      </c>
      <c r="I121" s="9" t="s">
        <v>351</v>
      </c>
      <c r="J121" s="9" t="s">
        <v>36</v>
      </c>
      <c r="K121" s="9" t="s">
        <v>26</v>
      </c>
      <c r="L121" s="9" t="s">
        <v>352</v>
      </c>
      <c r="M121" s="9">
        <v>4813</v>
      </c>
      <c r="N121" s="9" t="s">
        <v>352</v>
      </c>
      <c r="O121" s="9" t="s">
        <v>3489</v>
      </c>
      <c r="P121" s="9" t="s">
        <v>1100</v>
      </c>
      <c r="Q121" s="9" t="s">
        <v>1101</v>
      </c>
    </row>
    <row r="122" spans="1:17" ht="15" customHeight="1">
      <c r="A122" s="8">
        <v>121</v>
      </c>
      <c r="B122" s="8" t="s">
        <v>3122</v>
      </c>
      <c r="C122" s="8" t="s">
        <v>3490</v>
      </c>
      <c r="D122" s="8" t="s">
        <v>3491</v>
      </c>
      <c r="E122" s="8" t="s">
        <v>21</v>
      </c>
      <c r="F122" s="8" t="s">
        <v>22</v>
      </c>
      <c r="G122" s="8">
        <v>428</v>
      </c>
      <c r="H122" s="8" t="s">
        <v>23</v>
      </c>
      <c r="I122" s="8" t="s">
        <v>866</v>
      </c>
      <c r="J122" s="8" t="s">
        <v>25</v>
      </c>
      <c r="K122" s="8" t="s">
        <v>26</v>
      </c>
      <c r="L122" s="8" t="s">
        <v>867</v>
      </c>
      <c r="M122" s="8">
        <v>5999</v>
      </c>
      <c r="N122" s="8" t="s">
        <v>867</v>
      </c>
      <c r="O122" s="8" t="s">
        <v>3492</v>
      </c>
      <c r="P122" s="8" t="s">
        <v>1100</v>
      </c>
      <c r="Q122" s="8" t="s">
        <v>1101</v>
      </c>
    </row>
    <row r="123" spans="1:17" ht="15" customHeight="1">
      <c r="A123" s="9">
        <v>122</v>
      </c>
      <c r="B123" s="9" t="s">
        <v>3122</v>
      </c>
      <c r="C123" s="9" t="s">
        <v>3493</v>
      </c>
      <c r="D123" s="9" t="s">
        <v>3494</v>
      </c>
      <c r="E123" s="9" t="s">
        <v>21</v>
      </c>
      <c r="F123" s="9" t="s">
        <v>22</v>
      </c>
      <c r="G123" s="9">
        <v>917</v>
      </c>
      <c r="H123" s="9" t="s">
        <v>23</v>
      </c>
      <c r="I123" s="9" t="s">
        <v>56</v>
      </c>
      <c r="J123" s="9" t="s">
        <v>41</v>
      </c>
      <c r="K123" s="9" t="s">
        <v>26</v>
      </c>
      <c r="L123" s="9" t="s">
        <v>57</v>
      </c>
      <c r="M123" s="9">
        <v>5999</v>
      </c>
      <c r="N123" s="9" t="s">
        <v>57</v>
      </c>
      <c r="O123" s="9" t="s">
        <v>3495</v>
      </c>
      <c r="P123" s="9" t="s">
        <v>1100</v>
      </c>
      <c r="Q123" s="9" t="s">
        <v>1101</v>
      </c>
    </row>
    <row r="124" spans="1:17" ht="15" customHeight="1">
      <c r="A124" s="8">
        <v>123</v>
      </c>
      <c r="B124" s="8" t="s">
        <v>3122</v>
      </c>
      <c r="C124" s="8" t="s">
        <v>3496</v>
      </c>
      <c r="D124" s="8" t="s">
        <v>3497</v>
      </c>
      <c r="E124" s="8" t="s">
        <v>21</v>
      </c>
      <c r="F124" s="8" t="s">
        <v>22</v>
      </c>
      <c r="G124" s="8">
        <v>762</v>
      </c>
      <c r="H124" s="8" t="s">
        <v>23</v>
      </c>
      <c r="I124" s="8" t="s">
        <v>198</v>
      </c>
      <c r="J124" s="8" t="s">
        <v>36</v>
      </c>
      <c r="K124" s="8" t="s">
        <v>26</v>
      </c>
      <c r="L124" s="8" t="s">
        <v>199</v>
      </c>
      <c r="M124" s="8">
        <v>4900</v>
      </c>
      <c r="N124" s="8" t="s">
        <v>199</v>
      </c>
      <c r="O124" s="8" t="s">
        <v>3498</v>
      </c>
      <c r="P124" s="8" t="s">
        <v>1100</v>
      </c>
      <c r="Q124" s="8" t="s">
        <v>1101</v>
      </c>
    </row>
    <row r="125" spans="1:17" ht="15" customHeight="1">
      <c r="A125" s="9">
        <v>124</v>
      </c>
      <c r="B125" s="9" t="s">
        <v>3122</v>
      </c>
      <c r="C125" s="9" t="s">
        <v>3499</v>
      </c>
      <c r="D125" s="9" t="s">
        <v>3500</v>
      </c>
      <c r="E125" s="9" t="s">
        <v>94</v>
      </c>
      <c r="F125" s="9" t="s">
        <v>22</v>
      </c>
      <c r="G125" s="9">
        <v>11200</v>
      </c>
      <c r="H125" s="9" t="s">
        <v>23</v>
      </c>
      <c r="I125" s="9" t="s">
        <v>3155</v>
      </c>
      <c r="J125" s="9" t="s">
        <v>96</v>
      </c>
      <c r="K125" s="9" t="s">
        <v>97</v>
      </c>
      <c r="L125" s="9" t="s">
        <v>3156</v>
      </c>
      <c r="M125" s="9"/>
      <c r="N125" s="9" t="s">
        <v>3156</v>
      </c>
      <c r="O125" s="9" t="s">
        <v>3501</v>
      </c>
      <c r="P125" s="9" t="s">
        <v>1100</v>
      </c>
      <c r="Q125" s="9" t="s">
        <v>1101</v>
      </c>
    </row>
    <row r="126" spans="1:17" ht="15" customHeight="1">
      <c r="A126" s="8">
        <v>125</v>
      </c>
      <c r="B126" s="8" t="s">
        <v>3122</v>
      </c>
      <c r="C126" s="8" t="s">
        <v>3502</v>
      </c>
      <c r="D126" s="8" t="s">
        <v>3503</v>
      </c>
      <c r="E126" s="8" t="s">
        <v>21</v>
      </c>
      <c r="F126" s="8" t="s">
        <v>22</v>
      </c>
      <c r="G126" s="8">
        <v>641</v>
      </c>
      <c r="H126" s="8" t="s">
        <v>23</v>
      </c>
      <c r="I126" s="8" t="s">
        <v>123</v>
      </c>
      <c r="J126" s="8" t="s">
        <v>41</v>
      </c>
      <c r="K126" s="8" t="s">
        <v>26</v>
      </c>
      <c r="L126" s="8" t="s">
        <v>124</v>
      </c>
      <c r="M126" s="8">
        <v>5541</v>
      </c>
      <c r="N126" s="8" t="s">
        <v>124</v>
      </c>
      <c r="O126" s="8" t="s">
        <v>3504</v>
      </c>
      <c r="P126" s="8" t="s">
        <v>1100</v>
      </c>
      <c r="Q126" s="8" t="s">
        <v>1101</v>
      </c>
    </row>
    <row r="127" spans="1:17" ht="15" customHeight="1">
      <c r="A127" s="9">
        <v>126</v>
      </c>
      <c r="B127" s="9" t="s">
        <v>3122</v>
      </c>
      <c r="C127" s="9" t="s">
        <v>3505</v>
      </c>
      <c r="D127" s="9" t="s">
        <v>3506</v>
      </c>
      <c r="E127" s="9" t="s">
        <v>21</v>
      </c>
      <c r="F127" s="9" t="s">
        <v>22</v>
      </c>
      <c r="G127" s="9">
        <v>632</v>
      </c>
      <c r="H127" s="9" t="s">
        <v>23</v>
      </c>
      <c r="I127" s="9" t="s">
        <v>186</v>
      </c>
      <c r="J127" s="9" t="s">
        <v>41</v>
      </c>
      <c r="K127" s="9" t="s">
        <v>26</v>
      </c>
      <c r="L127" s="9" t="s">
        <v>187</v>
      </c>
      <c r="M127" s="9">
        <v>5999</v>
      </c>
      <c r="N127" s="9" t="s">
        <v>187</v>
      </c>
      <c r="O127" s="9" t="s">
        <v>3507</v>
      </c>
      <c r="P127" s="9" t="s">
        <v>1100</v>
      </c>
      <c r="Q127" s="9" t="s">
        <v>1101</v>
      </c>
    </row>
    <row r="128" spans="1:17" ht="15" customHeight="1">
      <c r="A128" s="8">
        <v>127</v>
      </c>
      <c r="B128" s="8" t="s">
        <v>3122</v>
      </c>
      <c r="C128" s="8" t="s">
        <v>3508</v>
      </c>
      <c r="D128" s="8" t="s">
        <v>3509</v>
      </c>
      <c r="E128" s="8" t="s">
        <v>21</v>
      </c>
      <c r="F128" s="8" t="s">
        <v>22</v>
      </c>
      <c r="G128" s="8">
        <v>2200</v>
      </c>
      <c r="H128" s="8" t="s">
        <v>23</v>
      </c>
      <c r="I128" s="8" t="s">
        <v>3125</v>
      </c>
      <c r="J128" s="8" t="s">
        <v>36</v>
      </c>
      <c r="K128" s="8" t="s">
        <v>26</v>
      </c>
      <c r="L128" s="8" t="s">
        <v>3126</v>
      </c>
      <c r="M128" s="8">
        <v>6012</v>
      </c>
      <c r="N128" s="8" t="s">
        <v>3126</v>
      </c>
      <c r="O128" s="8" t="s">
        <v>3510</v>
      </c>
      <c r="P128" s="8" t="s">
        <v>1100</v>
      </c>
      <c r="Q128" s="8" t="s">
        <v>1101</v>
      </c>
    </row>
    <row r="129" spans="1:17" ht="15" customHeight="1">
      <c r="A129" s="9">
        <v>128</v>
      </c>
      <c r="B129" s="9" t="s">
        <v>3122</v>
      </c>
      <c r="C129" s="9" t="s">
        <v>3511</v>
      </c>
      <c r="D129" s="9" t="s">
        <v>3512</v>
      </c>
      <c r="E129" s="9" t="s">
        <v>21</v>
      </c>
      <c r="F129" s="9" t="s">
        <v>22</v>
      </c>
      <c r="G129" s="9">
        <v>1075</v>
      </c>
      <c r="H129" s="9" t="s">
        <v>23</v>
      </c>
      <c r="I129" s="9" t="s">
        <v>82</v>
      </c>
      <c r="J129" s="9" t="s">
        <v>41</v>
      </c>
      <c r="K129" s="9" t="s">
        <v>26</v>
      </c>
      <c r="L129" s="9" t="s">
        <v>83</v>
      </c>
      <c r="M129" s="9">
        <v>5411</v>
      </c>
      <c r="N129" s="9" t="s">
        <v>83</v>
      </c>
      <c r="O129" s="9" t="s">
        <v>3513</v>
      </c>
      <c r="P129" s="9" t="s">
        <v>1100</v>
      </c>
      <c r="Q129" s="9" t="s">
        <v>1101</v>
      </c>
    </row>
    <row r="130" spans="1:17" ht="15" customHeight="1">
      <c r="A130" s="8">
        <v>129</v>
      </c>
      <c r="B130" s="8" t="s">
        <v>3122</v>
      </c>
      <c r="C130" s="8" t="s">
        <v>3514</v>
      </c>
      <c r="D130" s="8" t="s">
        <v>3515</v>
      </c>
      <c r="E130" s="8" t="s">
        <v>21</v>
      </c>
      <c r="F130" s="8" t="s">
        <v>22</v>
      </c>
      <c r="G130" s="8">
        <v>1075</v>
      </c>
      <c r="H130" s="8" t="s">
        <v>23</v>
      </c>
      <c r="I130" s="8" t="s">
        <v>131</v>
      </c>
      <c r="J130" s="8" t="s">
        <v>41</v>
      </c>
      <c r="K130" s="8" t="s">
        <v>26</v>
      </c>
      <c r="L130" s="8" t="s">
        <v>132</v>
      </c>
      <c r="M130" s="8">
        <v>5411</v>
      </c>
      <c r="N130" s="8" t="s">
        <v>132</v>
      </c>
      <c r="O130" s="8" t="s">
        <v>3516</v>
      </c>
      <c r="P130" s="8" t="s">
        <v>1100</v>
      </c>
      <c r="Q130" s="8" t="s">
        <v>1101</v>
      </c>
    </row>
    <row r="131" spans="1:17" ht="15" customHeight="1">
      <c r="A131" s="9">
        <v>130</v>
      </c>
      <c r="B131" s="9" t="s">
        <v>3122</v>
      </c>
      <c r="C131" s="9" t="s">
        <v>3517</v>
      </c>
      <c r="D131" s="9" t="s">
        <v>3518</v>
      </c>
      <c r="E131" s="9" t="s">
        <v>21</v>
      </c>
      <c r="F131" s="9" t="s">
        <v>22</v>
      </c>
      <c r="G131" s="9">
        <v>665</v>
      </c>
      <c r="H131" s="9" t="s">
        <v>23</v>
      </c>
      <c r="I131" s="9" t="s">
        <v>186</v>
      </c>
      <c r="J131" s="9" t="s">
        <v>41</v>
      </c>
      <c r="K131" s="9" t="s">
        <v>26</v>
      </c>
      <c r="L131" s="9" t="s">
        <v>187</v>
      </c>
      <c r="M131" s="9">
        <v>5999</v>
      </c>
      <c r="N131" s="9" t="s">
        <v>187</v>
      </c>
      <c r="O131" s="9" t="s">
        <v>3519</v>
      </c>
      <c r="P131" s="9" t="s">
        <v>1100</v>
      </c>
      <c r="Q131" s="9" t="s">
        <v>1101</v>
      </c>
    </row>
    <row r="132" spans="1:17" ht="15" customHeight="1">
      <c r="A132" s="8">
        <v>131</v>
      </c>
      <c r="B132" s="8" t="s">
        <v>3122</v>
      </c>
      <c r="C132" s="8" t="s">
        <v>3520</v>
      </c>
      <c r="D132" s="8" t="s">
        <v>3521</v>
      </c>
      <c r="E132" s="8" t="s">
        <v>21</v>
      </c>
      <c r="F132" s="8" t="s">
        <v>22</v>
      </c>
      <c r="G132" s="8">
        <v>407</v>
      </c>
      <c r="H132" s="8" t="s">
        <v>23</v>
      </c>
      <c r="I132" s="8" t="s">
        <v>574</v>
      </c>
      <c r="J132" s="8" t="s">
        <v>41</v>
      </c>
      <c r="K132" s="8" t="s">
        <v>26</v>
      </c>
      <c r="L132" s="8" t="s">
        <v>575</v>
      </c>
      <c r="M132" s="8">
        <v>5812</v>
      </c>
      <c r="N132" s="8" t="s">
        <v>575</v>
      </c>
      <c r="O132" s="8" t="s">
        <v>3522</v>
      </c>
      <c r="P132" s="8" t="s">
        <v>1100</v>
      </c>
      <c r="Q132" s="8" t="s">
        <v>1101</v>
      </c>
    </row>
    <row r="133" spans="1:17" ht="15" customHeight="1">
      <c r="A133" s="9">
        <v>132</v>
      </c>
      <c r="B133" s="9" t="s">
        <v>3122</v>
      </c>
      <c r="C133" s="9" t="s">
        <v>3523</v>
      </c>
      <c r="D133" s="9" t="s">
        <v>3524</v>
      </c>
      <c r="E133" s="9" t="s">
        <v>21</v>
      </c>
      <c r="F133" s="9" t="s">
        <v>22</v>
      </c>
      <c r="G133" s="9">
        <v>664</v>
      </c>
      <c r="H133" s="9" t="s">
        <v>23</v>
      </c>
      <c r="I133" s="9" t="s">
        <v>186</v>
      </c>
      <c r="J133" s="9" t="s">
        <v>41</v>
      </c>
      <c r="K133" s="9" t="s">
        <v>26</v>
      </c>
      <c r="L133" s="9" t="s">
        <v>187</v>
      </c>
      <c r="M133" s="9">
        <v>5999</v>
      </c>
      <c r="N133" s="9" t="s">
        <v>187</v>
      </c>
      <c r="O133" s="9" t="s">
        <v>3525</v>
      </c>
      <c r="P133" s="9" t="s">
        <v>1100</v>
      </c>
      <c r="Q133" s="9" t="s">
        <v>1101</v>
      </c>
    </row>
    <row r="134" spans="1:17" ht="15" customHeight="1">
      <c r="A134" s="8">
        <v>133</v>
      </c>
      <c r="B134" s="8" t="s">
        <v>3122</v>
      </c>
      <c r="C134" s="8" t="s">
        <v>3526</v>
      </c>
      <c r="D134" s="8" t="s">
        <v>3527</v>
      </c>
      <c r="E134" s="8" t="s">
        <v>21</v>
      </c>
      <c r="F134" s="8" t="s">
        <v>22</v>
      </c>
      <c r="G134" s="8">
        <v>1125</v>
      </c>
      <c r="H134" s="8" t="s">
        <v>23</v>
      </c>
      <c r="I134" s="8" t="s">
        <v>127</v>
      </c>
      <c r="J134" s="8" t="s">
        <v>25</v>
      </c>
      <c r="K134" s="8" t="s">
        <v>26</v>
      </c>
      <c r="L134" s="8" t="s">
        <v>128</v>
      </c>
      <c r="M134" s="8">
        <v>5999</v>
      </c>
      <c r="N134" s="8" t="s">
        <v>128</v>
      </c>
      <c r="O134" s="8" t="s">
        <v>3528</v>
      </c>
      <c r="P134" s="8" t="s">
        <v>1100</v>
      </c>
      <c r="Q134" s="8" t="s">
        <v>1101</v>
      </c>
    </row>
    <row r="135" spans="1:17" ht="15" customHeight="1">
      <c r="A135" s="9">
        <v>134</v>
      </c>
      <c r="B135" s="9" t="s">
        <v>3122</v>
      </c>
      <c r="C135" s="9" t="s">
        <v>3529</v>
      </c>
      <c r="D135" s="9" t="s">
        <v>3530</v>
      </c>
      <c r="E135" s="9" t="s">
        <v>21</v>
      </c>
      <c r="F135" s="9" t="s">
        <v>22</v>
      </c>
      <c r="G135" s="9">
        <v>666</v>
      </c>
      <c r="H135" s="9" t="s">
        <v>23</v>
      </c>
      <c r="I135" s="9" t="s">
        <v>123</v>
      </c>
      <c r="J135" s="9" t="s">
        <v>41</v>
      </c>
      <c r="K135" s="9" t="s">
        <v>26</v>
      </c>
      <c r="L135" s="9" t="s">
        <v>124</v>
      </c>
      <c r="M135" s="9">
        <v>5541</v>
      </c>
      <c r="N135" s="9" t="s">
        <v>124</v>
      </c>
      <c r="O135" s="9" t="s">
        <v>3531</v>
      </c>
      <c r="P135" s="9" t="s">
        <v>1100</v>
      </c>
      <c r="Q135" s="9" t="s">
        <v>1101</v>
      </c>
    </row>
    <row r="136" spans="1:17" ht="15" customHeight="1">
      <c r="A136" s="8">
        <v>135</v>
      </c>
      <c r="B136" s="8" t="s">
        <v>3122</v>
      </c>
      <c r="C136" s="8" t="s">
        <v>3532</v>
      </c>
      <c r="D136" s="8" t="s">
        <v>3533</v>
      </c>
      <c r="E136" s="8" t="s">
        <v>21</v>
      </c>
      <c r="F136" s="8" t="s">
        <v>22</v>
      </c>
      <c r="G136" s="8">
        <v>547</v>
      </c>
      <c r="H136" s="8" t="s">
        <v>23</v>
      </c>
      <c r="I136" s="8" t="s">
        <v>174</v>
      </c>
      <c r="J136" s="8" t="s">
        <v>36</v>
      </c>
      <c r="K136" s="8" t="s">
        <v>26</v>
      </c>
      <c r="L136" s="8" t="s">
        <v>175</v>
      </c>
      <c r="M136" s="8">
        <v>4813</v>
      </c>
      <c r="N136" s="8" t="s">
        <v>175</v>
      </c>
      <c r="O136" s="8" t="s">
        <v>3534</v>
      </c>
      <c r="P136" s="8" t="s">
        <v>1100</v>
      </c>
      <c r="Q136" s="8" t="s">
        <v>1101</v>
      </c>
    </row>
    <row r="137" spans="1:17" ht="15" customHeight="1">
      <c r="A137" s="9">
        <v>136</v>
      </c>
      <c r="B137" s="9" t="s">
        <v>3122</v>
      </c>
      <c r="C137" s="9" t="s">
        <v>3535</v>
      </c>
      <c r="D137" s="9" t="s">
        <v>3536</v>
      </c>
      <c r="E137" s="9" t="s">
        <v>21</v>
      </c>
      <c r="F137" s="9" t="s">
        <v>22</v>
      </c>
      <c r="G137" s="9">
        <v>407</v>
      </c>
      <c r="H137" s="9" t="s">
        <v>23</v>
      </c>
      <c r="I137" s="9" t="s">
        <v>217</v>
      </c>
      <c r="J137" s="9" t="s">
        <v>41</v>
      </c>
      <c r="K137" s="9" t="s">
        <v>26</v>
      </c>
      <c r="L137" s="9" t="s">
        <v>218</v>
      </c>
      <c r="M137" s="9">
        <v>5812</v>
      </c>
      <c r="N137" s="9" t="s">
        <v>218</v>
      </c>
      <c r="O137" s="9" t="s">
        <v>3537</v>
      </c>
      <c r="P137" s="9" t="s">
        <v>1100</v>
      </c>
      <c r="Q137" s="9" t="s">
        <v>1101</v>
      </c>
    </row>
    <row r="138" spans="1:17" ht="15" customHeight="1">
      <c r="A138" s="8">
        <v>137</v>
      </c>
      <c r="B138" s="8" t="s">
        <v>3122</v>
      </c>
      <c r="C138" s="8" t="s">
        <v>3538</v>
      </c>
      <c r="D138" s="8" t="s">
        <v>3539</v>
      </c>
      <c r="E138" s="8" t="s">
        <v>21</v>
      </c>
      <c r="F138" s="8" t="s">
        <v>22</v>
      </c>
      <c r="G138" s="8">
        <v>934</v>
      </c>
      <c r="H138" s="8" t="s">
        <v>23</v>
      </c>
      <c r="I138" s="8" t="s">
        <v>198</v>
      </c>
      <c r="J138" s="8" t="s">
        <v>36</v>
      </c>
      <c r="K138" s="8" t="s">
        <v>26</v>
      </c>
      <c r="L138" s="8" t="s">
        <v>199</v>
      </c>
      <c r="M138" s="8">
        <v>4900</v>
      </c>
      <c r="N138" s="8" t="s">
        <v>199</v>
      </c>
      <c r="O138" s="8" t="s">
        <v>3540</v>
      </c>
      <c r="P138" s="8" t="s">
        <v>1100</v>
      </c>
      <c r="Q138" s="8" t="s">
        <v>1101</v>
      </c>
    </row>
    <row r="139" spans="1:17" ht="15" customHeight="1">
      <c r="A139" s="9">
        <v>138</v>
      </c>
      <c r="B139" s="9" t="s">
        <v>3122</v>
      </c>
      <c r="C139" s="9" t="s">
        <v>3541</v>
      </c>
      <c r="D139" s="9" t="s">
        <v>3542</v>
      </c>
      <c r="E139" s="9" t="s">
        <v>94</v>
      </c>
      <c r="F139" s="9" t="s">
        <v>22</v>
      </c>
      <c r="G139" s="9">
        <v>11600</v>
      </c>
      <c r="H139" s="9" t="s">
        <v>23</v>
      </c>
      <c r="I139" s="9" t="s">
        <v>3155</v>
      </c>
      <c r="J139" s="9" t="s">
        <v>96</v>
      </c>
      <c r="K139" s="9" t="s">
        <v>97</v>
      </c>
      <c r="L139" s="9" t="s">
        <v>3156</v>
      </c>
      <c r="M139" s="9"/>
      <c r="N139" s="9" t="s">
        <v>3156</v>
      </c>
      <c r="O139" s="9" t="s">
        <v>3543</v>
      </c>
      <c r="P139" s="9" t="s">
        <v>1100</v>
      </c>
      <c r="Q139" s="9" t="s">
        <v>1101</v>
      </c>
    </row>
    <row r="140" spans="1:17" ht="15" customHeight="1">
      <c r="A140" s="8">
        <v>139</v>
      </c>
      <c r="B140" s="8" t="s">
        <v>3122</v>
      </c>
      <c r="C140" s="8" t="s">
        <v>3544</v>
      </c>
      <c r="D140" s="8" t="s">
        <v>3545</v>
      </c>
      <c r="E140" s="8" t="s">
        <v>21</v>
      </c>
      <c r="F140" s="8" t="s">
        <v>22</v>
      </c>
      <c r="G140" s="8">
        <v>477</v>
      </c>
      <c r="H140" s="8" t="s">
        <v>23</v>
      </c>
      <c r="I140" s="8" t="s">
        <v>330</v>
      </c>
      <c r="J140" s="8" t="s">
        <v>331</v>
      </c>
      <c r="K140" s="8" t="s">
        <v>26</v>
      </c>
      <c r="L140" s="8" t="s">
        <v>332</v>
      </c>
      <c r="M140" s="8">
        <v>6011</v>
      </c>
      <c r="N140" s="8" t="s">
        <v>332</v>
      </c>
      <c r="O140" s="8" t="s">
        <v>3546</v>
      </c>
      <c r="P140" s="8" t="s">
        <v>1100</v>
      </c>
      <c r="Q140" s="8" t="s">
        <v>1101</v>
      </c>
    </row>
    <row r="141" spans="1:17" ht="15" customHeight="1">
      <c r="A141" s="9">
        <v>140</v>
      </c>
      <c r="B141" s="9" t="s">
        <v>3122</v>
      </c>
      <c r="C141" s="9" t="s">
        <v>3547</v>
      </c>
      <c r="D141" s="9" t="s">
        <v>3548</v>
      </c>
      <c r="E141" s="9" t="s">
        <v>21</v>
      </c>
      <c r="F141" s="9" t="s">
        <v>22</v>
      </c>
      <c r="G141" s="9">
        <v>432</v>
      </c>
      <c r="H141" s="9" t="s">
        <v>23</v>
      </c>
      <c r="I141" s="9" t="s">
        <v>286</v>
      </c>
      <c r="J141" s="9" t="s">
        <v>41</v>
      </c>
      <c r="K141" s="9" t="s">
        <v>26</v>
      </c>
      <c r="L141" s="9" t="s">
        <v>287</v>
      </c>
      <c r="M141" s="9">
        <v>8011</v>
      </c>
      <c r="N141" s="9" t="s">
        <v>287</v>
      </c>
      <c r="O141" s="9" t="s">
        <v>3549</v>
      </c>
      <c r="P141" s="9" t="s">
        <v>1100</v>
      </c>
      <c r="Q141" s="9" t="s">
        <v>1101</v>
      </c>
    </row>
    <row r="142" spans="1:17" ht="15" customHeight="1">
      <c r="A142" s="8">
        <v>141</v>
      </c>
      <c r="B142" s="8" t="s">
        <v>3122</v>
      </c>
      <c r="C142" s="8" t="s">
        <v>3550</v>
      </c>
      <c r="D142" s="8" t="s">
        <v>3551</v>
      </c>
      <c r="E142" s="8" t="s">
        <v>21</v>
      </c>
      <c r="F142" s="8" t="s">
        <v>22</v>
      </c>
      <c r="G142" s="8">
        <v>502</v>
      </c>
      <c r="H142" s="8" t="s">
        <v>23</v>
      </c>
      <c r="I142" s="8" t="s">
        <v>86</v>
      </c>
      <c r="J142" s="8" t="s">
        <v>36</v>
      </c>
      <c r="K142" s="8" t="s">
        <v>26</v>
      </c>
      <c r="L142" s="8" t="s">
        <v>87</v>
      </c>
      <c r="M142" s="8">
        <v>4813</v>
      </c>
      <c r="N142" s="8" t="s">
        <v>87</v>
      </c>
      <c r="O142" s="8" t="s">
        <v>3552</v>
      </c>
      <c r="P142" s="8" t="s">
        <v>1100</v>
      </c>
      <c r="Q142" s="8" t="s">
        <v>1101</v>
      </c>
    </row>
    <row r="143" spans="1:17" ht="15" customHeight="1">
      <c r="A143" s="9">
        <v>142</v>
      </c>
      <c r="B143" s="9" t="s">
        <v>3122</v>
      </c>
      <c r="C143" s="9" t="s">
        <v>3553</v>
      </c>
      <c r="D143" s="9" t="s">
        <v>3554</v>
      </c>
      <c r="E143" s="9" t="s">
        <v>21</v>
      </c>
      <c r="F143" s="9" t="s">
        <v>22</v>
      </c>
      <c r="G143" s="9">
        <v>2200</v>
      </c>
      <c r="H143" s="9" t="s">
        <v>23</v>
      </c>
      <c r="I143" s="9" t="s">
        <v>3125</v>
      </c>
      <c r="J143" s="9" t="s">
        <v>36</v>
      </c>
      <c r="K143" s="9" t="s">
        <v>26</v>
      </c>
      <c r="L143" s="9" t="s">
        <v>3126</v>
      </c>
      <c r="M143" s="9">
        <v>6012</v>
      </c>
      <c r="N143" s="9" t="s">
        <v>3126</v>
      </c>
      <c r="O143" s="9" t="s">
        <v>3555</v>
      </c>
      <c r="P143" s="9" t="s">
        <v>1100</v>
      </c>
      <c r="Q143" s="9" t="s">
        <v>1101</v>
      </c>
    </row>
    <row r="144" spans="1:17" ht="15" customHeight="1">
      <c r="A144" s="8">
        <v>143</v>
      </c>
      <c r="B144" s="8" t="s">
        <v>3122</v>
      </c>
      <c r="C144" s="8" t="s">
        <v>3556</v>
      </c>
      <c r="D144" s="8" t="s">
        <v>3557</v>
      </c>
      <c r="E144" s="8" t="s">
        <v>21</v>
      </c>
      <c r="F144" s="8" t="s">
        <v>22</v>
      </c>
      <c r="G144" s="8">
        <v>254</v>
      </c>
      <c r="H144" s="8" t="s">
        <v>23</v>
      </c>
      <c r="I144" s="8" t="s">
        <v>115</v>
      </c>
      <c r="J144" s="8" t="s">
        <v>41</v>
      </c>
      <c r="K144" s="8" t="s">
        <v>26</v>
      </c>
      <c r="L144" s="8" t="s">
        <v>116</v>
      </c>
      <c r="M144" s="8">
        <v>5812</v>
      </c>
      <c r="N144" s="8" t="s">
        <v>116</v>
      </c>
      <c r="O144" s="8" t="s">
        <v>3558</v>
      </c>
      <c r="P144" s="8" t="s">
        <v>1100</v>
      </c>
      <c r="Q144" s="8" t="s">
        <v>1101</v>
      </c>
    </row>
    <row r="145" spans="1:17" ht="15" customHeight="1">
      <c r="A145" s="9">
        <v>144</v>
      </c>
      <c r="B145" s="9" t="s">
        <v>3122</v>
      </c>
      <c r="C145" s="9" t="s">
        <v>3559</v>
      </c>
      <c r="D145" s="9" t="s">
        <v>3560</v>
      </c>
      <c r="E145" s="9" t="s">
        <v>21</v>
      </c>
      <c r="F145" s="9" t="s">
        <v>22</v>
      </c>
      <c r="G145" s="9">
        <v>783</v>
      </c>
      <c r="H145" s="9" t="s">
        <v>23</v>
      </c>
      <c r="I145" s="9" t="s">
        <v>244</v>
      </c>
      <c r="J145" s="9" t="s">
        <v>41</v>
      </c>
      <c r="K145" s="9" t="s">
        <v>26</v>
      </c>
      <c r="L145" s="9" t="s">
        <v>245</v>
      </c>
      <c r="M145" s="9">
        <v>5411</v>
      </c>
      <c r="N145" s="9" t="s">
        <v>245</v>
      </c>
      <c r="O145" s="9" t="s">
        <v>3561</v>
      </c>
      <c r="P145" s="9" t="s">
        <v>1100</v>
      </c>
      <c r="Q145" s="9" t="s">
        <v>1101</v>
      </c>
    </row>
    <row r="146" spans="1:17" ht="15" customHeight="1">
      <c r="A146" s="8">
        <v>145</v>
      </c>
      <c r="B146" s="8" t="s">
        <v>3122</v>
      </c>
      <c r="C146" s="8" t="s">
        <v>3562</v>
      </c>
      <c r="D146" s="8" t="s">
        <v>3563</v>
      </c>
      <c r="E146" s="8" t="s">
        <v>21</v>
      </c>
      <c r="F146" s="8" t="s">
        <v>22</v>
      </c>
      <c r="G146" s="8">
        <v>1060</v>
      </c>
      <c r="H146" s="8" t="s">
        <v>23</v>
      </c>
      <c r="I146" s="8" t="s">
        <v>318</v>
      </c>
      <c r="J146" s="8" t="s">
        <v>25</v>
      </c>
      <c r="K146" s="8" t="s">
        <v>26</v>
      </c>
      <c r="L146" s="8" t="s">
        <v>319</v>
      </c>
      <c r="M146" s="8">
        <v>5999</v>
      </c>
      <c r="N146" s="8" t="s">
        <v>319</v>
      </c>
      <c r="O146" s="8" t="s">
        <v>3564</v>
      </c>
      <c r="P146" s="8" t="s">
        <v>1100</v>
      </c>
      <c r="Q146" s="8" t="s">
        <v>1101</v>
      </c>
    </row>
    <row r="147" spans="1:17" ht="15" customHeight="1">
      <c r="A147" s="9">
        <v>146</v>
      </c>
      <c r="B147" s="9" t="s">
        <v>3122</v>
      </c>
      <c r="C147" s="9" t="s">
        <v>3565</v>
      </c>
      <c r="D147" s="9" t="s">
        <v>3566</v>
      </c>
      <c r="E147" s="9" t="s">
        <v>21</v>
      </c>
      <c r="F147" s="9" t="s">
        <v>22</v>
      </c>
      <c r="G147" s="9">
        <v>783</v>
      </c>
      <c r="H147" s="9" t="s">
        <v>23</v>
      </c>
      <c r="I147" s="9" t="s">
        <v>131</v>
      </c>
      <c r="J147" s="9" t="s">
        <v>41</v>
      </c>
      <c r="K147" s="9" t="s">
        <v>26</v>
      </c>
      <c r="L147" s="9" t="s">
        <v>132</v>
      </c>
      <c r="M147" s="9">
        <v>5411</v>
      </c>
      <c r="N147" s="9" t="s">
        <v>132</v>
      </c>
      <c r="O147" s="9" t="s">
        <v>3567</v>
      </c>
      <c r="P147" s="9" t="s">
        <v>1100</v>
      </c>
      <c r="Q147" s="9" t="s">
        <v>1101</v>
      </c>
    </row>
    <row r="148" spans="1:17" ht="15" customHeight="1">
      <c r="A148" s="8">
        <v>147</v>
      </c>
      <c r="B148" s="8" t="s">
        <v>3122</v>
      </c>
      <c r="C148" s="8" t="s">
        <v>3568</v>
      </c>
      <c r="D148" s="8" t="s">
        <v>3569</v>
      </c>
      <c r="E148" s="8" t="s">
        <v>21</v>
      </c>
      <c r="F148" s="8" t="s">
        <v>22</v>
      </c>
      <c r="G148" s="8">
        <v>253</v>
      </c>
      <c r="H148" s="8" t="s">
        <v>23</v>
      </c>
      <c r="I148" s="8" t="s">
        <v>138</v>
      </c>
      <c r="J148" s="8" t="s">
        <v>41</v>
      </c>
      <c r="K148" s="8" t="s">
        <v>26</v>
      </c>
      <c r="L148" s="8" t="s">
        <v>139</v>
      </c>
      <c r="M148" s="8">
        <v>5812</v>
      </c>
      <c r="N148" s="8" t="s">
        <v>139</v>
      </c>
      <c r="O148" s="8" t="s">
        <v>3570</v>
      </c>
      <c r="P148" s="8" t="s">
        <v>1100</v>
      </c>
      <c r="Q148" s="8" t="s">
        <v>1101</v>
      </c>
    </row>
    <row r="149" spans="1:17" ht="15" customHeight="1">
      <c r="A149" s="9">
        <v>148</v>
      </c>
      <c r="B149" s="9" t="s">
        <v>3122</v>
      </c>
      <c r="C149" s="9" t="s">
        <v>3571</v>
      </c>
      <c r="D149" s="9" t="s">
        <v>3572</v>
      </c>
      <c r="E149" s="9" t="s">
        <v>21</v>
      </c>
      <c r="F149" s="9" t="s">
        <v>22</v>
      </c>
      <c r="G149" s="9">
        <v>587</v>
      </c>
      <c r="H149" s="9" t="s">
        <v>23</v>
      </c>
      <c r="I149" s="9" t="s">
        <v>111</v>
      </c>
      <c r="J149" s="9" t="s">
        <v>41</v>
      </c>
      <c r="K149" s="9" t="s">
        <v>26</v>
      </c>
      <c r="L149" s="9" t="s">
        <v>112</v>
      </c>
      <c r="M149" s="9">
        <v>5541</v>
      </c>
      <c r="N149" s="9" t="s">
        <v>112</v>
      </c>
      <c r="O149" s="9" t="s">
        <v>3573</v>
      </c>
      <c r="P149" s="9" t="s">
        <v>1100</v>
      </c>
      <c r="Q149" s="9" t="s">
        <v>1101</v>
      </c>
    </row>
    <row r="150" spans="1:17" ht="15" customHeight="1">
      <c r="A150" s="8">
        <v>149</v>
      </c>
      <c r="B150" s="8" t="s">
        <v>3122</v>
      </c>
      <c r="C150" s="8" t="s">
        <v>3574</v>
      </c>
      <c r="D150" s="8" t="s">
        <v>3575</v>
      </c>
      <c r="E150" s="8" t="s">
        <v>21</v>
      </c>
      <c r="F150" s="8" t="s">
        <v>22</v>
      </c>
      <c r="G150" s="8">
        <v>947</v>
      </c>
      <c r="H150" s="8" t="s">
        <v>23</v>
      </c>
      <c r="I150" s="8" t="s">
        <v>90</v>
      </c>
      <c r="J150" s="8" t="s">
        <v>36</v>
      </c>
      <c r="K150" s="8" t="s">
        <v>26</v>
      </c>
      <c r="L150" s="8" t="s">
        <v>91</v>
      </c>
      <c r="M150" s="8">
        <v>4900</v>
      </c>
      <c r="N150" s="8" t="s">
        <v>91</v>
      </c>
      <c r="O150" s="8" t="s">
        <v>3576</v>
      </c>
      <c r="P150" s="8" t="s">
        <v>1100</v>
      </c>
      <c r="Q150" s="8" t="s">
        <v>1101</v>
      </c>
    </row>
    <row r="151" spans="1:17" ht="15" customHeight="1">
      <c r="A151" s="9">
        <v>150</v>
      </c>
      <c r="B151" s="9" t="s">
        <v>3122</v>
      </c>
      <c r="C151" s="9" t="s">
        <v>3577</v>
      </c>
      <c r="D151" s="9" t="s">
        <v>3578</v>
      </c>
      <c r="E151" s="9" t="s">
        <v>21</v>
      </c>
      <c r="F151" s="9" t="s">
        <v>22</v>
      </c>
      <c r="G151" s="9">
        <v>785</v>
      </c>
      <c r="H151" s="9" t="s">
        <v>23</v>
      </c>
      <c r="I151" s="9" t="s">
        <v>186</v>
      </c>
      <c r="J151" s="9" t="s">
        <v>41</v>
      </c>
      <c r="K151" s="9" t="s">
        <v>26</v>
      </c>
      <c r="L151" s="9" t="s">
        <v>187</v>
      </c>
      <c r="M151" s="9">
        <v>5999</v>
      </c>
      <c r="N151" s="9" t="s">
        <v>187</v>
      </c>
      <c r="O151" s="9" t="s">
        <v>3579</v>
      </c>
      <c r="P151" s="9" t="s">
        <v>1100</v>
      </c>
      <c r="Q151" s="9" t="s">
        <v>1101</v>
      </c>
    </row>
    <row r="152" spans="1:17" ht="15" customHeight="1">
      <c r="A152" s="8">
        <v>151</v>
      </c>
      <c r="B152" s="8" t="s">
        <v>3122</v>
      </c>
      <c r="C152" s="8" t="s">
        <v>3580</v>
      </c>
      <c r="D152" s="8" t="s">
        <v>3581</v>
      </c>
      <c r="E152" s="8" t="s">
        <v>21</v>
      </c>
      <c r="F152" s="8" t="s">
        <v>22</v>
      </c>
      <c r="G152" s="8">
        <v>782</v>
      </c>
      <c r="H152" s="8" t="s">
        <v>23</v>
      </c>
      <c r="I152" s="8" t="s">
        <v>180</v>
      </c>
      <c r="J152" s="8" t="s">
        <v>41</v>
      </c>
      <c r="K152" s="8" t="s">
        <v>26</v>
      </c>
      <c r="L152" s="8" t="s">
        <v>181</v>
      </c>
      <c r="M152" s="8">
        <v>5411</v>
      </c>
      <c r="N152" s="8" t="s">
        <v>181</v>
      </c>
      <c r="O152" s="8" t="s">
        <v>3582</v>
      </c>
      <c r="P152" s="8" t="s">
        <v>1100</v>
      </c>
      <c r="Q152" s="8" t="s">
        <v>1101</v>
      </c>
    </row>
    <row r="153" spans="1:17" ht="15" customHeight="1">
      <c r="A153" s="9">
        <v>152</v>
      </c>
      <c r="B153" s="9" t="s">
        <v>3122</v>
      </c>
      <c r="C153" s="9" t="s">
        <v>3583</v>
      </c>
      <c r="D153" s="9" t="s">
        <v>3584</v>
      </c>
      <c r="E153" s="9" t="s">
        <v>21</v>
      </c>
      <c r="F153" s="9" t="s">
        <v>22</v>
      </c>
      <c r="G153" s="9">
        <v>253</v>
      </c>
      <c r="H153" s="9" t="s">
        <v>23</v>
      </c>
      <c r="I153" s="9" t="s">
        <v>115</v>
      </c>
      <c r="J153" s="9" t="s">
        <v>41</v>
      </c>
      <c r="K153" s="9" t="s">
        <v>26</v>
      </c>
      <c r="L153" s="9" t="s">
        <v>116</v>
      </c>
      <c r="M153" s="9">
        <v>5812</v>
      </c>
      <c r="N153" s="9" t="s">
        <v>116</v>
      </c>
      <c r="O153" s="9" t="s">
        <v>3585</v>
      </c>
      <c r="P153" s="9" t="s">
        <v>1100</v>
      </c>
      <c r="Q153" s="9" t="s">
        <v>1101</v>
      </c>
    </row>
    <row r="154" spans="1:17" ht="15" customHeight="1">
      <c r="A154" s="8">
        <v>153</v>
      </c>
      <c r="B154" s="8" t="s">
        <v>3122</v>
      </c>
      <c r="C154" s="8" t="s">
        <v>3586</v>
      </c>
      <c r="D154" s="8" t="s">
        <v>3587</v>
      </c>
      <c r="E154" s="8" t="s">
        <v>21</v>
      </c>
      <c r="F154" s="8" t="s">
        <v>22</v>
      </c>
      <c r="G154" s="8">
        <v>85</v>
      </c>
      <c r="H154" s="8" t="s">
        <v>23</v>
      </c>
      <c r="I154" s="8" t="s">
        <v>56</v>
      </c>
      <c r="J154" s="8" t="s">
        <v>41</v>
      </c>
      <c r="K154" s="8" t="s">
        <v>26</v>
      </c>
      <c r="L154" s="8" t="s">
        <v>57</v>
      </c>
      <c r="M154" s="8">
        <v>5999</v>
      </c>
      <c r="N154" s="8" t="s">
        <v>57</v>
      </c>
      <c r="O154" s="8" t="s">
        <v>3588</v>
      </c>
      <c r="P154" s="8" t="s">
        <v>1100</v>
      </c>
      <c r="Q154" s="8" t="s">
        <v>1101</v>
      </c>
    </row>
    <row r="155" spans="1:17" ht="15" customHeight="1">
      <c r="A155" s="9">
        <v>154</v>
      </c>
      <c r="B155" s="9" t="s">
        <v>3122</v>
      </c>
      <c r="C155" s="9" t="s">
        <v>3589</v>
      </c>
      <c r="D155" s="9" t="s">
        <v>3590</v>
      </c>
      <c r="E155" s="9" t="s">
        <v>94</v>
      </c>
      <c r="F155" s="9" t="s">
        <v>22</v>
      </c>
      <c r="G155" s="9">
        <v>11400</v>
      </c>
      <c r="H155" s="9" t="s">
        <v>23</v>
      </c>
      <c r="I155" s="9" t="s">
        <v>3155</v>
      </c>
      <c r="J155" s="9" t="s">
        <v>96</v>
      </c>
      <c r="K155" s="9" t="s">
        <v>97</v>
      </c>
      <c r="L155" s="9" t="s">
        <v>3156</v>
      </c>
      <c r="M155" s="9"/>
      <c r="N155" s="9" t="s">
        <v>3156</v>
      </c>
      <c r="O155" s="9" t="s">
        <v>3591</v>
      </c>
      <c r="P155" s="9" t="s">
        <v>1100</v>
      </c>
      <c r="Q155" s="9" t="s">
        <v>1101</v>
      </c>
    </row>
    <row r="156" spans="1:17" ht="15" customHeight="1">
      <c r="A156" s="8">
        <v>155</v>
      </c>
      <c r="B156" s="8" t="s">
        <v>3122</v>
      </c>
      <c r="C156" s="8" t="s">
        <v>3592</v>
      </c>
      <c r="D156" s="8" t="s">
        <v>3593</v>
      </c>
      <c r="E156" s="8" t="s">
        <v>21</v>
      </c>
      <c r="F156" s="8" t="s">
        <v>22</v>
      </c>
      <c r="G156" s="8">
        <v>462</v>
      </c>
      <c r="H156" s="8" t="s">
        <v>23</v>
      </c>
      <c r="I156" s="8" t="s">
        <v>286</v>
      </c>
      <c r="J156" s="8" t="s">
        <v>41</v>
      </c>
      <c r="K156" s="8" t="s">
        <v>26</v>
      </c>
      <c r="L156" s="8" t="s">
        <v>287</v>
      </c>
      <c r="M156" s="8">
        <v>8011</v>
      </c>
      <c r="N156" s="8" t="s">
        <v>287</v>
      </c>
      <c r="O156" s="8" t="s">
        <v>3594</v>
      </c>
      <c r="P156" s="8" t="s">
        <v>1100</v>
      </c>
      <c r="Q156" s="8" t="s">
        <v>1101</v>
      </c>
    </row>
    <row r="157" spans="1:17" ht="15" customHeight="1">
      <c r="A157" s="9">
        <v>156</v>
      </c>
      <c r="B157" s="9" t="s">
        <v>3122</v>
      </c>
      <c r="C157" s="9" t="s">
        <v>3595</v>
      </c>
      <c r="D157" s="9" t="s">
        <v>3596</v>
      </c>
      <c r="E157" s="9" t="s">
        <v>21</v>
      </c>
      <c r="F157" s="9" t="s">
        <v>22</v>
      </c>
      <c r="G157" s="9">
        <v>786</v>
      </c>
      <c r="H157" s="9" t="s">
        <v>23</v>
      </c>
      <c r="I157" s="9" t="s">
        <v>363</v>
      </c>
      <c r="J157" s="9" t="s">
        <v>41</v>
      </c>
      <c r="K157" s="9" t="s">
        <v>26</v>
      </c>
      <c r="L157" s="9" t="s">
        <v>364</v>
      </c>
      <c r="M157" s="9">
        <v>5999</v>
      </c>
      <c r="N157" s="9" t="s">
        <v>364</v>
      </c>
      <c r="O157" s="9" t="s">
        <v>3597</v>
      </c>
      <c r="P157" s="9" t="s">
        <v>1100</v>
      </c>
      <c r="Q157" s="9" t="s">
        <v>1101</v>
      </c>
    </row>
    <row r="158" spans="1:17" ht="15" customHeight="1">
      <c r="A158" s="8">
        <v>157</v>
      </c>
      <c r="B158" s="8" t="s">
        <v>3122</v>
      </c>
      <c r="C158" s="8" t="s">
        <v>3598</v>
      </c>
      <c r="D158" s="8" t="s">
        <v>3599</v>
      </c>
      <c r="E158" s="8" t="s">
        <v>21</v>
      </c>
      <c r="F158" s="8" t="s">
        <v>22</v>
      </c>
      <c r="G158" s="8">
        <v>2200</v>
      </c>
      <c r="H158" s="8" t="s">
        <v>23</v>
      </c>
      <c r="I158" s="8" t="s">
        <v>3125</v>
      </c>
      <c r="J158" s="8" t="s">
        <v>36</v>
      </c>
      <c r="K158" s="8" t="s">
        <v>26</v>
      </c>
      <c r="L158" s="8" t="s">
        <v>3126</v>
      </c>
      <c r="M158" s="8">
        <v>6012</v>
      </c>
      <c r="N158" s="8" t="s">
        <v>3126</v>
      </c>
      <c r="O158" s="8" t="s">
        <v>3600</v>
      </c>
      <c r="P158" s="8" t="s">
        <v>1100</v>
      </c>
      <c r="Q158" s="8" t="s">
        <v>1101</v>
      </c>
    </row>
    <row r="159" spans="1:17" ht="15" customHeight="1">
      <c r="A159" s="9">
        <v>158</v>
      </c>
      <c r="B159" s="9" t="s">
        <v>3122</v>
      </c>
      <c r="C159" s="9" t="s">
        <v>3601</v>
      </c>
      <c r="D159" s="9" t="s">
        <v>3602</v>
      </c>
      <c r="E159" s="9" t="s">
        <v>21</v>
      </c>
      <c r="F159" s="9" t="s">
        <v>22</v>
      </c>
      <c r="G159" s="9">
        <v>1306</v>
      </c>
      <c r="H159" s="9" t="s">
        <v>23</v>
      </c>
      <c r="I159" s="9" t="s">
        <v>363</v>
      </c>
      <c r="J159" s="9" t="s">
        <v>41</v>
      </c>
      <c r="K159" s="9" t="s">
        <v>26</v>
      </c>
      <c r="L159" s="9" t="s">
        <v>364</v>
      </c>
      <c r="M159" s="9">
        <v>5999</v>
      </c>
      <c r="N159" s="9" t="s">
        <v>364</v>
      </c>
      <c r="O159" s="9" t="s">
        <v>3603</v>
      </c>
      <c r="P159" s="9" t="s">
        <v>1100</v>
      </c>
      <c r="Q159" s="9" t="s">
        <v>1101</v>
      </c>
    </row>
    <row r="160" spans="1:17" ht="15" customHeight="1">
      <c r="A160" s="8">
        <v>159</v>
      </c>
      <c r="B160" s="8" t="s">
        <v>3122</v>
      </c>
      <c r="C160" s="8" t="s">
        <v>3604</v>
      </c>
      <c r="D160" s="8" t="s">
        <v>3605</v>
      </c>
      <c r="E160" s="8" t="s">
        <v>21</v>
      </c>
      <c r="F160" s="8" t="s">
        <v>22</v>
      </c>
      <c r="G160" s="8">
        <v>780</v>
      </c>
      <c r="H160" s="8" t="s">
        <v>23</v>
      </c>
      <c r="I160" s="8" t="s">
        <v>90</v>
      </c>
      <c r="J160" s="8" t="s">
        <v>36</v>
      </c>
      <c r="K160" s="8" t="s">
        <v>26</v>
      </c>
      <c r="L160" s="8" t="s">
        <v>91</v>
      </c>
      <c r="M160" s="8">
        <v>4900</v>
      </c>
      <c r="N160" s="8" t="s">
        <v>91</v>
      </c>
      <c r="O160" s="8" t="s">
        <v>3606</v>
      </c>
      <c r="P160" s="8" t="s">
        <v>1100</v>
      </c>
      <c r="Q160" s="8" t="s">
        <v>1101</v>
      </c>
    </row>
    <row r="161" spans="1:17" ht="15" customHeight="1">
      <c r="A161" s="9">
        <v>160</v>
      </c>
      <c r="B161" s="9" t="s">
        <v>3122</v>
      </c>
      <c r="C161" s="9" t="s">
        <v>3607</v>
      </c>
      <c r="D161" s="9" t="s">
        <v>3608</v>
      </c>
      <c r="E161" s="9" t="s">
        <v>21</v>
      </c>
      <c r="F161" s="9" t="s">
        <v>22</v>
      </c>
      <c r="G161" s="9">
        <v>531</v>
      </c>
      <c r="H161" s="9" t="s">
        <v>23</v>
      </c>
      <c r="I161" s="9" t="s">
        <v>61</v>
      </c>
      <c r="J161" s="9" t="s">
        <v>25</v>
      </c>
      <c r="K161" s="9" t="s">
        <v>26</v>
      </c>
      <c r="L161" s="9" t="s">
        <v>62</v>
      </c>
      <c r="M161" s="9">
        <v>5999</v>
      </c>
      <c r="N161" s="9" t="s">
        <v>62</v>
      </c>
      <c r="O161" s="9" t="s">
        <v>3609</v>
      </c>
      <c r="P161" s="9" t="s">
        <v>1100</v>
      </c>
      <c r="Q161" s="9" t="s">
        <v>1101</v>
      </c>
    </row>
    <row r="162" spans="1:17" ht="15" customHeight="1">
      <c r="A162" s="8">
        <v>161</v>
      </c>
      <c r="B162" s="8" t="s">
        <v>3122</v>
      </c>
      <c r="C162" s="8" t="s">
        <v>3610</v>
      </c>
      <c r="D162" s="8" t="s">
        <v>3611</v>
      </c>
      <c r="E162" s="8" t="s">
        <v>21</v>
      </c>
      <c r="F162" s="8" t="s">
        <v>22</v>
      </c>
      <c r="G162" s="8">
        <v>560</v>
      </c>
      <c r="H162" s="8" t="s">
        <v>23</v>
      </c>
      <c r="I162" s="8" t="s">
        <v>174</v>
      </c>
      <c r="J162" s="8" t="s">
        <v>36</v>
      </c>
      <c r="K162" s="8" t="s">
        <v>26</v>
      </c>
      <c r="L162" s="8" t="s">
        <v>175</v>
      </c>
      <c r="M162" s="8">
        <v>4813</v>
      </c>
      <c r="N162" s="8" t="s">
        <v>175</v>
      </c>
      <c r="O162" s="8" t="s">
        <v>3612</v>
      </c>
      <c r="P162" s="8" t="s">
        <v>1100</v>
      </c>
      <c r="Q162" s="8" t="s">
        <v>1101</v>
      </c>
    </row>
    <row r="163" spans="1:17" ht="15" customHeight="1">
      <c r="A163" s="9">
        <v>162</v>
      </c>
      <c r="B163" s="9" t="s">
        <v>3122</v>
      </c>
      <c r="C163" s="9" t="s">
        <v>3613</v>
      </c>
      <c r="D163" s="9" t="s">
        <v>3614</v>
      </c>
      <c r="E163" s="9" t="s">
        <v>21</v>
      </c>
      <c r="F163" s="9" t="s">
        <v>22</v>
      </c>
      <c r="G163" s="9">
        <v>710</v>
      </c>
      <c r="H163" s="9" t="s">
        <v>23</v>
      </c>
      <c r="I163" s="9" t="s">
        <v>131</v>
      </c>
      <c r="J163" s="9" t="s">
        <v>41</v>
      </c>
      <c r="K163" s="9" t="s">
        <v>26</v>
      </c>
      <c r="L163" s="9" t="s">
        <v>132</v>
      </c>
      <c r="M163" s="9">
        <v>5411</v>
      </c>
      <c r="N163" s="9" t="s">
        <v>132</v>
      </c>
      <c r="O163" s="9" t="s">
        <v>3615</v>
      </c>
      <c r="P163" s="9" t="s">
        <v>1100</v>
      </c>
      <c r="Q163" s="9" t="s">
        <v>1101</v>
      </c>
    </row>
    <row r="164" spans="1:17" ht="15" customHeight="1">
      <c r="A164" s="8">
        <v>163</v>
      </c>
      <c r="B164" s="8" t="s">
        <v>3122</v>
      </c>
      <c r="C164" s="8" t="s">
        <v>3616</v>
      </c>
      <c r="D164" s="8" t="s">
        <v>3617</v>
      </c>
      <c r="E164" s="8" t="s">
        <v>21</v>
      </c>
      <c r="F164" s="8" t="s">
        <v>22</v>
      </c>
      <c r="G164" s="8">
        <v>710</v>
      </c>
      <c r="H164" s="8" t="s">
        <v>23</v>
      </c>
      <c r="I164" s="8" t="s">
        <v>244</v>
      </c>
      <c r="J164" s="8" t="s">
        <v>41</v>
      </c>
      <c r="K164" s="8" t="s">
        <v>26</v>
      </c>
      <c r="L164" s="8" t="s">
        <v>245</v>
      </c>
      <c r="M164" s="8">
        <v>5411</v>
      </c>
      <c r="N164" s="8" t="s">
        <v>245</v>
      </c>
      <c r="O164" s="8" t="s">
        <v>3618</v>
      </c>
      <c r="P164" s="8" t="s">
        <v>1100</v>
      </c>
      <c r="Q164" s="8" t="s">
        <v>1101</v>
      </c>
    </row>
    <row r="165" spans="1:17" ht="15" customHeight="1">
      <c r="A165" s="9">
        <v>164</v>
      </c>
      <c r="B165" s="9" t="s">
        <v>3122</v>
      </c>
      <c r="C165" s="9" t="s">
        <v>3619</v>
      </c>
      <c r="D165" s="9" t="s">
        <v>3620</v>
      </c>
      <c r="E165" s="9" t="s">
        <v>21</v>
      </c>
      <c r="F165" s="9" t="s">
        <v>22</v>
      </c>
      <c r="G165" s="9">
        <v>710</v>
      </c>
      <c r="H165" s="9" t="s">
        <v>23</v>
      </c>
      <c r="I165" s="9" t="s">
        <v>244</v>
      </c>
      <c r="J165" s="9" t="s">
        <v>41</v>
      </c>
      <c r="K165" s="9" t="s">
        <v>26</v>
      </c>
      <c r="L165" s="9" t="s">
        <v>245</v>
      </c>
      <c r="M165" s="9">
        <v>5411</v>
      </c>
      <c r="N165" s="9" t="s">
        <v>245</v>
      </c>
      <c r="O165" s="9" t="s">
        <v>3621</v>
      </c>
      <c r="P165" s="9" t="s">
        <v>1100</v>
      </c>
      <c r="Q165" s="9" t="s">
        <v>1101</v>
      </c>
    </row>
    <row r="166" spans="1:17" ht="15" customHeight="1">
      <c r="A166" s="8">
        <v>165</v>
      </c>
      <c r="B166" s="8" t="s">
        <v>3122</v>
      </c>
      <c r="C166" s="8" t="s">
        <v>3622</v>
      </c>
      <c r="D166" s="8" t="s">
        <v>3623</v>
      </c>
      <c r="E166" s="8" t="s">
        <v>21</v>
      </c>
      <c r="F166" s="8" t="s">
        <v>22</v>
      </c>
      <c r="G166" s="8">
        <v>813</v>
      </c>
      <c r="H166" s="8" t="s">
        <v>23</v>
      </c>
      <c r="I166" s="8" t="s">
        <v>574</v>
      </c>
      <c r="J166" s="8" t="s">
        <v>41</v>
      </c>
      <c r="K166" s="8" t="s">
        <v>26</v>
      </c>
      <c r="L166" s="8" t="s">
        <v>575</v>
      </c>
      <c r="M166" s="8">
        <v>5812</v>
      </c>
      <c r="N166" s="8" t="s">
        <v>575</v>
      </c>
      <c r="O166" s="8" t="s">
        <v>3624</v>
      </c>
      <c r="P166" s="8" t="s">
        <v>1100</v>
      </c>
      <c r="Q166" s="8" t="s">
        <v>1101</v>
      </c>
    </row>
    <row r="167" spans="1:17" ht="15" customHeight="1">
      <c r="A167" s="9">
        <v>166</v>
      </c>
      <c r="B167" s="9" t="s">
        <v>3122</v>
      </c>
      <c r="C167" s="9" t="s">
        <v>3625</v>
      </c>
      <c r="D167" s="9" t="s">
        <v>3626</v>
      </c>
      <c r="E167" s="9" t="s">
        <v>21</v>
      </c>
      <c r="F167" s="9" t="s">
        <v>22</v>
      </c>
      <c r="G167" s="9">
        <v>532</v>
      </c>
      <c r="H167" s="9" t="s">
        <v>23</v>
      </c>
      <c r="I167" s="9" t="s">
        <v>127</v>
      </c>
      <c r="J167" s="9" t="s">
        <v>25</v>
      </c>
      <c r="K167" s="9" t="s">
        <v>26</v>
      </c>
      <c r="L167" s="9" t="s">
        <v>128</v>
      </c>
      <c r="M167" s="9">
        <v>5999</v>
      </c>
      <c r="N167" s="9" t="s">
        <v>128</v>
      </c>
      <c r="O167" s="9" t="s">
        <v>3627</v>
      </c>
      <c r="P167" s="9" t="s">
        <v>1100</v>
      </c>
      <c r="Q167" s="9" t="s">
        <v>1101</v>
      </c>
    </row>
    <row r="168" spans="1:17" ht="15" customHeight="1">
      <c r="A168" s="8">
        <v>167</v>
      </c>
      <c r="B168" s="8" t="s">
        <v>3122</v>
      </c>
      <c r="C168" s="8" t="s">
        <v>3628</v>
      </c>
      <c r="D168" s="8" t="s">
        <v>3629</v>
      </c>
      <c r="E168" s="8" t="s">
        <v>21</v>
      </c>
      <c r="F168" s="8" t="s">
        <v>22</v>
      </c>
      <c r="G168" s="8">
        <v>1130</v>
      </c>
      <c r="H168" s="8" t="s">
        <v>23</v>
      </c>
      <c r="I168" s="8" t="s">
        <v>56</v>
      </c>
      <c r="J168" s="8" t="s">
        <v>41</v>
      </c>
      <c r="K168" s="8" t="s">
        <v>26</v>
      </c>
      <c r="L168" s="8" t="s">
        <v>57</v>
      </c>
      <c r="M168" s="8">
        <v>5999</v>
      </c>
      <c r="N168" s="8" t="s">
        <v>57</v>
      </c>
      <c r="O168" s="8" t="s">
        <v>3630</v>
      </c>
      <c r="P168" s="8" t="s">
        <v>1100</v>
      </c>
      <c r="Q168" s="8" t="s">
        <v>1101</v>
      </c>
    </row>
    <row r="169" spans="1:17" ht="15" customHeight="1">
      <c r="A169" s="9">
        <v>168</v>
      </c>
      <c r="B169" s="9" t="s">
        <v>3122</v>
      </c>
      <c r="C169" s="9" t="s">
        <v>3631</v>
      </c>
      <c r="D169" s="9" t="s">
        <v>3632</v>
      </c>
      <c r="E169" s="9" t="s">
        <v>94</v>
      </c>
      <c r="F169" s="9" t="s">
        <v>22</v>
      </c>
      <c r="G169" s="9">
        <v>11500</v>
      </c>
      <c r="H169" s="9" t="s">
        <v>23</v>
      </c>
      <c r="I169" s="9" t="s">
        <v>3155</v>
      </c>
      <c r="J169" s="9" t="s">
        <v>96</v>
      </c>
      <c r="K169" s="9" t="s">
        <v>97</v>
      </c>
      <c r="L169" s="9" t="s">
        <v>3156</v>
      </c>
      <c r="M169" s="9"/>
      <c r="N169" s="9" t="s">
        <v>3156</v>
      </c>
      <c r="O169" s="9" t="s">
        <v>3633</v>
      </c>
      <c r="P169" s="9" t="s">
        <v>1100</v>
      </c>
      <c r="Q169" s="9" t="s">
        <v>1101</v>
      </c>
    </row>
    <row r="170" spans="1:17" ht="15" customHeight="1">
      <c r="A170" s="8">
        <v>169</v>
      </c>
      <c r="B170" s="8" t="s">
        <v>3122</v>
      </c>
      <c r="C170" s="8" t="s">
        <v>3634</v>
      </c>
      <c r="D170" s="8" t="s">
        <v>3635</v>
      </c>
      <c r="E170" s="8" t="s">
        <v>21</v>
      </c>
      <c r="F170" s="8" t="s">
        <v>22</v>
      </c>
      <c r="G170" s="8">
        <v>613</v>
      </c>
      <c r="H170" s="8" t="s">
        <v>23</v>
      </c>
      <c r="I170" s="8" t="s">
        <v>123</v>
      </c>
      <c r="J170" s="8" t="s">
        <v>41</v>
      </c>
      <c r="K170" s="8" t="s">
        <v>26</v>
      </c>
      <c r="L170" s="8" t="s">
        <v>124</v>
      </c>
      <c r="M170" s="8">
        <v>5541</v>
      </c>
      <c r="N170" s="8" t="s">
        <v>124</v>
      </c>
      <c r="O170" s="8" t="s">
        <v>3636</v>
      </c>
      <c r="P170" s="8" t="s">
        <v>1100</v>
      </c>
      <c r="Q170" s="8" t="s">
        <v>1101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4"/>
  <sheetViews>
    <sheetView tabSelected="1" topLeftCell="F1" zoomScale="77" zoomScaleNormal="100" workbookViewId="0">
      <pane ySplit="1" topLeftCell="A8" activePane="bottomLeft" state="frozen"/>
      <selection pane="bottomLeft" activeCell="T31" sqref="T31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24" style="5" customWidth="1"/>
    <col min="13" max="13" width="22" style="5" customWidth="1"/>
    <col min="14" max="14" width="24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3637</v>
      </c>
      <c r="T1" s="4"/>
      <c r="U1" s="4"/>
      <c r="V1" s="4"/>
      <c r="W1" s="4"/>
    </row>
    <row r="2" spans="1:23" ht="13.5" customHeight="1">
      <c r="A2" s="8">
        <v>1</v>
      </c>
      <c r="B2" s="8" t="s">
        <v>3638</v>
      </c>
      <c r="C2" s="8" t="s">
        <v>3639</v>
      </c>
      <c r="D2" s="8" t="s">
        <v>3640</v>
      </c>
      <c r="E2" s="8" t="s">
        <v>21</v>
      </c>
      <c r="F2" s="8" t="s">
        <v>22</v>
      </c>
      <c r="G2" s="8">
        <v>646</v>
      </c>
      <c r="H2" s="8" t="s">
        <v>23</v>
      </c>
      <c r="I2" s="8" t="s">
        <v>180</v>
      </c>
      <c r="J2" s="8" t="s">
        <v>41</v>
      </c>
      <c r="K2" s="8" t="s">
        <v>26</v>
      </c>
      <c r="L2" s="8" t="s">
        <v>181</v>
      </c>
      <c r="M2" s="8">
        <v>5411</v>
      </c>
      <c r="N2" s="8" t="s">
        <v>181</v>
      </c>
      <c r="O2" s="8" t="s">
        <v>3641</v>
      </c>
      <c r="P2" s="8" t="s">
        <v>1409</v>
      </c>
      <c r="Q2" s="8" t="s">
        <v>1410</v>
      </c>
      <c r="R2" s="7"/>
      <c r="S2" s="3" t="s">
        <v>3642</v>
      </c>
      <c r="T2" s="3"/>
      <c r="U2" s="3"/>
      <c r="V2" s="3"/>
      <c r="W2" s="3"/>
    </row>
    <row r="3" spans="1:23" ht="3.75" customHeight="1">
      <c r="A3" s="9">
        <v>2</v>
      </c>
      <c r="B3" s="9" t="s">
        <v>3638</v>
      </c>
      <c r="C3" s="9" t="s">
        <v>3643</v>
      </c>
      <c r="D3" s="9" t="s">
        <v>3644</v>
      </c>
      <c r="E3" s="9" t="s">
        <v>21</v>
      </c>
      <c r="F3" s="9" t="s">
        <v>22</v>
      </c>
      <c r="G3" s="9">
        <v>619</v>
      </c>
      <c r="H3" s="9" t="s">
        <v>23</v>
      </c>
      <c r="I3" s="9" t="s">
        <v>90</v>
      </c>
      <c r="J3" s="9" t="s">
        <v>36</v>
      </c>
      <c r="K3" s="9" t="s">
        <v>26</v>
      </c>
      <c r="L3" s="9" t="s">
        <v>91</v>
      </c>
      <c r="M3" s="9">
        <v>4900</v>
      </c>
      <c r="N3" s="9" t="s">
        <v>91</v>
      </c>
      <c r="O3" s="9" t="s">
        <v>3645</v>
      </c>
      <c r="P3" s="9" t="s">
        <v>1409</v>
      </c>
      <c r="Q3" s="9" t="s">
        <v>1410</v>
      </c>
      <c r="R3" s="7"/>
    </row>
    <row r="4" spans="1:23" ht="15" customHeight="1">
      <c r="A4" s="8">
        <v>3</v>
      </c>
      <c r="B4" s="8" t="s">
        <v>3638</v>
      </c>
      <c r="C4" s="8" t="s">
        <v>3646</v>
      </c>
      <c r="D4" s="8" t="s">
        <v>3647</v>
      </c>
      <c r="E4" s="8" t="s">
        <v>21</v>
      </c>
      <c r="F4" s="8" t="s">
        <v>22</v>
      </c>
      <c r="G4" s="8">
        <v>2000</v>
      </c>
      <c r="H4" s="8" t="s">
        <v>23</v>
      </c>
      <c r="I4" s="8" t="s">
        <v>3648</v>
      </c>
      <c r="J4" s="8" t="s">
        <v>36</v>
      </c>
      <c r="K4" s="8" t="s">
        <v>26</v>
      </c>
      <c r="L4" s="8" t="s">
        <v>3649</v>
      </c>
      <c r="M4" s="8">
        <v>6012</v>
      </c>
      <c r="N4" s="8" t="s">
        <v>3649</v>
      </c>
      <c r="O4" s="8" t="s">
        <v>3650</v>
      </c>
      <c r="P4" s="8" t="s">
        <v>1409</v>
      </c>
      <c r="Q4" s="8" t="s">
        <v>1410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3638</v>
      </c>
      <c r="C5" s="9" t="s">
        <v>3651</v>
      </c>
      <c r="D5" s="9" t="s">
        <v>3652</v>
      </c>
      <c r="E5" s="9" t="s">
        <v>21</v>
      </c>
      <c r="F5" s="9" t="s">
        <v>22</v>
      </c>
      <c r="G5" s="9">
        <v>1110</v>
      </c>
      <c r="H5" s="9" t="s">
        <v>23</v>
      </c>
      <c r="I5" s="9" t="s">
        <v>56</v>
      </c>
      <c r="J5" s="9" t="s">
        <v>41</v>
      </c>
      <c r="K5" s="9" t="s">
        <v>26</v>
      </c>
      <c r="L5" s="9" t="s">
        <v>57</v>
      </c>
      <c r="M5" s="9">
        <v>5999</v>
      </c>
      <c r="N5" s="9" t="s">
        <v>57</v>
      </c>
      <c r="O5" s="9" t="s">
        <v>3653</v>
      </c>
      <c r="P5" s="9" t="s">
        <v>1409</v>
      </c>
      <c r="Q5" s="9" t="s">
        <v>1410</v>
      </c>
      <c r="R5" s="7"/>
      <c r="S5" s="10" t="s">
        <v>48</v>
      </c>
      <c r="T5" s="11">
        <v>28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3638</v>
      </c>
      <c r="C6" s="8" t="s">
        <v>3654</v>
      </c>
      <c r="D6" s="8" t="s">
        <v>3655</v>
      </c>
      <c r="E6" s="8" t="s">
        <v>21</v>
      </c>
      <c r="F6" s="8" t="s">
        <v>22</v>
      </c>
      <c r="G6" s="8">
        <v>205</v>
      </c>
      <c r="H6" s="8" t="s">
        <v>23</v>
      </c>
      <c r="I6" s="8" t="s">
        <v>74</v>
      </c>
      <c r="J6" s="8" t="s">
        <v>41</v>
      </c>
      <c r="K6" s="8" t="s">
        <v>26</v>
      </c>
      <c r="L6" s="8" t="s">
        <v>75</v>
      </c>
      <c r="M6" s="8">
        <v>5812</v>
      </c>
      <c r="N6" s="8" t="s">
        <v>75</v>
      </c>
      <c r="O6" s="8" t="s">
        <v>3656</v>
      </c>
      <c r="P6" s="8" t="s">
        <v>1409</v>
      </c>
      <c r="Q6" s="8" t="s">
        <v>1410</v>
      </c>
      <c r="R6" s="7"/>
    </row>
    <row r="7" spans="1:23" ht="15" customHeight="1">
      <c r="A7" s="9">
        <v>6</v>
      </c>
      <c r="B7" s="9" t="s">
        <v>3638</v>
      </c>
      <c r="C7" s="9" t="s">
        <v>3657</v>
      </c>
      <c r="D7" s="9" t="s">
        <v>3658</v>
      </c>
      <c r="E7" s="9" t="s">
        <v>21</v>
      </c>
      <c r="F7" s="9" t="s">
        <v>22</v>
      </c>
      <c r="G7" s="9">
        <v>747</v>
      </c>
      <c r="H7" s="9" t="s">
        <v>23</v>
      </c>
      <c r="I7" s="9" t="s">
        <v>127</v>
      </c>
      <c r="J7" s="9" t="s">
        <v>25</v>
      </c>
      <c r="K7" s="9" t="s">
        <v>26</v>
      </c>
      <c r="L7" s="9" t="s">
        <v>128</v>
      </c>
      <c r="M7" s="9">
        <v>5999</v>
      </c>
      <c r="N7" s="9" t="s">
        <v>128</v>
      </c>
      <c r="O7" s="9" t="s">
        <v>3659</v>
      </c>
      <c r="P7" s="9" t="s">
        <v>1409</v>
      </c>
      <c r="Q7" s="9" t="s">
        <v>1410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3638</v>
      </c>
      <c r="C8" s="8" t="s">
        <v>3660</v>
      </c>
      <c r="D8" s="8" t="s">
        <v>3661</v>
      </c>
      <c r="E8" s="8" t="s">
        <v>21</v>
      </c>
      <c r="F8" s="8" t="s">
        <v>22</v>
      </c>
      <c r="G8" s="8">
        <v>393</v>
      </c>
      <c r="H8" s="8" t="s">
        <v>23</v>
      </c>
      <c r="I8" s="8" t="s">
        <v>593</v>
      </c>
      <c r="J8" s="8" t="s">
        <v>331</v>
      </c>
      <c r="K8" s="8" t="s">
        <v>26</v>
      </c>
      <c r="L8" s="8" t="s">
        <v>594</v>
      </c>
      <c r="M8" s="8">
        <v>6011</v>
      </c>
      <c r="N8" s="8" t="s">
        <v>594</v>
      </c>
      <c r="O8" s="8" t="s">
        <v>3662</v>
      </c>
      <c r="P8" s="8" t="s">
        <v>1409</v>
      </c>
      <c r="Q8" s="8" t="s">
        <v>1410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3638</v>
      </c>
      <c r="C9" s="9" t="s">
        <v>3663</v>
      </c>
      <c r="D9" s="9" t="s">
        <v>3664</v>
      </c>
      <c r="E9" s="9" t="s">
        <v>21</v>
      </c>
      <c r="F9" s="9" t="s">
        <v>22</v>
      </c>
      <c r="G9" s="9">
        <v>397</v>
      </c>
      <c r="H9" s="9" t="s">
        <v>23</v>
      </c>
      <c r="I9" s="9" t="s">
        <v>174</v>
      </c>
      <c r="J9" s="9" t="s">
        <v>36</v>
      </c>
      <c r="K9" s="9" t="s">
        <v>26</v>
      </c>
      <c r="L9" s="9" t="s">
        <v>175</v>
      </c>
      <c r="M9" s="9">
        <v>4813</v>
      </c>
      <c r="N9" s="9" t="s">
        <v>175</v>
      </c>
      <c r="O9" s="9" t="s">
        <v>3665</v>
      </c>
      <c r="P9" s="9" t="s">
        <v>1409</v>
      </c>
      <c r="Q9" s="9" t="s">
        <v>1410</v>
      </c>
      <c r="R9" s="7"/>
      <c r="S9" s="15">
        <v>45809</v>
      </c>
      <c r="T9" s="16">
        <f t="shared" ref="T9:T17" si="0">IFERROR(SUMPRODUCT((LEFT($C$2:$C$124,7)=TEXT(S9,"YYYY-MM"))*($E$2:$E$124="KSAOB.Credit")*($K$2:$K$124="KSAOB.Deposit")*($G$2:$G$124)),0)</f>
        <v>7000</v>
      </c>
      <c r="U9" s="16">
        <f t="shared" ref="U9:U17" si="1">IFERROR(SUMPRODUCT((LEFT($C$2:$C$124,7)=TEXT(S9,"YYYY-MM"))*($E$2:$E$124="KSAOB.Debit")*($M$2:$M$124=6012)*($G$2:$G$124)),0)</f>
        <v>2000</v>
      </c>
      <c r="V9" s="16">
        <f t="shared" ref="V9:V17" si="2">IFERROR(SUMPRODUCT((LEFT($C$2:$C$124,7)=TEXT(S9,"YYYY-MM"))*($E$2:$E$124="KSAOB.Debit")*($M$2:$M$124&lt;&gt;6012)*($G$2:$G$124)),0)</f>
        <v>5950</v>
      </c>
      <c r="W9" s="17">
        <f t="shared" ref="W9:W17" si="3">T9-U9-V9</f>
        <v>-950</v>
      </c>
    </row>
    <row r="10" spans="1:23" ht="15" customHeight="1">
      <c r="A10" s="8">
        <v>9</v>
      </c>
      <c r="B10" s="8" t="s">
        <v>3638</v>
      </c>
      <c r="C10" s="8" t="s">
        <v>3666</v>
      </c>
      <c r="D10" s="8" t="s">
        <v>3667</v>
      </c>
      <c r="E10" s="8" t="s">
        <v>21</v>
      </c>
      <c r="F10" s="8" t="s">
        <v>22</v>
      </c>
      <c r="G10" s="8">
        <v>266</v>
      </c>
      <c r="H10" s="8" t="s">
        <v>23</v>
      </c>
      <c r="I10" s="8" t="s">
        <v>46</v>
      </c>
      <c r="J10" s="8" t="s">
        <v>41</v>
      </c>
      <c r="K10" s="8" t="s">
        <v>26</v>
      </c>
      <c r="L10" s="8" t="s">
        <v>47</v>
      </c>
      <c r="M10" s="8">
        <v>8011</v>
      </c>
      <c r="N10" s="8" t="s">
        <v>47</v>
      </c>
      <c r="O10" s="8" t="s">
        <v>3668</v>
      </c>
      <c r="P10" s="8" t="s">
        <v>1409</v>
      </c>
      <c r="Q10" s="8" t="s">
        <v>1410</v>
      </c>
      <c r="R10" s="7"/>
      <c r="S10" s="18">
        <v>45839</v>
      </c>
      <c r="T10" s="19">
        <f t="shared" si="0"/>
        <v>7200</v>
      </c>
      <c r="U10" s="19">
        <f t="shared" si="1"/>
        <v>2000</v>
      </c>
      <c r="V10" s="19">
        <f t="shared" si="2"/>
        <v>6120</v>
      </c>
      <c r="W10" s="20">
        <f t="shared" si="3"/>
        <v>-920</v>
      </c>
    </row>
    <row r="11" spans="1:23" ht="15" customHeight="1">
      <c r="A11" s="9">
        <v>10</v>
      </c>
      <c r="B11" s="9" t="s">
        <v>3638</v>
      </c>
      <c r="C11" s="9" t="s">
        <v>3669</v>
      </c>
      <c r="D11" s="9" t="s">
        <v>3670</v>
      </c>
      <c r="E11" s="9" t="s">
        <v>21</v>
      </c>
      <c r="F11" s="9" t="s">
        <v>22</v>
      </c>
      <c r="G11" s="9">
        <v>511</v>
      </c>
      <c r="H11" s="9" t="s">
        <v>23</v>
      </c>
      <c r="I11" s="9" t="s">
        <v>70</v>
      </c>
      <c r="J11" s="9" t="s">
        <v>41</v>
      </c>
      <c r="K11" s="9" t="s">
        <v>26</v>
      </c>
      <c r="L11" s="9" t="s">
        <v>71</v>
      </c>
      <c r="M11" s="9">
        <v>5541</v>
      </c>
      <c r="N11" s="9" t="s">
        <v>71</v>
      </c>
      <c r="O11" s="9" t="s">
        <v>3671</v>
      </c>
      <c r="P11" s="9" t="s">
        <v>1409</v>
      </c>
      <c r="Q11" s="9" t="s">
        <v>1410</v>
      </c>
      <c r="R11" s="7"/>
      <c r="S11" s="15">
        <v>45870</v>
      </c>
      <c r="T11" s="16">
        <f t="shared" si="0"/>
        <v>7100</v>
      </c>
      <c r="U11" s="16">
        <f t="shared" si="1"/>
        <v>2000</v>
      </c>
      <c r="V11" s="16">
        <f t="shared" si="2"/>
        <v>6035</v>
      </c>
      <c r="W11" s="17">
        <f t="shared" si="3"/>
        <v>-935</v>
      </c>
    </row>
    <row r="12" spans="1:23" ht="15" customHeight="1">
      <c r="A12" s="8">
        <v>11</v>
      </c>
      <c r="B12" s="8" t="s">
        <v>3638</v>
      </c>
      <c r="C12" s="8" t="s">
        <v>3672</v>
      </c>
      <c r="D12" s="8" t="s">
        <v>3673</v>
      </c>
      <c r="E12" s="8" t="s">
        <v>21</v>
      </c>
      <c r="F12" s="8" t="s">
        <v>22</v>
      </c>
      <c r="G12" s="8">
        <v>205</v>
      </c>
      <c r="H12" s="8" t="s">
        <v>23</v>
      </c>
      <c r="I12" s="8" t="s">
        <v>115</v>
      </c>
      <c r="J12" s="8" t="s">
        <v>41</v>
      </c>
      <c r="K12" s="8" t="s">
        <v>26</v>
      </c>
      <c r="L12" s="8" t="s">
        <v>116</v>
      </c>
      <c r="M12" s="8">
        <v>5812</v>
      </c>
      <c r="N12" s="8" t="s">
        <v>116</v>
      </c>
      <c r="O12" s="8" t="s">
        <v>3674</v>
      </c>
      <c r="P12" s="8" t="s">
        <v>1409</v>
      </c>
      <c r="Q12" s="8" t="s">
        <v>1410</v>
      </c>
      <c r="R12" s="7"/>
      <c r="S12" s="18">
        <v>45901</v>
      </c>
      <c r="T12" s="19">
        <f t="shared" si="0"/>
        <v>7300</v>
      </c>
      <c r="U12" s="19">
        <f t="shared" si="1"/>
        <v>2000</v>
      </c>
      <c r="V12" s="19">
        <f t="shared" si="2"/>
        <v>6205</v>
      </c>
      <c r="W12" s="20">
        <f t="shared" si="3"/>
        <v>-905</v>
      </c>
    </row>
    <row r="13" spans="1:23" ht="15" customHeight="1">
      <c r="A13" s="9">
        <v>12</v>
      </c>
      <c r="B13" s="9" t="s">
        <v>3638</v>
      </c>
      <c r="C13" s="9" t="s">
        <v>3675</v>
      </c>
      <c r="D13" s="9" t="s">
        <v>3676</v>
      </c>
      <c r="E13" s="9" t="s">
        <v>21</v>
      </c>
      <c r="F13" s="9" t="s">
        <v>22</v>
      </c>
      <c r="G13" s="9">
        <v>646</v>
      </c>
      <c r="H13" s="9" t="s">
        <v>23</v>
      </c>
      <c r="I13" s="9" t="s">
        <v>82</v>
      </c>
      <c r="J13" s="9" t="s">
        <v>41</v>
      </c>
      <c r="K13" s="9" t="s">
        <v>26</v>
      </c>
      <c r="L13" s="9" t="s">
        <v>83</v>
      </c>
      <c r="M13" s="9">
        <v>5411</v>
      </c>
      <c r="N13" s="9" t="s">
        <v>83</v>
      </c>
      <c r="O13" s="9" t="s">
        <v>3677</v>
      </c>
      <c r="P13" s="9" t="s">
        <v>1409</v>
      </c>
      <c r="Q13" s="9" t="s">
        <v>1410</v>
      </c>
      <c r="R13" s="7"/>
      <c r="S13" s="15">
        <v>45931</v>
      </c>
      <c r="T13" s="16">
        <f t="shared" si="0"/>
        <v>7200</v>
      </c>
      <c r="U13" s="16">
        <f t="shared" si="1"/>
        <v>2000</v>
      </c>
      <c r="V13" s="16">
        <f t="shared" si="2"/>
        <v>6120</v>
      </c>
      <c r="W13" s="17">
        <f t="shared" si="3"/>
        <v>-920</v>
      </c>
    </row>
    <row r="14" spans="1:23" ht="15" customHeight="1">
      <c r="A14" s="8">
        <v>13</v>
      </c>
      <c r="B14" s="8" t="s">
        <v>3638</v>
      </c>
      <c r="C14" s="8" t="s">
        <v>3678</v>
      </c>
      <c r="D14" s="8" t="s">
        <v>3679</v>
      </c>
      <c r="E14" s="8" t="s">
        <v>21</v>
      </c>
      <c r="F14" s="8" t="s">
        <v>22</v>
      </c>
      <c r="G14" s="8">
        <v>205</v>
      </c>
      <c r="H14" s="8" t="s">
        <v>23</v>
      </c>
      <c r="I14" s="8" t="s">
        <v>574</v>
      </c>
      <c r="J14" s="8" t="s">
        <v>41</v>
      </c>
      <c r="K14" s="8" t="s">
        <v>26</v>
      </c>
      <c r="L14" s="8" t="s">
        <v>575</v>
      </c>
      <c r="M14" s="8">
        <v>5812</v>
      </c>
      <c r="N14" s="8" t="s">
        <v>575</v>
      </c>
      <c r="O14" s="8" t="s">
        <v>3680</v>
      </c>
      <c r="P14" s="8" t="s">
        <v>1409</v>
      </c>
      <c r="Q14" s="8" t="s">
        <v>1410</v>
      </c>
      <c r="R14" s="7"/>
      <c r="S14" s="18">
        <v>45962</v>
      </c>
      <c r="T14" s="19">
        <f t="shared" si="0"/>
        <v>7100</v>
      </c>
      <c r="U14" s="19">
        <f t="shared" si="1"/>
        <v>2000</v>
      </c>
      <c r="V14" s="19">
        <f t="shared" si="2"/>
        <v>6035</v>
      </c>
      <c r="W14" s="20">
        <f t="shared" si="3"/>
        <v>-935</v>
      </c>
    </row>
    <row r="15" spans="1:23" ht="15" customHeight="1">
      <c r="A15" s="9">
        <v>14</v>
      </c>
      <c r="B15" s="9" t="s">
        <v>3638</v>
      </c>
      <c r="C15" s="9" t="s">
        <v>3681</v>
      </c>
      <c r="D15" s="9" t="s">
        <v>3682</v>
      </c>
      <c r="E15" s="9" t="s">
        <v>94</v>
      </c>
      <c r="F15" s="9" t="s">
        <v>22</v>
      </c>
      <c r="G15" s="9">
        <v>7000</v>
      </c>
      <c r="H15" s="9" t="s">
        <v>23</v>
      </c>
      <c r="I15" s="9" t="s">
        <v>3683</v>
      </c>
      <c r="J15" s="9" t="s">
        <v>96</v>
      </c>
      <c r="K15" s="9" t="s">
        <v>97</v>
      </c>
      <c r="L15" s="9" t="s">
        <v>3684</v>
      </c>
      <c r="M15" s="9"/>
      <c r="N15" s="9" t="s">
        <v>3684</v>
      </c>
      <c r="O15" s="9" t="s">
        <v>3685</v>
      </c>
      <c r="P15" s="9" t="s">
        <v>1409</v>
      </c>
      <c r="Q15" s="9" t="s">
        <v>1410</v>
      </c>
      <c r="R15" s="7"/>
      <c r="S15" s="15">
        <v>45992</v>
      </c>
      <c r="T15" s="16">
        <f t="shared" si="0"/>
        <v>7000</v>
      </c>
      <c r="U15" s="16">
        <f t="shared" si="1"/>
        <v>2000</v>
      </c>
      <c r="V15" s="16">
        <f t="shared" si="2"/>
        <v>5950</v>
      </c>
      <c r="W15" s="17">
        <f t="shared" si="3"/>
        <v>-950</v>
      </c>
    </row>
    <row r="16" spans="1:23" ht="15" customHeight="1">
      <c r="A16" s="8">
        <v>15</v>
      </c>
      <c r="B16" s="8" t="s">
        <v>3638</v>
      </c>
      <c r="C16" s="8" t="s">
        <v>3686</v>
      </c>
      <c r="D16" s="8" t="s">
        <v>3687</v>
      </c>
      <c r="E16" s="8" t="s">
        <v>21</v>
      </c>
      <c r="F16" s="8" t="s">
        <v>22</v>
      </c>
      <c r="G16" s="8">
        <v>2000</v>
      </c>
      <c r="H16" s="8" t="s">
        <v>23</v>
      </c>
      <c r="I16" s="8" t="s">
        <v>3648</v>
      </c>
      <c r="J16" s="8" t="s">
        <v>36</v>
      </c>
      <c r="K16" s="8" t="s">
        <v>26</v>
      </c>
      <c r="L16" s="8" t="s">
        <v>3649</v>
      </c>
      <c r="M16" s="8">
        <v>6012</v>
      </c>
      <c r="N16" s="8" t="s">
        <v>3649</v>
      </c>
      <c r="O16" s="8" t="s">
        <v>3688</v>
      </c>
      <c r="P16" s="8" t="s">
        <v>1409</v>
      </c>
      <c r="Q16" s="8" t="s">
        <v>1410</v>
      </c>
      <c r="R16" s="7"/>
      <c r="S16" s="18">
        <v>46023</v>
      </c>
      <c r="T16" s="19" cm="1">
        <f t="array" ref="T16">IFERROR(SUMPRODUCT((LEFT($C$2:$C$124,7)=TEXT(S16,"YYYY-MM"))*($E$2:$E$124="KSAOB.Credit")*($K$2:$K$124="KSAOB.Deposit")*($G$2:$G$124)),0)</f>
        <v>7300</v>
      </c>
      <c r="U16" s="19">
        <f t="shared" si="1"/>
        <v>2000</v>
      </c>
      <c r="V16" s="19">
        <f t="shared" si="2"/>
        <v>6205</v>
      </c>
      <c r="W16" s="20">
        <f t="shared" si="3"/>
        <v>-905</v>
      </c>
    </row>
    <row r="17" spans="1:23" ht="15" customHeight="1">
      <c r="A17" s="9">
        <v>16</v>
      </c>
      <c r="B17" s="9" t="s">
        <v>3638</v>
      </c>
      <c r="C17" s="9" t="s">
        <v>3689</v>
      </c>
      <c r="D17" s="9" t="s">
        <v>3690</v>
      </c>
      <c r="E17" s="9" t="s">
        <v>21</v>
      </c>
      <c r="F17" s="9" t="s">
        <v>22</v>
      </c>
      <c r="G17" s="9">
        <v>438</v>
      </c>
      <c r="H17" s="9" t="s">
        <v>23</v>
      </c>
      <c r="I17" s="9" t="s">
        <v>82</v>
      </c>
      <c r="J17" s="9" t="s">
        <v>41</v>
      </c>
      <c r="K17" s="9" t="s">
        <v>26</v>
      </c>
      <c r="L17" s="9" t="s">
        <v>83</v>
      </c>
      <c r="M17" s="9">
        <v>5411</v>
      </c>
      <c r="N17" s="9" t="s">
        <v>83</v>
      </c>
      <c r="O17" s="9" t="s">
        <v>3691</v>
      </c>
      <c r="P17" s="9" t="s">
        <v>1409</v>
      </c>
      <c r="Q17" s="9" t="s">
        <v>1410</v>
      </c>
      <c r="R17" s="7"/>
      <c r="S17" s="15">
        <v>46054</v>
      </c>
      <c r="T17" s="16">
        <f t="shared" si="0"/>
        <v>7200</v>
      </c>
      <c r="U17" s="16">
        <f t="shared" si="1"/>
        <v>2000</v>
      </c>
      <c r="V17" s="16">
        <f t="shared" si="2"/>
        <v>6120</v>
      </c>
      <c r="W17" s="17">
        <f t="shared" si="3"/>
        <v>-920</v>
      </c>
    </row>
    <row r="18" spans="1:23" ht="15" customHeight="1">
      <c r="A18" s="8">
        <v>17</v>
      </c>
      <c r="B18" s="8" t="s">
        <v>3638</v>
      </c>
      <c r="C18" s="8" t="s">
        <v>3692</v>
      </c>
      <c r="D18" s="8" t="s">
        <v>3693</v>
      </c>
      <c r="E18" s="8" t="s">
        <v>21</v>
      </c>
      <c r="F18" s="8" t="s">
        <v>22</v>
      </c>
      <c r="G18" s="8">
        <v>557</v>
      </c>
      <c r="H18" s="8" t="s">
        <v>23</v>
      </c>
      <c r="I18" s="8" t="s">
        <v>123</v>
      </c>
      <c r="J18" s="8" t="s">
        <v>41</v>
      </c>
      <c r="K18" s="8" t="s">
        <v>26</v>
      </c>
      <c r="L18" s="8" t="s">
        <v>124</v>
      </c>
      <c r="M18" s="8">
        <v>5541</v>
      </c>
      <c r="N18" s="8" t="s">
        <v>124</v>
      </c>
      <c r="O18" s="8" t="s">
        <v>3694</v>
      </c>
      <c r="P18" s="8" t="s">
        <v>1409</v>
      </c>
      <c r="Q18" s="8" t="s">
        <v>1410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3638</v>
      </c>
      <c r="C19" s="9" t="s">
        <v>3695</v>
      </c>
      <c r="D19" s="9" t="s">
        <v>3696</v>
      </c>
      <c r="E19" s="9" t="s">
        <v>21</v>
      </c>
      <c r="F19" s="9" t="s">
        <v>22</v>
      </c>
      <c r="G19" s="9">
        <v>339</v>
      </c>
      <c r="H19" s="9" t="s">
        <v>23</v>
      </c>
      <c r="I19" s="9" t="s">
        <v>159</v>
      </c>
      <c r="J19" s="9" t="s">
        <v>25</v>
      </c>
      <c r="K19" s="9" t="s">
        <v>26</v>
      </c>
      <c r="L19" s="9" t="s">
        <v>160</v>
      </c>
      <c r="M19" s="9">
        <v>5999</v>
      </c>
      <c r="N19" s="9" t="s">
        <v>160</v>
      </c>
      <c r="O19" s="9" t="s">
        <v>3697</v>
      </c>
      <c r="P19" s="9" t="s">
        <v>1409</v>
      </c>
      <c r="Q19" s="9" t="s">
        <v>1410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3638</v>
      </c>
      <c r="C20" s="8" t="s">
        <v>3698</v>
      </c>
      <c r="D20" s="8" t="s">
        <v>3699</v>
      </c>
      <c r="E20" s="8" t="s">
        <v>21</v>
      </c>
      <c r="F20" s="8" t="s">
        <v>22</v>
      </c>
      <c r="G20" s="8">
        <v>227</v>
      </c>
      <c r="H20" s="8" t="s">
        <v>23</v>
      </c>
      <c r="I20" s="8" t="s">
        <v>40</v>
      </c>
      <c r="J20" s="8" t="s">
        <v>41</v>
      </c>
      <c r="K20" s="8" t="s">
        <v>26</v>
      </c>
      <c r="L20" s="8" t="s">
        <v>42</v>
      </c>
      <c r="M20" s="8">
        <v>5812</v>
      </c>
      <c r="N20" s="8" t="s">
        <v>42</v>
      </c>
      <c r="O20" s="8" t="s">
        <v>3700</v>
      </c>
      <c r="P20" s="8" t="s">
        <v>1409</v>
      </c>
      <c r="Q20" s="8" t="s">
        <v>1410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3638</v>
      </c>
      <c r="C21" s="9" t="s">
        <v>3701</v>
      </c>
      <c r="D21" s="9" t="s">
        <v>3702</v>
      </c>
      <c r="E21" s="9" t="s">
        <v>21</v>
      </c>
      <c r="F21" s="9" t="s">
        <v>22</v>
      </c>
      <c r="G21" s="9">
        <v>1517</v>
      </c>
      <c r="H21" s="9" t="s">
        <v>23</v>
      </c>
      <c r="I21" s="9" t="s">
        <v>56</v>
      </c>
      <c r="J21" s="9" t="s">
        <v>41</v>
      </c>
      <c r="K21" s="9" t="s">
        <v>26</v>
      </c>
      <c r="L21" s="9" t="s">
        <v>57</v>
      </c>
      <c r="M21" s="9">
        <v>5999</v>
      </c>
      <c r="N21" s="9" t="s">
        <v>57</v>
      </c>
      <c r="O21" s="9" t="s">
        <v>3703</v>
      </c>
      <c r="P21" s="9" t="s">
        <v>1409</v>
      </c>
      <c r="Q21" s="9" t="s">
        <v>1410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3638</v>
      </c>
      <c r="C22" s="8" t="s">
        <v>3704</v>
      </c>
      <c r="D22" s="8" t="s">
        <v>3705</v>
      </c>
      <c r="E22" s="8" t="s">
        <v>21</v>
      </c>
      <c r="F22" s="8" t="s">
        <v>22</v>
      </c>
      <c r="G22" s="8">
        <v>321</v>
      </c>
      <c r="H22" s="8" t="s">
        <v>23</v>
      </c>
      <c r="I22" s="8" t="s">
        <v>351</v>
      </c>
      <c r="J22" s="8" t="s">
        <v>36</v>
      </c>
      <c r="K22" s="8" t="s">
        <v>26</v>
      </c>
      <c r="L22" s="8" t="s">
        <v>352</v>
      </c>
      <c r="M22" s="8">
        <v>4813</v>
      </c>
      <c r="N22" s="8" t="s">
        <v>352</v>
      </c>
      <c r="O22" s="8" t="s">
        <v>3706</v>
      </c>
      <c r="P22" s="8" t="s">
        <v>1409</v>
      </c>
      <c r="Q22" s="8" t="s">
        <v>1410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3638</v>
      </c>
      <c r="C23" s="9" t="s">
        <v>3707</v>
      </c>
      <c r="D23" s="9" t="s">
        <v>3708</v>
      </c>
      <c r="E23" s="9" t="s">
        <v>21</v>
      </c>
      <c r="F23" s="9" t="s">
        <v>22</v>
      </c>
      <c r="G23" s="9">
        <v>438</v>
      </c>
      <c r="H23" s="9" t="s">
        <v>23</v>
      </c>
      <c r="I23" s="9" t="s">
        <v>379</v>
      </c>
      <c r="J23" s="9" t="s">
        <v>41</v>
      </c>
      <c r="K23" s="9" t="s">
        <v>26</v>
      </c>
      <c r="L23" s="9" t="s">
        <v>380</v>
      </c>
      <c r="M23" s="9">
        <v>5411</v>
      </c>
      <c r="N23" s="9" t="s">
        <v>380</v>
      </c>
      <c r="O23" s="9" t="s">
        <v>3709</v>
      </c>
      <c r="P23" s="9" t="s">
        <v>1409</v>
      </c>
      <c r="Q23" s="9" t="s">
        <v>1410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3638</v>
      </c>
      <c r="C24" s="8" t="s">
        <v>3710</v>
      </c>
      <c r="D24" s="8" t="s">
        <v>3711</v>
      </c>
      <c r="E24" s="8" t="s">
        <v>21</v>
      </c>
      <c r="F24" s="8" t="s">
        <v>22</v>
      </c>
      <c r="G24" s="8">
        <v>227</v>
      </c>
      <c r="H24" s="8" t="s">
        <v>23</v>
      </c>
      <c r="I24" s="8" t="s">
        <v>52</v>
      </c>
      <c r="J24" s="8" t="s">
        <v>41</v>
      </c>
      <c r="K24" s="8" t="s">
        <v>26</v>
      </c>
      <c r="L24" s="8" t="s">
        <v>53</v>
      </c>
      <c r="M24" s="8">
        <v>5812</v>
      </c>
      <c r="N24" s="8" t="s">
        <v>53</v>
      </c>
      <c r="O24" s="8" t="s">
        <v>3712</v>
      </c>
      <c r="P24" s="8" t="s">
        <v>1409</v>
      </c>
      <c r="Q24" s="8" t="s">
        <v>1410</v>
      </c>
      <c r="R24" s="7"/>
      <c r="S24" s="22" t="s">
        <v>133</v>
      </c>
      <c r="T24" s="23">
        <f>IFERROR(AVERAGEIF(T9:T17,"&gt;"&amp;0),0)</f>
        <v>7155.5555555555557</v>
      </c>
      <c r="U24" s="23">
        <f>IFERROR(AVERAGEIF(U9:U17,"&gt;"&amp;0),0)</f>
        <v>2000</v>
      </c>
      <c r="V24" s="23">
        <f>IFERROR(AVERAGEIF(V9:V17,"&gt;"&amp;0),0)</f>
        <v>6082.2222222222226</v>
      </c>
      <c r="W24" s="24">
        <f>T24-U24-V24</f>
        <v>-926.66666666666697</v>
      </c>
    </row>
    <row r="25" spans="1:23" ht="3.75" customHeight="1">
      <c r="A25" s="9">
        <v>24</v>
      </c>
      <c r="B25" s="9" t="s">
        <v>3638</v>
      </c>
      <c r="C25" s="9" t="s">
        <v>3713</v>
      </c>
      <c r="D25" s="9" t="s">
        <v>3714</v>
      </c>
      <c r="E25" s="9" t="s">
        <v>21</v>
      </c>
      <c r="F25" s="9" t="s">
        <v>22</v>
      </c>
      <c r="G25" s="9">
        <v>678</v>
      </c>
      <c r="H25" s="9" t="s">
        <v>23</v>
      </c>
      <c r="I25" s="9" t="s">
        <v>198</v>
      </c>
      <c r="J25" s="9" t="s">
        <v>36</v>
      </c>
      <c r="K25" s="9" t="s">
        <v>26</v>
      </c>
      <c r="L25" s="9" t="s">
        <v>199</v>
      </c>
      <c r="M25" s="9">
        <v>4900</v>
      </c>
      <c r="N25" s="9" t="s">
        <v>199</v>
      </c>
      <c r="O25" s="9" t="s">
        <v>3715</v>
      </c>
      <c r="P25" s="9" t="s">
        <v>1409</v>
      </c>
      <c r="Q25" s="9" t="s">
        <v>1410</v>
      </c>
      <c r="R25" s="7"/>
    </row>
    <row r="26" spans="1:23" ht="15" customHeight="1">
      <c r="A26" s="8">
        <v>25</v>
      </c>
      <c r="B26" s="8" t="s">
        <v>3638</v>
      </c>
      <c r="C26" s="8" t="s">
        <v>3716</v>
      </c>
      <c r="D26" s="8" t="s">
        <v>3717</v>
      </c>
      <c r="E26" s="8" t="s">
        <v>21</v>
      </c>
      <c r="F26" s="8" t="s">
        <v>22</v>
      </c>
      <c r="G26" s="8">
        <v>338</v>
      </c>
      <c r="H26" s="8" t="s">
        <v>23</v>
      </c>
      <c r="I26" s="8" t="s">
        <v>318</v>
      </c>
      <c r="J26" s="8" t="s">
        <v>25</v>
      </c>
      <c r="K26" s="8" t="s">
        <v>26</v>
      </c>
      <c r="L26" s="8" t="s">
        <v>319</v>
      </c>
      <c r="M26" s="8">
        <v>5999</v>
      </c>
      <c r="N26" s="8" t="s">
        <v>319</v>
      </c>
      <c r="O26" s="8" t="s">
        <v>3718</v>
      </c>
      <c r="P26" s="8" t="s">
        <v>1409</v>
      </c>
      <c r="Q26" s="8" t="s">
        <v>1410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3638</v>
      </c>
      <c r="C27" s="9" t="s">
        <v>3719</v>
      </c>
      <c r="D27" s="9" t="s">
        <v>3720</v>
      </c>
      <c r="E27" s="9" t="s">
        <v>21</v>
      </c>
      <c r="F27" s="9" t="s">
        <v>22</v>
      </c>
      <c r="G27" s="9">
        <v>439</v>
      </c>
      <c r="H27" s="9" t="s">
        <v>23</v>
      </c>
      <c r="I27" s="9" t="s">
        <v>180</v>
      </c>
      <c r="J27" s="9" t="s">
        <v>41</v>
      </c>
      <c r="K27" s="9" t="s">
        <v>26</v>
      </c>
      <c r="L27" s="9" t="s">
        <v>181</v>
      </c>
      <c r="M27" s="9">
        <v>5411</v>
      </c>
      <c r="N27" s="9" t="s">
        <v>181</v>
      </c>
      <c r="O27" s="9" t="s">
        <v>3721</v>
      </c>
      <c r="P27" s="9" t="s">
        <v>1409</v>
      </c>
      <c r="Q27" s="9" t="s">
        <v>1410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3638</v>
      </c>
      <c r="C28" s="8" t="s">
        <v>3722</v>
      </c>
      <c r="D28" s="8" t="s">
        <v>3723</v>
      </c>
      <c r="E28" s="8" t="s">
        <v>94</v>
      </c>
      <c r="F28" s="8" t="s">
        <v>22</v>
      </c>
      <c r="G28" s="8">
        <v>7200</v>
      </c>
      <c r="H28" s="8" t="s">
        <v>23</v>
      </c>
      <c r="I28" s="8" t="s">
        <v>3683</v>
      </c>
      <c r="J28" s="8" t="s">
        <v>96</v>
      </c>
      <c r="K28" s="8" t="s">
        <v>97</v>
      </c>
      <c r="L28" s="8" t="s">
        <v>3684</v>
      </c>
      <c r="M28" s="8"/>
      <c r="N28" s="8" t="s">
        <v>3684</v>
      </c>
      <c r="O28" s="8" t="s">
        <v>3724</v>
      </c>
      <c r="P28" s="8" t="s">
        <v>1409</v>
      </c>
      <c r="Q28" s="8" t="s">
        <v>1410</v>
      </c>
      <c r="R28" s="7"/>
      <c r="S28" s="25" t="s">
        <v>154</v>
      </c>
      <c r="T28" s="26">
        <f>IFERROR(MEDIAN(T9:T17),0)</f>
        <v>7200</v>
      </c>
      <c r="U28" s="27" t="s">
        <v>155</v>
      </c>
      <c r="V28" s="28" t="s">
        <v>155</v>
      </c>
      <c r="W28" s="29" t="s">
        <v>1183</v>
      </c>
    </row>
    <row r="29" spans="1:23" ht="15.75" customHeight="1">
      <c r="A29" s="9">
        <v>28</v>
      </c>
      <c r="B29" s="9" t="s">
        <v>3638</v>
      </c>
      <c r="C29" s="9" t="s">
        <v>3725</v>
      </c>
      <c r="D29" s="9" t="s">
        <v>3726</v>
      </c>
      <c r="E29" s="9" t="s">
        <v>21</v>
      </c>
      <c r="F29" s="9" t="s">
        <v>22</v>
      </c>
      <c r="G29" s="9">
        <v>228</v>
      </c>
      <c r="H29" s="9" t="s">
        <v>23</v>
      </c>
      <c r="I29" s="9" t="s">
        <v>40</v>
      </c>
      <c r="J29" s="9" t="s">
        <v>41</v>
      </c>
      <c r="K29" s="9" t="s">
        <v>26</v>
      </c>
      <c r="L29" s="9" t="s">
        <v>42</v>
      </c>
      <c r="M29" s="9">
        <v>5812</v>
      </c>
      <c r="N29" s="9" t="s">
        <v>42</v>
      </c>
      <c r="O29" s="9" t="s">
        <v>3727</v>
      </c>
      <c r="P29" s="9" t="s">
        <v>1409</v>
      </c>
      <c r="Q29" s="9" t="s">
        <v>1410</v>
      </c>
      <c r="R29" s="7"/>
      <c r="S29" s="30" t="s">
        <v>161</v>
      </c>
      <c r="T29" s="31">
        <f>T28*1.3</f>
        <v>9360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3638</v>
      </c>
      <c r="C30" s="8" t="s">
        <v>3728</v>
      </c>
      <c r="D30" s="8" t="s">
        <v>3729</v>
      </c>
      <c r="E30" s="8" t="s">
        <v>21</v>
      </c>
      <c r="F30" s="8" t="s">
        <v>22</v>
      </c>
      <c r="G30" s="8">
        <v>373</v>
      </c>
      <c r="H30" s="8" t="s">
        <v>23</v>
      </c>
      <c r="I30" s="8" t="s">
        <v>593</v>
      </c>
      <c r="J30" s="8" t="s">
        <v>331</v>
      </c>
      <c r="K30" s="8" t="s">
        <v>26</v>
      </c>
      <c r="L30" s="8" t="s">
        <v>594</v>
      </c>
      <c r="M30" s="8">
        <v>6011</v>
      </c>
      <c r="N30" s="8" t="s">
        <v>594</v>
      </c>
      <c r="O30" s="8" t="s">
        <v>3730</v>
      </c>
      <c r="P30" s="8" t="s">
        <v>1409</v>
      </c>
      <c r="Q30" s="8" t="s">
        <v>1410</v>
      </c>
      <c r="R30" s="7"/>
      <c r="S30" s="25" t="s">
        <v>166</v>
      </c>
      <c r="T30" s="26">
        <f>IFERROR(MEDIAN(MIN(T15,T29),MIN(T16,T29),MIN(T17,T29)),0)</f>
        <v>7200</v>
      </c>
      <c r="U30" s="27" t="s">
        <v>155</v>
      </c>
      <c r="V30" s="28" t="s">
        <v>155</v>
      </c>
      <c r="W30" s="29" t="s">
        <v>1190</v>
      </c>
    </row>
    <row r="31" spans="1:23" ht="15.75" customHeight="1">
      <c r="A31" s="9">
        <v>30</v>
      </c>
      <c r="B31" s="9" t="s">
        <v>3638</v>
      </c>
      <c r="C31" s="9" t="s">
        <v>3731</v>
      </c>
      <c r="D31" s="9" t="s">
        <v>3732</v>
      </c>
      <c r="E31" s="9" t="s">
        <v>21</v>
      </c>
      <c r="F31" s="9" t="s">
        <v>22</v>
      </c>
      <c r="G31" s="9">
        <v>2000</v>
      </c>
      <c r="H31" s="9" t="s">
        <v>23</v>
      </c>
      <c r="I31" s="9" t="s">
        <v>3648</v>
      </c>
      <c r="J31" s="9" t="s">
        <v>36</v>
      </c>
      <c r="K31" s="9" t="s">
        <v>26</v>
      </c>
      <c r="L31" s="9" t="s">
        <v>3649</v>
      </c>
      <c r="M31" s="9">
        <v>6012</v>
      </c>
      <c r="N31" s="9" t="s">
        <v>3649</v>
      </c>
      <c r="O31" s="9" t="s">
        <v>3733</v>
      </c>
      <c r="P31" s="9" t="s">
        <v>1409</v>
      </c>
      <c r="Q31" s="9" t="s">
        <v>1410</v>
      </c>
      <c r="R31" s="7"/>
      <c r="S31" s="30" t="s">
        <v>170</v>
      </c>
      <c r="T31" s="31">
        <f>T17</f>
        <v>7200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3638</v>
      </c>
      <c r="C32" s="8" t="s">
        <v>3734</v>
      </c>
      <c r="D32" s="8" t="s">
        <v>3735</v>
      </c>
      <c r="E32" s="8" t="s">
        <v>21</v>
      </c>
      <c r="F32" s="8" t="s">
        <v>22</v>
      </c>
      <c r="G32" s="8">
        <v>324</v>
      </c>
      <c r="H32" s="8" t="s">
        <v>23</v>
      </c>
      <c r="I32" s="8" t="s">
        <v>340</v>
      </c>
      <c r="J32" s="8" t="s">
        <v>41</v>
      </c>
      <c r="K32" s="8" t="s">
        <v>26</v>
      </c>
      <c r="L32" s="8" t="s">
        <v>341</v>
      </c>
      <c r="M32" s="8">
        <v>5812</v>
      </c>
      <c r="N32" s="8" t="s">
        <v>341</v>
      </c>
      <c r="O32" s="8" t="s">
        <v>3736</v>
      </c>
      <c r="P32" s="8" t="s">
        <v>1409</v>
      </c>
      <c r="Q32" s="8" t="s">
        <v>1410</v>
      </c>
      <c r="R32" s="7"/>
      <c r="S32" s="25" t="s">
        <v>176</v>
      </c>
      <c r="T32" s="26">
        <f>U17</f>
        <v>2000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3638</v>
      </c>
      <c r="C33" s="9" t="s">
        <v>3737</v>
      </c>
      <c r="D33" s="9" t="s">
        <v>3738</v>
      </c>
      <c r="E33" s="9" t="s">
        <v>21</v>
      </c>
      <c r="F33" s="9" t="s">
        <v>22</v>
      </c>
      <c r="G33" s="9">
        <v>323</v>
      </c>
      <c r="H33" s="9" t="s">
        <v>23</v>
      </c>
      <c r="I33" s="9" t="s">
        <v>52</v>
      </c>
      <c r="J33" s="9" t="s">
        <v>41</v>
      </c>
      <c r="K33" s="9" t="s">
        <v>26</v>
      </c>
      <c r="L33" s="9" t="s">
        <v>53</v>
      </c>
      <c r="M33" s="9">
        <v>5812</v>
      </c>
      <c r="N33" s="9" t="s">
        <v>53</v>
      </c>
      <c r="O33" s="9" t="s">
        <v>3739</v>
      </c>
      <c r="P33" s="9" t="s">
        <v>1409</v>
      </c>
      <c r="Q33" s="9" t="s">
        <v>1410</v>
      </c>
      <c r="R33" s="7"/>
      <c r="S33" s="30" t="s">
        <v>182</v>
      </c>
      <c r="T33" s="31">
        <f>T24</f>
        <v>7155.5555555555557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3638</v>
      </c>
      <c r="C34" s="8" t="s">
        <v>3740</v>
      </c>
      <c r="D34" s="8" t="s">
        <v>3741</v>
      </c>
      <c r="E34" s="8" t="s">
        <v>21</v>
      </c>
      <c r="F34" s="8" t="s">
        <v>22</v>
      </c>
      <c r="G34" s="8">
        <v>865</v>
      </c>
      <c r="H34" s="8" t="s">
        <v>23</v>
      </c>
      <c r="I34" s="8" t="s">
        <v>180</v>
      </c>
      <c r="J34" s="8" t="s">
        <v>41</v>
      </c>
      <c r="K34" s="8" t="s">
        <v>26</v>
      </c>
      <c r="L34" s="8" t="s">
        <v>181</v>
      </c>
      <c r="M34" s="8">
        <v>5411</v>
      </c>
      <c r="N34" s="8" t="s">
        <v>181</v>
      </c>
      <c r="O34" s="8" t="s">
        <v>3742</v>
      </c>
      <c r="P34" s="8" t="s">
        <v>1409</v>
      </c>
      <c r="Q34" s="8" t="s">
        <v>1410</v>
      </c>
      <c r="R34" s="7"/>
      <c r="S34" s="25" t="s">
        <v>188</v>
      </c>
      <c r="T34" s="26">
        <f>V24</f>
        <v>6082.2222222222226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3638</v>
      </c>
      <c r="C35" s="9" t="s">
        <v>3743</v>
      </c>
      <c r="D35" s="9" t="s">
        <v>3744</v>
      </c>
      <c r="E35" s="9" t="s">
        <v>21</v>
      </c>
      <c r="F35" s="9" t="s">
        <v>22</v>
      </c>
      <c r="G35" s="9">
        <v>255</v>
      </c>
      <c r="H35" s="9" t="s">
        <v>23</v>
      </c>
      <c r="I35" s="9" t="s">
        <v>56</v>
      </c>
      <c r="J35" s="9" t="s">
        <v>41</v>
      </c>
      <c r="K35" s="9" t="s">
        <v>26</v>
      </c>
      <c r="L35" s="9" t="s">
        <v>57</v>
      </c>
      <c r="M35" s="9">
        <v>5999</v>
      </c>
      <c r="N35" s="9" t="s">
        <v>57</v>
      </c>
      <c r="O35" s="9" t="s">
        <v>3745</v>
      </c>
      <c r="P35" s="9" t="s">
        <v>1409</v>
      </c>
      <c r="Q35" s="9" t="s">
        <v>1410</v>
      </c>
      <c r="R35" s="7"/>
      <c r="S35" s="30" t="s">
        <v>193</v>
      </c>
      <c r="T35" s="35">
        <f>IFERROR((T33-T34)/T33,0)</f>
        <v>0.14999999999999997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3638</v>
      </c>
      <c r="C36" s="8" t="s">
        <v>3746</v>
      </c>
      <c r="D36" s="8" t="s">
        <v>3747</v>
      </c>
      <c r="E36" s="8" t="s">
        <v>21</v>
      </c>
      <c r="F36" s="8" t="s">
        <v>22</v>
      </c>
      <c r="G36" s="8">
        <v>555</v>
      </c>
      <c r="H36" s="8" t="s">
        <v>23</v>
      </c>
      <c r="I36" s="8" t="s">
        <v>498</v>
      </c>
      <c r="J36" s="8" t="s">
        <v>36</v>
      </c>
      <c r="K36" s="8" t="s">
        <v>26</v>
      </c>
      <c r="L36" s="8" t="s">
        <v>499</v>
      </c>
      <c r="M36" s="8">
        <v>4900</v>
      </c>
      <c r="N36" s="8" t="s">
        <v>499</v>
      </c>
      <c r="O36" s="8" t="s">
        <v>3748</v>
      </c>
      <c r="P36" s="8" t="s">
        <v>1409</v>
      </c>
      <c r="Q36" s="8" t="s">
        <v>1410</v>
      </c>
      <c r="R36" s="7"/>
      <c r="S36" s="25" t="s">
        <v>200</v>
      </c>
      <c r="T36" s="37">
        <f>T33-T34</f>
        <v>1073.333333333333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3638</v>
      </c>
      <c r="C37" s="9" t="s">
        <v>3749</v>
      </c>
      <c r="D37" s="9" t="s">
        <v>3750</v>
      </c>
      <c r="E37" s="9" t="s">
        <v>21</v>
      </c>
      <c r="F37" s="9" t="s">
        <v>22</v>
      </c>
      <c r="G37" s="9">
        <v>348</v>
      </c>
      <c r="H37" s="9" t="s">
        <v>23</v>
      </c>
      <c r="I37" s="9" t="s">
        <v>318</v>
      </c>
      <c r="J37" s="9" t="s">
        <v>25</v>
      </c>
      <c r="K37" s="9" t="s">
        <v>26</v>
      </c>
      <c r="L37" s="9" t="s">
        <v>319</v>
      </c>
      <c r="M37" s="9">
        <v>5999</v>
      </c>
      <c r="N37" s="9" t="s">
        <v>319</v>
      </c>
      <c r="O37" s="9" t="s">
        <v>3751</v>
      </c>
      <c r="P37" s="9" t="s">
        <v>1409</v>
      </c>
      <c r="Q37" s="9" t="s">
        <v>1410</v>
      </c>
      <c r="R37" s="7"/>
      <c r="S37" s="30" t="s">
        <v>205</v>
      </c>
      <c r="T37" s="35">
        <f>IFERROR(U24/T30,0)</f>
        <v>0.27777777777777779</v>
      </c>
      <c r="U37" s="32" t="s">
        <v>206</v>
      </c>
      <c r="V37" s="36" t="str">
        <f>IF(T37&lt;=0.35,"✅ Meets","⚠️ Exceeds")</f>
        <v>✅ Meets</v>
      </c>
      <c r="W37" s="34" t="s">
        <v>207</v>
      </c>
    </row>
    <row r="38" spans="1:23" ht="3.75" customHeight="1">
      <c r="A38" s="8">
        <v>37</v>
      </c>
      <c r="B38" s="8" t="s">
        <v>3638</v>
      </c>
      <c r="C38" s="8" t="s">
        <v>3752</v>
      </c>
      <c r="D38" s="8" t="s">
        <v>3753</v>
      </c>
      <c r="E38" s="8" t="s">
        <v>21</v>
      </c>
      <c r="F38" s="8" t="s">
        <v>22</v>
      </c>
      <c r="G38" s="8">
        <v>535</v>
      </c>
      <c r="H38" s="8" t="s">
        <v>23</v>
      </c>
      <c r="I38" s="8" t="s">
        <v>363</v>
      </c>
      <c r="J38" s="8" t="s">
        <v>41</v>
      </c>
      <c r="K38" s="8" t="s">
        <v>26</v>
      </c>
      <c r="L38" s="8" t="s">
        <v>364</v>
      </c>
      <c r="M38" s="8">
        <v>5999</v>
      </c>
      <c r="N38" s="8" t="s">
        <v>364</v>
      </c>
      <c r="O38" s="8" t="s">
        <v>3754</v>
      </c>
      <c r="P38" s="8" t="s">
        <v>1409</v>
      </c>
      <c r="Q38" s="8" t="s">
        <v>1410</v>
      </c>
      <c r="R38" s="7"/>
    </row>
    <row r="39" spans="1:23" ht="15" customHeight="1">
      <c r="A39" s="9">
        <v>38</v>
      </c>
      <c r="B39" s="9" t="s">
        <v>3638</v>
      </c>
      <c r="C39" s="9" t="s">
        <v>3755</v>
      </c>
      <c r="D39" s="9" t="s">
        <v>3756</v>
      </c>
      <c r="E39" s="9" t="s">
        <v>21</v>
      </c>
      <c r="F39" s="9" t="s">
        <v>22</v>
      </c>
      <c r="G39" s="9">
        <v>349</v>
      </c>
      <c r="H39" s="9" t="s">
        <v>23</v>
      </c>
      <c r="I39" s="9" t="s">
        <v>127</v>
      </c>
      <c r="J39" s="9" t="s">
        <v>25</v>
      </c>
      <c r="K39" s="9" t="s">
        <v>26</v>
      </c>
      <c r="L39" s="9" t="s">
        <v>128</v>
      </c>
      <c r="M39" s="9">
        <v>5999</v>
      </c>
      <c r="N39" s="9" t="s">
        <v>128</v>
      </c>
      <c r="O39" s="9" t="s">
        <v>3757</v>
      </c>
      <c r="P39" s="9" t="s">
        <v>1409</v>
      </c>
      <c r="Q39" s="9" t="s">
        <v>1410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3638</v>
      </c>
      <c r="C40" s="8" t="s">
        <v>3758</v>
      </c>
      <c r="D40" s="8" t="s">
        <v>3759</v>
      </c>
      <c r="E40" s="8" t="s">
        <v>21</v>
      </c>
      <c r="F40" s="8" t="s">
        <v>22</v>
      </c>
      <c r="G40" s="8">
        <v>490</v>
      </c>
      <c r="H40" s="8" t="s">
        <v>23</v>
      </c>
      <c r="I40" s="8" t="s">
        <v>70</v>
      </c>
      <c r="J40" s="8" t="s">
        <v>41</v>
      </c>
      <c r="K40" s="8" t="s">
        <v>26</v>
      </c>
      <c r="L40" s="8" t="s">
        <v>71</v>
      </c>
      <c r="M40" s="8">
        <v>5541</v>
      </c>
      <c r="N40" s="8" t="s">
        <v>71</v>
      </c>
      <c r="O40" s="8" t="s">
        <v>3760</v>
      </c>
      <c r="P40" s="8" t="s">
        <v>1409</v>
      </c>
      <c r="Q40" s="8" t="s">
        <v>1410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3638</v>
      </c>
      <c r="C41" s="9" t="s">
        <v>3761</v>
      </c>
      <c r="D41" s="9" t="s">
        <v>3762</v>
      </c>
      <c r="E41" s="9" t="s">
        <v>21</v>
      </c>
      <c r="F41" s="9" t="s">
        <v>22</v>
      </c>
      <c r="G41" s="9">
        <v>535</v>
      </c>
      <c r="H41" s="9" t="s">
        <v>23</v>
      </c>
      <c r="I41" s="9" t="s">
        <v>186</v>
      </c>
      <c r="J41" s="9" t="s">
        <v>41</v>
      </c>
      <c r="K41" s="9" t="s">
        <v>26</v>
      </c>
      <c r="L41" s="9" t="s">
        <v>187</v>
      </c>
      <c r="M41" s="9">
        <v>5999</v>
      </c>
      <c r="N41" s="9" t="s">
        <v>187</v>
      </c>
      <c r="O41" s="9" t="s">
        <v>3763</v>
      </c>
      <c r="P41" s="9" t="s">
        <v>1409</v>
      </c>
      <c r="Q41" s="9" t="s">
        <v>1410</v>
      </c>
      <c r="R41" s="7"/>
      <c r="S41" s="39" t="s">
        <v>226</v>
      </c>
      <c r="T41" s="40">
        <f>T5</f>
        <v>28</v>
      </c>
      <c r="U41" s="41">
        <f>IF(T41&lt;18,0,IF(T41&lt;=25,30,IF(T41&lt;=35,80,IF(T41&lt;=50,150,IF(T41&lt;=60,100,0)))))</f>
        <v>80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3638</v>
      </c>
      <c r="C42" s="8" t="s">
        <v>3764</v>
      </c>
      <c r="D42" s="8" t="s">
        <v>3765</v>
      </c>
      <c r="E42" s="8" t="s">
        <v>21</v>
      </c>
      <c r="F42" s="8" t="s">
        <v>22</v>
      </c>
      <c r="G42" s="8">
        <v>865</v>
      </c>
      <c r="H42" s="8" t="s">
        <v>23</v>
      </c>
      <c r="I42" s="8" t="s">
        <v>131</v>
      </c>
      <c r="J42" s="8" t="s">
        <v>41</v>
      </c>
      <c r="K42" s="8" t="s">
        <v>26</v>
      </c>
      <c r="L42" s="8" t="s">
        <v>132</v>
      </c>
      <c r="M42" s="8">
        <v>5411</v>
      </c>
      <c r="N42" s="8" t="s">
        <v>132</v>
      </c>
      <c r="O42" s="8" t="s">
        <v>3766</v>
      </c>
      <c r="P42" s="8" t="s">
        <v>1409</v>
      </c>
      <c r="Q42" s="8" t="s">
        <v>1410</v>
      </c>
      <c r="R42" s="7"/>
      <c r="S42" s="43" t="s">
        <v>230</v>
      </c>
      <c r="T42" s="44">
        <f>T30</f>
        <v>7200</v>
      </c>
      <c r="U42" s="41">
        <f>IF(T42&lt;=5000,0,IF(T42&lt;=10000,50,IF(T42&lt;=15000,100,150)))</f>
        <v>50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3638</v>
      </c>
      <c r="C43" s="9" t="s">
        <v>3767</v>
      </c>
      <c r="D43" s="9" t="s">
        <v>3768</v>
      </c>
      <c r="E43" s="9" t="s">
        <v>94</v>
      </c>
      <c r="F43" s="9" t="s">
        <v>22</v>
      </c>
      <c r="G43" s="9">
        <v>7100</v>
      </c>
      <c r="H43" s="9" t="s">
        <v>23</v>
      </c>
      <c r="I43" s="9" t="s">
        <v>3683</v>
      </c>
      <c r="J43" s="9" t="s">
        <v>96</v>
      </c>
      <c r="K43" s="9" t="s">
        <v>97</v>
      </c>
      <c r="L43" s="9" t="s">
        <v>3684</v>
      </c>
      <c r="M43" s="9"/>
      <c r="N43" s="9" t="s">
        <v>3684</v>
      </c>
      <c r="O43" s="9" t="s">
        <v>3769</v>
      </c>
      <c r="P43" s="9" t="s">
        <v>1409</v>
      </c>
      <c r="Q43" s="9" t="s">
        <v>1410</v>
      </c>
      <c r="R43" s="7"/>
      <c r="S43" s="39" t="s">
        <v>236</v>
      </c>
      <c r="T43" s="45">
        <f>T32</f>
        <v>2000</v>
      </c>
      <c r="U43" s="41">
        <f>IF(T43=0,150,IF(T43&lt;=1500,150,IF(T43&lt;=3000,130,IF(T43&lt;=4500,110,IF(T43&lt;=9000,80,IF(T43&lt;=15000,40,0))))))</f>
        <v>130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3638</v>
      </c>
      <c r="C44" s="8" t="s">
        <v>3770</v>
      </c>
      <c r="D44" s="8" t="s">
        <v>3771</v>
      </c>
      <c r="E44" s="8" t="s">
        <v>21</v>
      </c>
      <c r="F44" s="8" t="s">
        <v>22</v>
      </c>
      <c r="G44" s="8">
        <v>332</v>
      </c>
      <c r="H44" s="8" t="s">
        <v>23</v>
      </c>
      <c r="I44" s="8" t="s">
        <v>174</v>
      </c>
      <c r="J44" s="8" t="s">
        <v>36</v>
      </c>
      <c r="K44" s="8" t="s">
        <v>26</v>
      </c>
      <c r="L44" s="8" t="s">
        <v>175</v>
      </c>
      <c r="M44" s="8">
        <v>4813</v>
      </c>
      <c r="N44" s="8" t="s">
        <v>175</v>
      </c>
      <c r="O44" s="8" t="s">
        <v>3772</v>
      </c>
      <c r="P44" s="8" t="s">
        <v>1409</v>
      </c>
      <c r="Q44" s="8" t="s">
        <v>1410</v>
      </c>
      <c r="R44" s="7"/>
      <c r="S44" s="43" t="s">
        <v>240</v>
      </c>
      <c r="T44" s="46">
        <f>T35</f>
        <v>0.14999999999999997</v>
      </c>
      <c r="U44" s="41">
        <f>IF(T44&lt;=0,0,IF(T44&lt;=0.1,50,IF(T44&lt;=0.2,100,IF(T44&lt;=0.3,130,150))))</f>
        <v>100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3638</v>
      </c>
      <c r="C45" s="9" t="s">
        <v>3773</v>
      </c>
      <c r="D45" s="9" t="s">
        <v>3774</v>
      </c>
      <c r="E45" s="9" t="s">
        <v>21</v>
      </c>
      <c r="F45" s="9" t="s">
        <v>22</v>
      </c>
      <c r="G45" s="9">
        <v>259</v>
      </c>
      <c r="H45" s="9" t="s">
        <v>23</v>
      </c>
      <c r="I45" s="9" t="s">
        <v>46</v>
      </c>
      <c r="J45" s="9" t="s">
        <v>41</v>
      </c>
      <c r="K45" s="9" t="s">
        <v>26</v>
      </c>
      <c r="L45" s="9" t="s">
        <v>47</v>
      </c>
      <c r="M45" s="9">
        <v>8011</v>
      </c>
      <c r="N45" s="9" t="s">
        <v>47</v>
      </c>
      <c r="O45" s="9" t="s">
        <v>3775</v>
      </c>
      <c r="P45" s="9" t="s">
        <v>1409</v>
      </c>
      <c r="Q45" s="9" t="s">
        <v>1410</v>
      </c>
      <c r="R45" s="7"/>
      <c r="S45" s="39" t="s">
        <v>246</v>
      </c>
      <c r="T45" s="45">
        <f>T31</f>
        <v>7200</v>
      </c>
      <c r="U45" s="41">
        <f>IF(T45&lt;=5000,30,IF(T45&lt;=15000,90,150))</f>
        <v>90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3638</v>
      </c>
      <c r="C46" s="8" t="s">
        <v>3776</v>
      </c>
      <c r="D46" s="8" t="s">
        <v>3777</v>
      </c>
      <c r="E46" s="8" t="s">
        <v>21</v>
      </c>
      <c r="F46" s="8" t="s">
        <v>22</v>
      </c>
      <c r="G46" s="8">
        <v>2000</v>
      </c>
      <c r="H46" s="8" t="s">
        <v>23</v>
      </c>
      <c r="I46" s="8" t="s">
        <v>3648</v>
      </c>
      <c r="J46" s="8" t="s">
        <v>36</v>
      </c>
      <c r="K46" s="8" t="s">
        <v>26</v>
      </c>
      <c r="L46" s="8" t="s">
        <v>3649</v>
      </c>
      <c r="M46" s="8">
        <v>6012</v>
      </c>
      <c r="N46" s="8" t="s">
        <v>3649</v>
      </c>
      <c r="O46" s="8" t="s">
        <v>3778</v>
      </c>
      <c r="P46" s="8" t="s">
        <v>1409</v>
      </c>
      <c r="Q46" s="8" t="s">
        <v>1410</v>
      </c>
      <c r="R46" s="7"/>
      <c r="S46" s="43" t="s">
        <v>250</v>
      </c>
      <c r="T46" s="47">
        <f>T36</f>
        <v>1073.333333333333</v>
      </c>
      <c r="U46" s="41">
        <f>IF(T46&lt;0,0,IF(T46&lt;=1000,50,IF(T46&lt;=3000,100,150)))</f>
        <v>100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3638</v>
      </c>
      <c r="C47" s="9" t="s">
        <v>3779</v>
      </c>
      <c r="D47" s="9" t="s">
        <v>3780</v>
      </c>
      <c r="E47" s="9" t="s">
        <v>21</v>
      </c>
      <c r="F47" s="9" t="s">
        <v>22</v>
      </c>
      <c r="G47" s="9">
        <v>516</v>
      </c>
      <c r="H47" s="9" t="s">
        <v>23</v>
      </c>
      <c r="I47" s="9" t="s">
        <v>108</v>
      </c>
      <c r="J47" s="9" t="s">
        <v>41</v>
      </c>
      <c r="K47" s="9" t="s">
        <v>26</v>
      </c>
      <c r="L47" s="9" t="s">
        <v>57</v>
      </c>
      <c r="M47" s="9">
        <v>5999</v>
      </c>
      <c r="N47" s="9" t="s">
        <v>57</v>
      </c>
      <c r="O47" s="9" t="s">
        <v>3781</v>
      </c>
      <c r="P47" s="9" t="s">
        <v>1409</v>
      </c>
      <c r="Q47" s="9" t="s">
        <v>1410</v>
      </c>
      <c r="R47" s="7"/>
      <c r="S47" s="39" t="s">
        <v>256</v>
      </c>
      <c r="T47" s="48">
        <f>T37</f>
        <v>0.27777777777777779</v>
      </c>
      <c r="U47" s="41">
        <f>IF(T47&lt;=0.1,100,IF(T47&lt;=0.25,70,IF(T47&lt;=0.4,40,IF(T47&lt;=0.6,20,0))))</f>
        <v>40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3638</v>
      </c>
      <c r="C48" s="8" t="s">
        <v>3782</v>
      </c>
      <c r="D48" s="8" t="s">
        <v>3783</v>
      </c>
      <c r="E48" s="8" t="s">
        <v>21</v>
      </c>
      <c r="F48" s="8" t="s">
        <v>22</v>
      </c>
      <c r="G48" s="8">
        <v>517</v>
      </c>
      <c r="H48" s="8" t="s">
        <v>23</v>
      </c>
      <c r="I48" s="8" t="s">
        <v>363</v>
      </c>
      <c r="J48" s="8" t="s">
        <v>41</v>
      </c>
      <c r="K48" s="8" t="s">
        <v>26</v>
      </c>
      <c r="L48" s="8" t="s">
        <v>364</v>
      </c>
      <c r="M48" s="8">
        <v>5999</v>
      </c>
      <c r="N48" s="8" t="s">
        <v>364</v>
      </c>
      <c r="O48" s="8" t="s">
        <v>3784</v>
      </c>
      <c r="P48" s="8" t="s">
        <v>1409</v>
      </c>
      <c r="Q48" s="8" t="s">
        <v>1410</v>
      </c>
      <c r="R48" s="7"/>
    </row>
    <row r="49" spans="1:23" ht="27.75" customHeight="1">
      <c r="A49" s="9">
        <v>48</v>
      </c>
      <c r="B49" s="9" t="s">
        <v>3638</v>
      </c>
      <c r="C49" s="9" t="s">
        <v>3785</v>
      </c>
      <c r="D49" s="9" t="s">
        <v>3786</v>
      </c>
      <c r="E49" s="9" t="s">
        <v>21</v>
      </c>
      <c r="F49" s="9" t="s">
        <v>22</v>
      </c>
      <c r="G49" s="9">
        <v>757</v>
      </c>
      <c r="H49" s="9" t="s">
        <v>23</v>
      </c>
      <c r="I49" s="9" t="s">
        <v>56</v>
      </c>
      <c r="J49" s="9" t="s">
        <v>41</v>
      </c>
      <c r="K49" s="9" t="s">
        <v>26</v>
      </c>
      <c r="L49" s="9" t="s">
        <v>57</v>
      </c>
      <c r="M49" s="9">
        <v>5999</v>
      </c>
      <c r="N49" s="9" t="s">
        <v>57</v>
      </c>
      <c r="O49" s="9" t="s">
        <v>3787</v>
      </c>
      <c r="P49" s="9" t="s">
        <v>1409</v>
      </c>
      <c r="Q49" s="9" t="s">
        <v>1410</v>
      </c>
      <c r="R49" s="7"/>
      <c r="S49" s="49" t="s">
        <v>264</v>
      </c>
      <c r="T49" s="50">
        <f>U41+U42+U43+U44+U45+U46+U47</f>
        <v>590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3638</v>
      </c>
      <c r="C50" s="8" t="s">
        <v>3788</v>
      </c>
      <c r="D50" s="8" t="s">
        <v>3789</v>
      </c>
      <c r="E50" s="8" t="s">
        <v>21</v>
      </c>
      <c r="F50" s="8" t="s">
        <v>22</v>
      </c>
      <c r="G50" s="8">
        <v>519</v>
      </c>
      <c r="H50" s="8" t="s">
        <v>23</v>
      </c>
      <c r="I50" s="8" t="s">
        <v>180</v>
      </c>
      <c r="J50" s="8" t="s">
        <v>41</v>
      </c>
      <c r="K50" s="8" t="s">
        <v>26</v>
      </c>
      <c r="L50" s="8" t="s">
        <v>181</v>
      </c>
      <c r="M50" s="8">
        <v>5411</v>
      </c>
      <c r="N50" s="8" t="s">
        <v>181</v>
      </c>
      <c r="O50" s="8" t="s">
        <v>3790</v>
      </c>
      <c r="P50" s="8" t="s">
        <v>1409</v>
      </c>
      <c r="Q50" s="8" t="s">
        <v>1410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BB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3638</v>
      </c>
      <c r="C51" s="9" t="s">
        <v>3791</v>
      </c>
      <c r="D51" s="9" t="s">
        <v>3792</v>
      </c>
      <c r="E51" s="9" t="s">
        <v>21</v>
      </c>
      <c r="F51" s="9" t="s">
        <v>22</v>
      </c>
      <c r="G51" s="9">
        <v>519</v>
      </c>
      <c r="H51" s="9" t="s">
        <v>23</v>
      </c>
      <c r="I51" s="9" t="s">
        <v>244</v>
      </c>
      <c r="J51" s="9" t="s">
        <v>41</v>
      </c>
      <c r="K51" s="9" t="s">
        <v>26</v>
      </c>
      <c r="L51" s="9" t="s">
        <v>245</v>
      </c>
      <c r="M51" s="9">
        <v>5411</v>
      </c>
      <c r="N51" s="9" t="s">
        <v>245</v>
      </c>
      <c r="O51" s="9" t="s">
        <v>3793</v>
      </c>
      <c r="P51" s="9" t="s">
        <v>1409</v>
      </c>
      <c r="Q51" s="9" t="s">
        <v>1410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Average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3638</v>
      </c>
      <c r="C52" s="8" t="s">
        <v>3794</v>
      </c>
      <c r="D52" s="8" t="s">
        <v>3795</v>
      </c>
      <c r="E52" s="8" t="s">
        <v>21</v>
      </c>
      <c r="F52" s="8" t="s">
        <v>22</v>
      </c>
      <c r="G52" s="8">
        <v>368</v>
      </c>
      <c r="H52" s="8" t="s">
        <v>23</v>
      </c>
      <c r="I52" s="8" t="s">
        <v>351</v>
      </c>
      <c r="J52" s="8" t="s">
        <v>36</v>
      </c>
      <c r="K52" s="8" t="s">
        <v>26</v>
      </c>
      <c r="L52" s="8" t="s">
        <v>352</v>
      </c>
      <c r="M52" s="8">
        <v>4813</v>
      </c>
      <c r="N52" s="8" t="s">
        <v>352</v>
      </c>
      <c r="O52" s="8" t="s">
        <v>3796</v>
      </c>
      <c r="P52" s="8" t="s">
        <v>1409</v>
      </c>
      <c r="Q52" s="8" t="s">
        <v>1410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Moderate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3638</v>
      </c>
      <c r="C53" s="9" t="s">
        <v>3797</v>
      </c>
      <c r="D53" s="9" t="s">
        <v>3798</v>
      </c>
      <c r="E53" s="9" t="s">
        <v>21</v>
      </c>
      <c r="F53" s="9" t="s">
        <v>22</v>
      </c>
      <c r="G53" s="9">
        <v>494</v>
      </c>
      <c r="H53" s="9" t="s">
        <v>23</v>
      </c>
      <c r="I53" s="9" t="s">
        <v>111</v>
      </c>
      <c r="J53" s="9" t="s">
        <v>41</v>
      </c>
      <c r="K53" s="9" t="s">
        <v>26</v>
      </c>
      <c r="L53" s="9" t="s">
        <v>112</v>
      </c>
      <c r="M53" s="9">
        <v>5541</v>
      </c>
      <c r="N53" s="9" t="s">
        <v>112</v>
      </c>
      <c r="O53" s="9" t="s">
        <v>3799</v>
      </c>
      <c r="P53" s="9" t="s">
        <v>1409</v>
      </c>
      <c r="Q53" s="9" t="s">
        <v>1410</v>
      </c>
      <c r="R53" s="7"/>
    </row>
    <row r="54" spans="1:23" ht="15.75" customHeight="1">
      <c r="A54" s="8">
        <v>53</v>
      </c>
      <c r="B54" s="8" t="s">
        <v>3638</v>
      </c>
      <c r="C54" s="8" t="s">
        <v>3800</v>
      </c>
      <c r="D54" s="8" t="s">
        <v>3801</v>
      </c>
      <c r="E54" s="8" t="s">
        <v>21</v>
      </c>
      <c r="F54" s="8" t="s">
        <v>22</v>
      </c>
      <c r="G54" s="8">
        <v>668</v>
      </c>
      <c r="H54" s="8" t="s">
        <v>23</v>
      </c>
      <c r="I54" s="8" t="s">
        <v>40</v>
      </c>
      <c r="J54" s="8" t="s">
        <v>41</v>
      </c>
      <c r="K54" s="8" t="s">
        <v>26</v>
      </c>
      <c r="L54" s="8" t="s">
        <v>42</v>
      </c>
      <c r="M54" s="8">
        <v>5812</v>
      </c>
      <c r="N54" s="8" t="s">
        <v>42</v>
      </c>
      <c r="O54" s="8" t="s">
        <v>3802</v>
      </c>
      <c r="P54" s="8" t="s">
        <v>1409</v>
      </c>
      <c r="Q54" s="8" t="s">
        <v>1410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3638</v>
      </c>
      <c r="C55" s="9" t="s">
        <v>3803</v>
      </c>
      <c r="D55" s="9" t="s">
        <v>3804</v>
      </c>
      <c r="E55" s="9" t="s">
        <v>21</v>
      </c>
      <c r="F55" s="9" t="s">
        <v>22</v>
      </c>
      <c r="G55" s="9">
        <v>374</v>
      </c>
      <c r="H55" s="9" t="s">
        <v>23</v>
      </c>
      <c r="I55" s="9" t="s">
        <v>866</v>
      </c>
      <c r="J55" s="9" t="s">
        <v>25</v>
      </c>
      <c r="K55" s="9" t="s">
        <v>26</v>
      </c>
      <c r="L55" s="9" t="s">
        <v>867</v>
      </c>
      <c r="M55" s="9">
        <v>5999</v>
      </c>
      <c r="N55" s="9" t="s">
        <v>867</v>
      </c>
      <c r="O55" s="9" t="s">
        <v>3805</v>
      </c>
      <c r="P55" s="9" t="s">
        <v>1409</v>
      </c>
      <c r="Q55" s="9" t="s">
        <v>1410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3638</v>
      </c>
      <c r="C56" s="8" t="s">
        <v>3806</v>
      </c>
      <c r="D56" s="8" t="s">
        <v>3807</v>
      </c>
      <c r="E56" s="8" t="s">
        <v>21</v>
      </c>
      <c r="F56" s="8" t="s">
        <v>22</v>
      </c>
      <c r="G56" s="8">
        <v>519</v>
      </c>
      <c r="H56" s="8" t="s">
        <v>23</v>
      </c>
      <c r="I56" s="8" t="s">
        <v>131</v>
      </c>
      <c r="J56" s="8" t="s">
        <v>41</v>
      </c>
      <c r="K56" s="8" t="s">
        <v>26</v>
      </c>
      <c r="L56" s="8" t="s">
        <v>132</v>
      </c>
      <c r="M56" s="8">
        <v>5411</v>
      </c>
      <c r="N56" s="8" t="s">
        <v>132</v>
      </c>
      <c r="O56" s="8" t="s">
        <v>3808</v>
      </c>
      <c r="P56" s="8" t="s">
        <v>1409</v>
      </c>
      <c r="Q56" s="8" t="s">
        <v>1410</v>
      </c>
      <c r="R56" s="7"/>
      <c r="S56" s="61" t="s">
        <v>294</v>
      </c>
      <c r="T56" s="62">
        <f>IFERROR(U24/T24,0)</f>
        <v>0.27950310559006208</v>
      </c>
      <c r="U56" s="27" t="s">
        <v>206</v>
      </c>
      <c r="V56" s="38" t="str">
        <f>IF(T56&lt;=0.35,"✅ Meets","⚠️ Exceeds")</f>
        <v>✅ Meets</v>
      </c>
      <c r="W56" s="29" t="s">
        <v>295</v>
      </c>
    </row>
    <row r="57" spans="1:23" ht="18" customHeight="1">
      <c r="A57" s="9">
        <v>56</v>
      </c>
      <c r="B57" s="9" t="s">
        <v>3638</v>
      </c>
      <c r="C57" s="9" t="s">
        <v>3809</v>
      </c>
      <c r="D57" s="9" t="s">
        <v>3810</v>
      </c>
      <c r="E57" s="9" t="s">
        <v>21</v>
      </c>
      <c r="F57" s="9" t="s">
        <v>22</v>
      </c>
      <c r="G57" s="9">
        <v>374</v>
      </c>
      <c r="H57" s="9" t="s">
        <v>23</v>
      </c>
      <c r="I57" s="9" t="s">
        <v>159</v>
      </c>
      <c r="J57" s="9" t="s">
        <v>25</v>
      </c>
      <c r="K57" s="9" t="s">
        <v>26</v>
      </c>
      <c r="L57" s="9" t="s">
        <v>160</v>
      </c>
      <c r="M57" s="9">
        <v>5999</v>
      </c>
      <c r="N57" s="9" t="s">
        <v>160</v>
      </c>
      <c r="O57" s="9" t="s">
        <v>3811</v>
      </c>
      <c r="P57" s="9" t="s">
        <v>1409</v>
      </c>
      <c r="Q57" s="9" t="s">
        <v>1410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3638</v>
      </c>
      <c r="C58" s="8" t="s">
        <v>3812</v>
      </c>
      <c r="D58" s="8" t="s">
        <v>3813</v>
      </c>
      <c r="E58" s="8" t="s">
        <v>94</v>
      </c>
      <c r="F58" s="8" t="s">
        <v>22</v>
      </c>
      <c r="G58" s="8">
        <v>7300</v>
      </c>
      <c r="H58" s="8" t="s">
        <v>23</v>
      </c>
      <c r="I58" s="8" t="s">
        <v>3683</v>
      </c>
      <c r="J58" s="8" t="s">
        <v>96</v>
      </c>
      <c r="K58" s="8" t="s">
        <v>97</v>
      </c>
      <c r="L58" s="8" t="s">
        <v>3684</v>
      </c>
      <c r="M58" s="8"/>
      <c r="N58" s="8" t="s">
        <v>3684</v>
      </c>
      <c r="O58" s="8" t="s">
        <v>3814</v>
      </c>
      <c r="P58" s="8" t="s">
        <v>1409</v>
      </c>
      <c r="Q58" s="8" t="s">
        <v>1410</v>
      </c>
      <c r="R58" s="7"/>
      <c r="S58" s="61" t="s">
        <v>303</v>
      </c>
      <c r="T58" s="62">
        <f>T35</f>
        <v>0.14999999999999997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A59" s="9">
        <v>58</v>
      </c>
      <c r="B59" s="9" t="s">
        <v>3638</v>
      </c>
      <c r="C59" s="9" t="s">
        <v>3815</v>
      </c>
      <c r="D59" s="9" t="s">
        <v>3816</v>
      </c>
      <c r="E59" s="9" t="s">
        <v>21</v>
      </c>
      <c r="F59" s="9" t="s">
        <v>22</v>
      </c>
      <c r="G59" s="9">
        <v>580</v>
      </c>
      <c r="H59" s="9" t="s">
        <v>23</v>
      </c>
      <c r="I59" s="9" t="s">
        <v>90</v>
      </c>
      <c r="J59" s="9" t="s">
        <v>36</v>
      </c>
      <c r="K59" s="9" t="s">
        <v>26</v>
      </c>
      <c r="L59" s="9" t="s">
        <v>91</v>
      </c>
      <c r="M59" s="9">
        <v>4900</v>
      </c>
      <c r="N59" s="9" t="s">
        <v>91</v>
      </c>
      <c r="O59" s="9" t="s">
        <v>3817</v>
      </c>
      <c r="P59" s="9" t="s">
        <v>1409</v>
      </c>
      <c r="Q59" s="9" t="s">
        <v>1410</v>
      </c>
      <c r="R59" s="7"/>
      <c r="S59" s="68" t="s">
        <v>308</v>
      </c>
      <c r="T59" s="69">
        <f>T36</f>
        <v>1073.333333333333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3638</v>
      </c>
      <c r="C60" s="8" t="s">
        <v>3818</v>
      </c>
      <c r="D60" s="8" t="s">
        <v>3819</v>
      </c>
      <c r="E60" s="8" t="s">
        <v>21</v>
      </c>
      <c r="F60" s="8" t="s">
        <v>22</v>
      </c>
      <c r="G60" s="8">
        <v>659</v>
      </c>
      <c r="H60" s="8" t="s">
        <v>23</v>
      </c>
      <c r="I60" s="8" t="s">
        <v>340</v>
      </c>
      <c r="J60" s="8" t="s">
        <v>41</v>
      </c>
      <c r="K60" s="8" t="s">
        <v>26</v>
      </c>
      <c r="L60" s="8" t="s">
        <v>341</v>
      </c>
      <c r="M60" s="8">
        <v>5812</v>
      </c>
      <c r="N60" s="8" t="s">
        <v>341</v>
      </c>
      <c r="O60" s="8" t="s">
        <v>3820</v>
      </c>
      <c r="P60" s="8" t="s">
        <v>1409</v>
      </c>
      <c r="Q60" s="8" t="s">
        <v>1410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3638</v>
      </c>
      <c r="C61" s="9" t="s">
        <v>3821</v>
      </c>
      <c r="D61" s="9" t="s">
        <v>3822</v>
      </c>
      <c r="E61" s="9" t="s">
        <v>21</v>
      </c>
      <c r="F61" s="9" t="s">
        <v>22</v>
      </c>
      <c r="G61" s="9">
        <v>2000</v>
      </c>
      <c r="H61" s="9" t="s">
        <v>23</v>
      </c>
      <c r="I61" s="9" t="s">
        <v>3648</v>
      </c>
      <c r="J61" s="9" t="s">
        <v>36</v>
      </c>
      <c r="K61" s="9" t="s">
        <v>26</v>
      </c>
      <c r="L61" s="9" t="s">
        <v>3649</v>
      </c>
      <c r="M61" s="9">
        <v>6012</v>
      </c>
      <c r="N61" s="9" t="s">
        <v>3649</v>
      </c>
      <c r="O61" s="9" t="s">
        <v>3823</v>
      </c>
      <c r="P61" s="9" t="s">
        <v>1409</v>
      </c>
      <c r="Q61" s="9" t="s">
        <v>1410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3638</v>
      </c>
      <c r="C62" s="8" t="s">
        <v>3824</v>
      </c>
      <c r="D62" s="8" t="s">
        <v>3825</v>
      </c>
      <c r="E62" s="8" t="s">
        <v>21</v>
      </c>
      <c r="F62" s="8" t="s">
        <v>22</v>
      </c>
      <c r="G62" s="8">
        <v>369</v>
      </c>
      <c r="H62" s="8" t="s">
        <v>23</v>
      </c>
      <c r="I62" s="8" t="s">
        <v>159</v>
      </c>
      <c r="J62" s="8" t="s">
        <v>25</v>
      </c>
      <c r="K62" s="8" t="s">
        <v>26</v>
      </c>
      <c r="L62" s="8" t="s">
        <v>160</v>
      </c>
      <c r="M62" s="8">
        <v>5999</v>
      </c>
      <c r="N62" s="8" t="s">
        <v>160</v>
      </c>
      <c r="O62" s="8" t="s">
        <v>3826</v>
      </c>
      <c r="P62" s="8" t="s">
        <v>1409</v>
      </c>
      <c r="Q62" s="8" t="s">
        <v>1410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3638</v>
      </c>
      <c r="C63" s="9" t="s">
        <v>3827</v>
      </c>
      <c r="D63" s="9" t="s">
        <v>3828</v>
      </c>
      <c r="E63" s="9" t="s">
        <v>21</v>
      </c>
      <c r="F63" s="9" t="s">
        <v>22</v>
      </c>
      <c r="G63" s="9">
        <v>1883</v>
      </c>
      <c r="H63" s="9" t="s">
        <v>23</v>
      </c>
      <c r="I63" s="9" t="s">
        <v>56</v>
      </c>
      <c r="J63" s="9" t="s">
        <v>41</v>
      </c>
      <c r="K63" s="9" t="s">
        <v>26</v>
      </c>
      <c r="L63" s="9" t="s">
        <v>57</v>
      </c>
      <c r="M63" s="9">
        <v>5999</v>
      </c>
      <c r="N63" s="9" t="s">
        <v>57</v>
      </c>
      <c r="O63" s="9" t="s">
        <v>3829</v>
      </c>
      <c r="P63" s="9" t="s">
        <v>1409</v>
      </c>
      <c r="Q63" s="9" t="s">
        <v>1410</v>
      </c>
      <c r="R63" s="7"/>
      <c r="S63" s="68" t="s">
        <v>333</v>
      </c>
      <c r="T63" s="74">
        <f>IFERROR((MIN(1,SUMPRODUCT((LEFT($C$2:$C$124,7)=TEXT(S9,"YYYY-MM"))*($E$2:$E$124="KSAOB.Credit")*($K$2:$K$124="KSAOB.Deposit")))+MIN(1,SUMPRODUCT((LEFT($C$2:$C$124,7)=TEXT(S10,"YYYY-MM"))*($E$2:$E$124="KSAOB.Credit")*($K$2:$K$124="KSAOB.Deposit")))+MIN(1,SUMPRODUCT((LEFT($C$2:$C$124,7)=TEXT(S11,"YYYY-MM"))*($E$2:$E$124="KSAOB.Credit")*($K$2:$K$124="KSAOB.Deposit")))+MIN(1,SUMPRODUCT((LEFT($C$2:$C$124,7)=TEXT(S12,"YYYY-MM"))*($E$2:$E$124="KSAOB.Credit")*($K$2:$K$124="KSAOB.Deposit")))+MIN(1,SUMPRODUCT((LEFT($C$2:$C$124,7)=TEXT(S13,"YYYY-MM"))*($E$2:$E$124="KSAOB.Credit")*($K$2:$K$124="KSAOB.Deposit")))+MIN(1,SUMPRODUCT((LEFT($C$2:$C$124,7)=TEXT(S14,"YYYY-MM"))*($E$2:$E$124="KSAOB.Credit")*($K$2:$K$124="KSAOB.Deposit")))+MIN(1,SUMPRODUCT((LEFT($C$2:$C$124,7)=TEXT(S15,"YYYY-MM"))*($E$2:$E$124="KSAOB.Credit")*($K$2:$K$124="KSAOB.Deposit")))+MIN(1,SUMPRODUCT((LEFT($C$2:$C$124,7)=TEXT(S16,"YYYY-MM"))*($E$2:$E$124="KSAOB.Credit")*($K$2:$K$124="KSAOB.Deposit")))+MIN(1,SUMPRODUCT((LEFT($C$2:$C$124,7)=TEXT(S17,"YYYY-MM"))*($E$2:$E$124="KSAOB.Credit")*($K$2:$K$124="KSAOB.Deposit"))))/9,0)</f>
        <v>1</v>
      </c>
      <c r="U63" s="32" t="s">
        <v>334</v>
      </c>
      <c r="V63" s="36" t="str">
        <f>IF(T63&gt;=0.9,"✅ Meets","⚠️ Below")</f>
        <v>✅ Meets</v>
      </c>
      <c r="W63" s="34" t="s">
        <v>1290</v>
      </c>
    </row>
    <row r="64" spans="1:23" ht="15" customHeight="1">
      <c r="A64" s="8">
        <v>63</v>
      </c>
      <c r="B64" s="8" t="s">
        <v>3638</v>
      </c>
      <c r="C64" s="8" t="s">
        <v>3830</v>
      </c>
      <c r="D64" s="8" t="s">
        <v>3831</v>
      </c>
      <c r="E64" s="8" t="s">
        <v>21</v>
      </c>
      <c r="F64" s="8" t="s">
        <v>22</v>
      </c>
      <c r="G64" s="8">
        <v>683</v>
      </c>
      <c r="H64" s="8" t="s">
        <v>23</v>
      </c>
      <c r="I64" s="8" t="s">
        <v>131</v>
      </c>
      <c r="J64" s="8" t="s">
        <v>41</v>
      </c>
      <c r="K64" s="8" t="s">
        <v>26</v>
      </c>
      <c r="L64" s="8" t="s">
        <v>132</v>
      </c>
      <c r="M64" s="8">
        <v>5411</v>
      </c>
      <c r="N64" s="8" t="s">
        <v>132</v>
      </c>
      <c r="O64" s="8" t="s">
        <v>3832</v>
      </c>
      <c r="P64" s="8" t="s">
        <v>1409</v>
      </c>
      <c r="Q64" s="8" t="s">
        <v>1410</v>
      </c>
      <c r="R64" s="7"/>
    </row>
    <row r="65" spans="1:17" ht="15" customHeight="1">
      <c r="A65" s="9">
        <v>64</v>
      </c>
      <c r="B65" s="9" t="s">
        <v>3638</v>
      </c>
      <c r="C65" s="9" t="s">
        <v>3833</v>
      </c>
      <c r="D65" s="9" t="s">
        <v>3834</v>
      </c>
      <c r="E65" s="9" t="s">
        <v>21</v>
      </c>
      <c r="F65" s="9" t="s">
        <v>22</v>
      </c>
      <c r="G65" s="9">
        <v>609</v>
      </c>
      <c r="H65" s="9" t="s">
        <v>23</v>
      </c>
      <c r="I65" s="9" t="s">
        <v>90</v>
      </c>
      <c r="J65" s="9" t="s">
        <v>36</v>
      </c>
      <c r="K65" s="9" t="s">
        <v>26</v>
      </c>
      <c r="L65" s="9" t="s">
        <v>91</v>
      </c>
      <c r="M65" s="9">
        <v>4900</v>
      </c>
      <c r="N65" s="9" t="s">
        <v>91</v>
      </c>
      <c r="O65" s="9" t="s">
        <v>3835</v>
      </c>
      <c r="P65" s="9" t="s">
        <v>1409</v>
      </c>
      <c r="Q65" s="9" t="s">
        <v>1410</v>
      </c>
    </row>
    <row r="66" spans="1:17" ht="15" customHeight="1">
      <c r="A66" s="8">
        <v>65</v>
      </c>
      <c r="B66" s="8" t="s">
        <v>3638</v>
      </c>
      <c r="C66" s="8" t="s">
        <v>3836</v>
      </c>
      <c r="D66" s="8" t="s">
        <v>3837</v>
      </c>
      <c r="E66" s="8" t="s">
        <v>21</v>
      </c>
      <c r="F66" s="8" t="s">
        <v>22</v>
      </c>
      <c r="G66" s="8">
        <v>464</v>
      </c>
      <c r="H66" s="8" t="s">
        <v>23</v>
      </c>
      <c r="I66" s="8" t="s">
        <v>123</v>
      </c>
      <c r="J66" s="8" t="s">
        <v>41</v>
      </c>
      <c r="K66" s="8" t="s">
        <v>26</v>
      </c>
      <c r="L66" s="8" t="s">
        <v>124</v>
      </c>
      <c r="M66" s="8">
        <v>5541</v>
      </c>
      <c r="N66" s="8" t="s">
        <v>124</v>
      </c>
      <c r="O66" s="8" t="s">
        <v>3838</v>
      </c>
      <c r="P66" s="8" t="s">
        <v>1409</v>
      </c>
      <c r="Q66" s="8" t="s">
        <v>1410</v>
      </c>
    </row>
    <row r="67" spans="1:17" ht="15" customHeight="1">
      <c r="A67" s="9">
        <v>66</v>
      </c>
      <c r="B67" s="9" t="s">
        <v>3638</v>
      </c>
      <c r="C67" s="9" t="s">
        <v>3839</v>
      </c>
      <c r="D67" s="9" t="s">
        <v>3840</v>
      </c>
      <c r="E67" s="9" t="s">
        <v>21</v>
      </c>
      <c r="F67" s="9" t="s">
        <v>22</v>
      </c>
      <c r="G67" s="9">
        <v>682</v>
      </c>
      <c r="H67" s="9" t="s">
        <v>23</v>
      </c>
      <c r="I67" s="9" t="s">
        <v>379</v>
      </c>
      <c r="J67" s="9" t="s">
        <v>41</v>
      </c>
      <c r="K67" s="9" t="s">
        <v>26</v>
      </c>
      <c r="L67" s="9" t="s">
        <v>380</v>
      </c>
      <c r="M67" s="9">
        <v>5411</v>
      </c>
      <c r="N67" s="9" t="s">
        <v>380</v>
      </c>
      <c r="O67" s="9" t="s">
        <v>3841</v>
      </c>
      <c r="P67" s="9" t="s">
        <v>1409</v>
      </c>
      <c r="Q67" s="9" t="s">
        <v>1410</v>
      </c>
    </row>
    <row r="68" spans="1:17" ht="15" customHeight="1">
      <c r="A68" s="8">
        <v>67</v>
      </c>
      <c r="B68" s="8" t="s">
        <v>3638</v>
      </c>
      <c r="C68" s="8" t="s">
        <v>3842</v>
      </c>
      <c r="D68" s="8" t="s">
        <v>3843</v>
      </c>
      <c r="E68" s="8" t="s">
        <v>21</v>
      </c>
      <c r="F68" s="8" t="s">
        <v>22</v>
      </c>
      <c r="G68" s="8">
        <v>403</v>
      </c>
      <c r="H68" s="8" t="s">
        <v>23</v>
      </c>
      <c r="I68" s="8" t="s">
        <v>351</v>
      </c>
      <c r="J68" s="8" t="s">
        <v>36</v>
      </c>
      <c r="K68" s="8" t="s">
        <v>26</v>
      </c>
      <c r="L68" s="8" t="s">
        <v>352</v>
      </c>
      <c r="M68" s="8">
        <v>4813</v>
      </c>
      <c r="N68" s="8" t="s">
        <v>352</v>
      </c>
      <c r="O68" s="8" t="s">
        <v>3844</v>
      </c>
      <c r="P68" s="8" t="s">
        <v>1409</v>
      </c>
      <c r="Q68" s="8" t="s">
        <v>1410</v>
      </c>
    </row>
    <row r="69" spans="1:17" ht="15" customHeight="1">
      <c r="A69" s="9">
        <v>68</v>
      </c>
      <c r="B69" s="9" t="s">
        <v>3638</v>
      </c>
      <c r="C69" s="9" t="s">
        <v>3845</v>
      </c>
      <c r="D69" s="9" t="s">
        <v>3846</v>
      </c>
      <c r="E69" s="9" t="s">
        <v>21</v>
      </c>
      <c r="F69" s="9" t="s">
        <v>22</v>
      </c>
      <c r="G69" s="9">
        <v>368</v>
      </c>
      <c r="H69" s="9" t="s">
        <v>23</v>
      </c>
      <c r="I69" s="9" t="s">
        <v>318</v>
      </c>
      <c r="J69" s="9" t="s">
        <v>25</v>
      </c>
      <c r="K69" s="9" t="s">
        <v>26</v>
      </c>
      <c r="L69" s="9" t="s">
        <v>319</v>
      </c>
      <c r="M69" s="9">
        <v>5999</v>
      </c>
      <c r="N69" s="9" t="s">
        <v>319</v>
      </c>
      <c r="O69" s="9" t="s">
        <v>3847</v>
      </c>
      <c r="P69" s="9" t="s">
        <v>1409</v>
      </c>
      <c r="Q69" s="9" t="s">
        <v>1410</v>
      </c>
    </row>
    <row r="70" spans="1:17" ht="15" customHeight="1">
      <c r="A70" s="8">
        <v>69</v>
      </c>
      <c r="B70" s="8" t="s">
        <v>3638</v>
      </c>
      <c r="C70" s="8" t="s">
        <v>3848</v>
      </c>
      <c r="D70" s="8" t="s">
        <v>3849</v>
      </c>
      <c r="E70" s="8" t="s">
        <v>94</v>
      </c>
      <c r="F70" s="8" t="s">
        <v>22</v>
      </c>
      <c r="G70" s="8">
        <v>7200</v>
      </c>
      <c r="H70" s="8" t="s">
        <v>23</v>
      </c>
      <c r="I70" s="8" t="s">
        <v>3683</v>
      </c>
      <c r="J70" s="8" t="s">
        <v>96</v>
      </c>
      <c r="K70" s="8" t="s">
        <v>97</v>
      </c>
      <c r="L70" s="8" t="s">
        <v>3684</v>
      </c>
      <c r="M70" s="8"/>
      <c r="N70" s="8" t="s">
        <v>3684</v>
      </c>
      <c r="O70" s="8" t="s">
        <v>3850</v>
      </c>
      <c r="P70" s="8" t="s">
        <v>1409</v>
      </c>
      <c r="Q70" s="8" t="s">
        <v>1410</v>
      </c>
    </row>
    <row r="71" spans="1:17" ht="15" customHeight="1">
      <c r="A71" s="9">
        <v>70</v>
      </c>
      <c r="B71" s="9" t="s">
        <v>3638</v>
      </c>
      <c r="C71" s="9" t="s">
        <v>3851</v>
      </c>
      <c r="D71" s="9" t="s">
        <v>3852</v>
      </c>
      <c r="E71" s="9" t="s">
        <v>21</v>
      </c>
      <c r="F71" s="9" t="s">
        <v>22</v>
      </c>
      <c r="G71" s="9">
        <v>2000</v>
      </c>
      <c r="H71" s="9" t="s">
        <v>23</v>
      </c>
      <c r="I71" s="9" t="s">
        <v>3648</v>
      </c>
      <c r="J71" s="9" t="s">
        <v>36</v>
      </c>
      <c r="K71" s="9" t="s">
        <v>26</v>
      </c>
      <c r="L71" s="9" t="s">
        <v>3649</v>
      </c>
      <c r="M71" s="9">
        <v>6012</v>
      </c>
      <c r="N71" s="9" t="s">
        <v>3649</v>
      </c>
      <c r="O71" s="9" t="s">
        <v>3853</v>
      </c>
      <c r="P71" s="9" t="s">
        <v>1409</v>
      </c>
      <c r="Q71" s="9" t="s">
        <v>1410</v>
      </c>
    </row>
    <row r="72" spans="1:17" ht="15" customHeight="1">
      <c r="A72" s="8">
        <v>71</v>
      </c>
      <c r="B72" s="8" t="s">
        <v>3638</v>
      </c>
      <c r="C72" s="8" t="s">
        <v>3854</v>
      </c>
      <c r="D72" s="8" t="s">
        <v>3855</v>
      </c>
      <c r="E72" s="8" t="s">
        <v>21</v>
      </c>
      <c r="F72" s="8" t="s">
        <v>22</v>
      </c>
      <c r="G72" s="8">
        <v>545</v>
      </c>
      <c r="H72" s="8" t="s">
        <v>23</v>
      </c>
      <c r="I72" s="8" t="s">
        <v>56</v>
      </c>
      <c r="J72" s="8" t="s">
        <v>41</v>
      </c>
      <c r="K72" s="8" t="s">
        <v>26</v>
      </c>
      <c r="L72" s="8" t="s">
        <v>57</v>
      </c>
      <c r="M72" s="8">
        <v>5999</v>
      </c>
      <c r="N72" s="8" t="s">
        <v>57</v>
      </c>
      <c r="O72" s="8" t="s">
        <v>3856</v>
      </c>
      <c r="P72" s="8" t="s">
        <v>1409</v>
      </c>
      <c r="Q72" s="8" t="s">
        <v>1410</v>
      </c>
    </row>
    <row r="73" spans="1:17" ht="15" customHeight="1">
      <c r="A73" s="9">
        <v>72</v>
      </c>
      <c r="B73" s="9" t="s">
        <v>3638</v>
      </c>
      <c r="C73" s="9" t="s">
        <v>3857</v>
      </c>
      <c r="D73" s="9" t="s">
        <v>3858</v>
      </c>
      <c r="E73" s="9" t="s">
        <v>21</v>
      </c>
      <c r="F73" s="9" t="s">
        <v>22</v>
      </c>
      <c r="G73" s="9">
        <v>391</v>
      </c>
      <c r="H73" s="9" t="s">
        <v>23</v>
      </c>
      <c r="I73" s="9" t="s">
        <v>391</v>
      </c>
      <c r="J73" s="9" t="s">
        <v>331</v>
      </c>
      <c r="K73" s="9" t="s">
        <v>26</v>
      </c>
      <c r="L73" s="9" t="s">
        <v>392</v>
      </c>
      <c r="M73" s="9">
        <v>6011</v>
      </c>
      <c r="N73" s="9" t="s">
        <v>392</v>
      </c>
      <c r="O73" s="9" t="s">
        <v>3859</v>
      </c>
      <c r="P73" s="9" t="s">
        <v>1409</v>
      </c>
      <c r="Q73" s="9" t="s">
        <v>1410</v>
      </c>
    </row>
    <row r="74" spans="1:17" ht="15" customHeight="1">
      <c r="A74" s="8">
        <v>73</v>
      </c>
      <c r="B74" s="8" t="s">
        <v>3638</v>
      </c>
      <c r="C74" s="8" t="s">
        <v>3860</v>
      </c>
      <c r="D74" s="8" t="s">
        <v>3861</v>
      </c>
      <c r="E74" s="8" t="s">
        <v>21</v>
      </c>
      <c r="F74" s="8" t="s">
        <v>22</v>
      </c>
      <c r="G74" s="8">
        <v>970</v>
      </c>
      <c r="H74" s="8" t="s">
        <v>23</v>
      </c>
      <c r="I74" s="8" t="s">
        <v>186</v>
      </c>
      <c r="J74" s="8" t="s">
        <v>41</v>
      </c>
      <c r="K74" s="8" t="s">
        <v>26</v>
      </c>
      <c r="L74" s="8" t="s">
        <v>187</v>
      </c>
      <c r="M74" s="8">
        <v>5999</v>
      </c>
      <c r="N74" s="8" t="s">
        <v>187</v>
      </c>
      <c r="O74" s="8" t="s">
        <v>3862</v>
      </c>
      <c r="P74" s="8" t="s">
        <v>1409</v>
      </c>
      <c r="Q74" s="8" t="s">
        <v>1410</v>
      </c>
    </row>
    <row r="75" spans="1:17" ht="15" customHeight="1">
      <c r="A75" s="9">
        <v>74</v>
      </c>
      <c r="B75" s="9" t="s">
        <v>3638</v>
      </c>
      <c r="C75" s="9" t="s">
        <v>3863</v>
      </c>
      <c r="D75" s="9" t="s">
        <v>3864</v>
      </c>
      <c r="E75" s="9" t="s">
        <v>21</v>
      </c>
      <c r="F75" s="9" t="s">
        <v>22</v>
      </c>
      <c r="G75" s="9">
        <v>338</v>
      </c>
      <c r="H75" s="9" t="s">
        <v>23</v>
      </c>
      <c r="I75" s="9" t="s">
        <v>174</v>
      </c>
      <c r="J75" s="9" t="s">
        <v>36</v>
      </c>
      <c r="K75" s="9" t="s">
        <v>26</v>
      </c>
      <c r="L75" s="9" t="s">
        <v>175</v>
      </c>
      <c r="M75" s="9">
        <v>4813</v>
      </c>
      <c r="N75" s="9" t="s">
        <v>175</v>
      </c>
      <c r="O75" s="9" t="s">
        <v>3865</v>
      </c>
      <c r="P75" s="9" t="s">
        <v>1409</v>
      </c>
      <c r="Q75" s="9" t="s">
        <v>1410</v>
      </c>
    </row>
    <row r="76" spans="1:17" ht="15" customHeight="1">
      <c r="A76" s="8">
        <v>75</v>
      </c>
      <c r="B76" s="8" t="s">
        <v>3638</v>
      </c>
      <c r="C76" s="8" t="s">
        <v>3866</v>
      </c>
      <c r="D76" s="8" t="s">
        <v>3867</v>
      </c>
      <c r="E76" s="8" t="s">
        <v>21</v>
      </c>
      <c r="F76" s="8" t="s">
        <v>22</v>
      </c>
      <c r="G76" s="8">
        <v>193</v>
      </c>
      <c r="H76" s="8" t="s">
        <v>23</v>
      </c>
      <c r="I76" s="8" t="s">
        <v>40</v>
      </c>
      <c r="J76" s="8" t="s">
        <v>41</v>
      </c>
      <c r="K76" s="8" t="s">
        <v>26</v>
      </c>
      <c r="L76" s="8" t="s">
        <v>42</v>
      </c>
      <c r="M76" s="8">
        <v>5812</v>
      </c>
      <c r="N76" s="8" t="s">
        <v>42</v>
      </c>
      <c r="O76" s="8" t="s">
        <v>3868</v>
      </c>
      <c r="P76" s="8" t="s">
        <v>1409</v>
      </c>
      <c r="Q76" s="8" t="s">
        <v>1410</v>
      </c>
    </row>
    <row r="77" spans="1:17" ht="15" customHeight="1">
      <c r="A77" s="9">
        <v>76</v>
      </c>
      <c r="B77" s="9" t="s">
        <v>3638</v>
      </c>
      <c r="C77" s="9" t="s">
        <v>3869</v>
      </c>
      <c r="D77" s="9" t="s">
        <v>3870</v>
      </c>
      <c r="E77" s="9" t="s">
        <v>21</v>
      </c>
      <c r="F77" s="9" t="s">
        <v>22</v>
      </c>
      <c r="G77" s="9">
        <v>542</v>
      </c>
      <c r="H77" s="9" t="s">
        <v>23</v>
      </c>
      <c r="I77" s="9" t="s">
        <v>379</v>
      </c>
      <c r="J77" s="9" t="s">
        <v>41</v>
      </c>
      <c r="K77" s="9" t="s">
        <v>26</v>
      </c>
      <c r="L77" s="9" t="s">
        <v>380</v>
      </c>
      <c r="M77" s="9">
        <v>5411</v>
      </c>
      <c r="N77" s="9" t="s">
        <v>380</v>
      </c>
      <c r="O77" s="9" t="s">
        <v>3871</v>
      </c>
      <c r="P77" s="9" t="s">
        <v>1409</v>
      </c>
      <c r="Q77" s="9" t="s">
        <v>1410</v>
      </c>
    </row>
    <row r="78" spans="1:17" ht="15" customHeight="1">
      <c r="A78" s="8">
        <v>77</v>
      </c>
      <c r="B78" s="8" t="s">
        <v>3638</v>
      </c>
      <c r="C78" s="8" t="s">
        <v>3872</v>
      </c>
      <c r="D78" s="8" t="s">
        <v>3873</v>
      </c>
      <c r="E78" s="8" t="s">
        <v>21</v>
      </c>
      <c r="F78" s="8" t="s">
        <v>22</v>
      </c>
      <c r="G78" s="8">
        <v>192</v>
      </c>
      <c r="H78" s="8" t="s">
        <v>23</v>
      </c>
      <c r="I78" s="8" t="s">
        <v>74</v>
      </c>
      <c r="J78" s="8" t="s">
        <v>41</v>
      </c>
      <c r="K78" s="8" t="s">
        <v>26</v>
      </c>
      <c r="L78" s="8" t="s">
        <v>75</v>
      </c>
      <c r="M78" s="8">
        <v>5812</v>
      </c>
      <c r="N78" s="8" t="s">
        <v>75</v>
      </c>
      <c r="O78" s="8" t="s">
        <v>3874</v>
      </c>
      <c r="P78" s="8" t="s">
        <v>1409</v>
      </c>
      <c r="Q78" s="8" t="s">
        <v>1410</v>
      </c>
    </row>
    <row r="79" spans="1:17" ht="15" customHeight="1">
      <c r="A79" s="9">
        <v>78</v>
      </c>
      <c r="B79" s="9" t="s">
        <v>3638</v>
      </c>
      <c r="C79" s="9" t="s">
        <v>3875</v>
      </c>
      <c r="D79" s="9" t="s">
        <v>3876</v>
      </c>
      <c r="E79" s="9" t="s">
        <v>21</v>
      </c>
      <c r="F79" s="9" t="s">
        <v>22</v>
      </c>
      <c r="G79" s="9">
        <v>646</v>
      </c>
      <c r="H79" s="9" t="s">
        <v>23</v>
      </c>
      <c r="I79" s="9" t="s">
        <v>318</v>
      </c>
      <c r="J79" s="9" t="s">
        <v>25</v>
      </c>
      <c r="K79" s="9" t="s">
        <v>26</v>
      </c>
      <c r="L79" s="9" t="s">
        <v>319</v>
      </c>
      <c r="M79" s="9">
        <v>5999</v>
      </c>
      <c r="N79" s="9" t="s">
        <v>319</v>
      </c>
      <c r="O79" s="9" t="s">
        <v>3877</v>
      </c>
      <c r="P79" s="9" t="s">
        <v>1409</v>
      </c>
      <c r="Q79" s="9" t="s">
        <v>1410</v>
      </c>
    </row>
    <row r="80" spans="1:17" ht="15" customHeight="1">
      <c r="A80" s="8">
        <v>79</v>
      </c>
      <c r="B80" s="8" t="s">
        <v>3638</v>
      </c>
      <c r="C80" s="8" t="s">
        <v>3878</v>
      </c>
      <c r="D80" s="8" t="s">
        <v>3879</v>
      </c>
      <c r="E80" s="8" t="s">
        <v>21</v>
      </c>
      <c r="F80" s="8" t="s">
        <v>22</v>
      </c>
      <c r="G80" s="8">
        <v>543</v>
      </c>
      <c r="H80" s="8" t="s">
        <v>23</v>
      </c>
      <c r="I80" s="8" t="s">
        <v>379</v>
      </c>
      <c r="J80" s="8" t="s">
        <v>41</v>
      </c>
      <c r="K80" s="8" t="s">
        <v>26</v>
      </c>
      <c r="L80" s="8" t="s">
        <v>380</v>
      </c>
      <c r="M80" s="8">
        <v>5411</v>
      </c>
      <c r="N80" s="8" t="s">
        <v>380</v>
      </c>
      <c r="O80" s="8" t="s">
        <v>3880</v>
      </c>
      <c r="P80" s="8" t="s">
        <v>1409</v>
      </c>
      <c r="Q80" s="8" t="s">
        <v>1410</v>
      </c>
    </row>
    <row r="81" spans="1:17" ht="15" customHeight="1">
      <c r="A81" s="9">
        <v>80</v>
      </c>
      <c r="B81" s="9" t="s">
        <v>3638</v>
      </c>
      <c r="C81" s="9" t="s">
        <v>3881</v>
      </c>
      <c r="D81" s="9" t="s">
        <v>3882</v>
      </c>
      <c r="E81" s="9" t="s">
        <v>21</v>
      </c>
      <c r="F81" s="9" t="s">
        <v>22</v>
      </c>
      <c r="G81" s="9">
        <v>543</v>
      </c>
      <c r="H81" s="9" t="s">
        <v>23</v>
      </c>
      <c r="I81" s="9" t="s">
        <v>244</v>
      </c>
      <c r="J81" s="9" t="s">
        <v>41</v>
      </c>
      <c r="K81" s="9" t="s">
        <v>26</v>
      </c>
      <c r="L81" s="9" t="s">
        <v>245</v>
      </c>
      <c r="M81" s="9">
        <v>5411</v>
      </c>
      <c r="N81" s="9" t="s">
        <v>245</v>
      </c>
      <c r="O81" s="9" t="s">
        <v>3883</v>
      </c>
      <c r="P81" s="9" t="s">
        <v>1409</v>
      </c>
      <c r="Q81" s="9" t="s">
        <v>1410</v>
      </c>
    </row>
    <row r="82" spans="1:17" ht="15" customHeight="1">
      <c r="A82" s="8">
        <v>81</v>
      </c>
      <c r="B82" s="8" t="s">
        <v>3638</v>
      </c>
      <c r="C82" s="8" t="s">
        <v>3884</v>
      </c>
      <c r="D82" s="8" t="s">
        <v>3885</v>
      </c>
      <c r="E82" s="8" t="s">
        <v>21</v>
      </c>
      <c r="F82" s="8" t="s">
        <v>22</v>
      </c>
      <c r="G82" s="8">
        <v>193</v>
      </c>
      <c r="H82" s="8" t="s">
        <v>23</v>
      </c>
      <c r="I82" s="8" t="s">
        <v>574</v>
      </c>
      <c r="J82" s="8" t="s">
        <v>41</v>
      </c>
      <c r="K82" s="8" t="s">
        <v>26</v>
      </c>
      <c r="L82" s="8" t="s">
        <v>575</v>
      </c>
      <c r="M82" s="8">
        <v>5812</v>
      </c>
      <c r="N82" s="8" t="s">
        <v>575</v>
      </c>
      <c r="O82" s="8" t="s">
        <v>3886</v>
      </c>
      <c r="P82" s="8" t="s">
        <v>1409</v>
      </c>
      <c r="Q82" s="8" t="s">
        <v>1410</v>
      </c>
    </row>
    <row r="83" spans="1:17" ht="15" customHeight="1">
      <c r="A83" s="9">
        <v>82</v>
      </c>
      <c r="B83" s="9" t="s">
        <v>3638</v>
      </c>
      <c r="C83" s="9" t="s">
        <v>3887</v>
      </c>
      <c r="D83" s="9" t="s">
        <v>3888</v>
      </c>
      <c r="E83" s="9" t="s">
        <v>21</v>
      </c>
      <c r="F83" s="9" t="s">
        <v>22</v>
      </c>
      <c r="G83" s="9">
        <v>422</v>
      </c>
      <c r="H83" s="9" t="s">
        <v>23</v>
      </c>
      <c r="I83" s="9" t="s">
        <v>123</v>
      </c>
      <c r="J83" s="9" t="s">
        <v>41</v>
      </c>
      <c r="K83" s="9" t="s">
        <v>26</v>
      </c>
      <c r="L83" s="9" t="s">
        <v>124</v>
      </c>
      <c r="M83" s="9">
        <v>5541</v>
      </c>
      <c r="N83" s="9" t="s">
        <v>124</v>
      </c>
      <c r="O83" s="9" t="s">
        <v>3889</v>
      </c>
      <c r="P83" s="9" t="s">
        <v>1409</v>
      </c>
      <c r="Q83" s="9" t="s">
        <v>1410</v>
      </c>
    </row>
    <row r="84" spans="1:17" ht="15" customHeight="1">
      <c r="A84" s="8">
        <v>83</v>
      </c>
      <c r="B84" s="8" t="s">
        <v>3638</v>
      </c>
      <c r="C84" s="8" t="s">
        <v>3890</v>
      </c>
      <c r="D84" s="8" t="s">
        <v>3891</v>
      </c>
      <c r="E84" s="8" t="s">
        <v>94</v>
      </c>
      <c r="F84" s="8" t="s">
        <v>22</v>
      </c>
      <c r="G84" s="8">
        <v>7100</v>
      </c>
      <c r="H84" s="8" t="s">
        <v>23</v>
      </c>
      <c r="I84" s="8" t="s">
        <v>3683</v>
      </c>
      <c r="J84" s="8" t="s">
        <v>96</v>
      </c>
      <c r="K84" s="8" t="s">
        <v>97</v>
      </c>
      <c r="L84" s="8" t="s">
        <v>3684</v>
      </c>
      <c r="M84" s="8"/>
      <c r="N84" s="8" t="s">
        <v>3684</v>
      </c>
      <c r="O84" s="8" t="s">
        <v>3892</v>
      </c>
      <c r="P84" s="8" t="s">
        <v>1409</v>
      </c>
      <c r="Q84" s="8" t="s">
        <v>1410</v>
      </c>
    </row>
    <row r="85" spans="1:17" ht="15" customHeight="1">
      <c r="A85" s="9">
        <v>84</v>
      </c>
      <c r="B85" s="9" t="s">
        <v>3638</v>
      </c>
      <c r="C85" s="9" t="s">
        <v>3893</v>
      </c>
      <c r="D85" s="9" t="s">
        <v>3894</v>
      </c>
      <c r="E85" s="9" t="s">
        <v>21</v>
      </c>
      <c r="F85" s="9" t="s">
        <v>22</v>
      </c>
      <c r="G85" s="9">
        <v>517</v>
      </c>
      <c r="H85" s="9" t="s">
        <v>23</v>
      </c>
      <c r="I85" s="9" t="s">
        <v>198</v>
      </c>
      <c r="J85" s="9" t="s">
        <v>36</v>
      </c>
      <c r="K85" s="9" t="s">
        <v>26</v>
      </c>
      <c r="L85" s="9" t="s">
        <v>199</v>
      </c>
      <c r="M85" s="9">
        <v>4900</v>
      </c>
      <c r="N85" s="9" t="s">
        <v>199</v>
      </c>
      <c r="O85" s="9" t="s">
        <v>3895</v>
      </c>
      <c r="P85" s="9" t="s">
        <v>1409</v>
      </c>
      <c r="Q85" s="9" t="s">
        <v>1410</v>
      </c>
    </row>
    <row r="86" spans="1:17" ht="15" customHeight="1">
      <c r="A86" s="8">
        <v>85</v>
      </c>
      <c r="B86" s="8" t="s">
        <v>3638</v>
      </c>
      <c r="C86" s="8" t="s">
        <v>3896</v>
      </c>
      <c r="D86" s="8" t="s">
        <v>3897</v>
      </c>
      <c r="E86" s="8" t="s">
        <v>21</v>
      </c>
      <c r="F86" s="8" t="s">
        <v>22</v>
      </c>
      <c r="G86" s="8">
        <v>2000</v>
      </c>
      <c r="H86" s="8" t="s">
        <v>23</v>
      </c>
      <c r="I86" s="8" t="s">
        <v>3648</v>
      </c>
      <c r="J86" s="8" t="s">
        <v>36</v>
      </c>
      <c r="K86" s="8" t="s">
        <v>26</v>
      </c>
      <c r="L86" s="8" t="s">
        <v>3649</v>
      </c>
      <c r="M86" s="8">
        <v>6012</v>
      </c>
      <c r="N86" s="8" t="s">
        <v>3649</v>
      </c>
      <c r="O86" s="8" t="s">
        <v>3898</v>
      </c>
      <c r="P86" s="8" t="s">
        <v>1409</v>
      </c>
      <c r="Q86" s="8" t="s">
        <v>1410</v>
      </c>
    </row>
    <row r="87" spans="1:17" ht="15" customHeight="1">
      <c r="A87" s="9">
        <v>86</v>
      </c>
      <c r="B87" s="9" t="s">
        <v>3638</v>
      </c>
      <c r="C87" s="9" t="s">
        <v>3899</v>
      </c>
      <c r="D87" s="9" t="s">
        <v>3900</v>
      </c>
      <c r="E87" s="9" t="s">
        <v>21</v>
      </c>
      <c r="F87" s="9" t="s">
        <v>22</v>
      </c>
      <c r="G87" s="9">
        <v>760</v>
      </c>
      <c r="H87" s="9" t="s">
        <v>23</v>
      </c>
      <c r="I87" s="9" t="s">
        <v>379</v>
      </c>
      <c r="J87" s="9" t="s">
        <v>41</v>
      </c>
      <c r="K87" s="9" t="s">
        <v>26</v>
      </c>
      <c r="L87" s="9" t="s">
        <v>380</v>
      </c>
      <c r="M87" s="9">
        <v>5411</v>
      </c>
      <c r="N87" s="9" t="s">
        <v>380</v>
      </c>
      <c r="O87" s="9" t="s">
        <v>3901</v>
      </c>
      <c r="P87" s="9" t="s">
        <v>1409</v>
      </c>
      <c r="Q87" s="9" t="s">
        <v>1410</v>
      </c>
    </row>
    <row r="88" spans="1:17" ht="15" customHeight="1">
      <c r="A88" s="8">
        <v>87</v>
      </c>
      <c r="B88" s="8" t="s">
        <v>3638</v>
      </c>
      <c r="C88" s="8" t="s">
        <v>3902</v>
      </c>
      <c r="D88" s="8" t="s">
        <v>3903</v>
      </c>
      <c r="E88" s="8" t="s">
        <v>21</v>
      </c>
      <c r="F88" s="8" t="s">
        <v>22</v>
      </c>
      <c r="G88" s="8">
        <v>396</v>
      </c>
      <c r="H88" s="8" t="s">
        <v>23</v>
      </c>
      <c r="I88" s="8" t="s">
        <v>174</v>
      </c>
      <c r="J88" s="8" t="s">
        <v>36</v>
      </c>
      <c r="K88" s="8" t="s">
        <v>26</v>
      </c>
      <c r="L88" s="8" t="s">
        <v>175</v>
      </c>
      <c r="M88" s="8">
        <v>4813</v>
      </c>
      <c r="N88" s="8" t="s">
        <v>175</v>
      </c>
      <c r="O88" s="8" t="s">
        <v>3904</v>
      </c>
      <c r="P88" s="8" t="s">
        <v>1409</v>
      </c>
      <c r="Q88" s="8" t="s">
        <v>1410</v>
      </c>
    </row>
    <row r="89" spans="1:17" ht="15" customHeight="1">
      <c r="A89" s="9">
        <v>88</v>
      </c>
      <c r="B89" s="9" t="s">
        <v>3638</v>
      </c>
      <c r="C89" s="9" t="s">
        <v>3905</v>
      </c>
      <c r="D89" s="9" t="s">
        <v>3906</v>
      </c>
      <c r="E89" s="9" t="s">
        <v>21</v>
      </c>
      <c r="F89" s="9" t="s">
        <v>22</v>
      </c>
      <c r="G89" s="9">
        <v>508</v>
      </c>
      <c r="H89" s="9" t="s">
        <v>23</v>
      </c>
      <c r="I89" s="9" t="s">
        <v>123</v>
      </c>
      <c r="J89" s="9" t="s">
        <v>41</v>
      </c>
      <c r="K89" s="9" t="s">
        <v>26</v>
      </c>
      <c r="L89" s="9" t="s">
        <v>124</v>
      </c>
      <c r="M89" s="9">
        <v>5541</v>
      </c>
      <c r="N89" s="9" t="s">
        <v>124</v>
      </c>
      <c r="O89" s="9" t="s">
        <v>3907</v>
      </c>
      <c r="P89" s="9" t="s">
        <v>1409</v>
      </c>
      <c r="Q89" s="9" t="s">
        <v>1410</v>
      </c>
    </row>
    <row r="90" spans="1:17" ht="15" customHeight="1">
      <c r="A90" s="8">
        <v>89</v>
      </c>
      <c r="B90" s="8" t="s">
        <v>3638</v>
      </c>
      <c r="C90" s="8" t="s">
        <v>3908</v>
      </c>
      <c r="D90" s="8" t="s">
        <v>3909</v>
      </c>
      <c r="E90" s="8" t="s">
        <v>21</v>
      </c>
      <c r="F90" s="8" t="s">
        <v>22</v>
      </c>
      <c r="G90" s="8">
        <v>760</v>
      </c>
      <c r="H90" s="8" t="s">
        <v>23</v>
      </c>
      <c r="I90" s="8" t="s">
        <v>318</v>
      </c>
      <c r="J90" s="8" t="s">
        <v>25</v>
      </c>
      <c r="K90" s="8" t="s">
        <v>26</v>
      </c>
      <c r="L90" s="8" t="s">
        <v>319</v>
      </c>
      <c r="M90" s="8">
        <v>5999</v>
      </c>
      <c r="N90" s="8" t="s">
        <v>319</v>
      </c>
      <c r="O90" s="8" t="s">
        <v>3910</v>
      </c>
      <c r="P90" s="8" t="s">
        <v>1409</v>
      </c>
      <c r="Q90" s="8" t="s">
        <v>1410</v>
      </c>
    </row>
    <row r="91" spans="1:17" ht="15" customHeight="1">
      <c r="A91" s="9">
        <v>90</v>
      </c>
      <c r="B91" s="9" t="s">
        <v>3638</v>
      </c>
      <c r="C91" s="9" t="s">
        <v>3911</v>
      </c>
      <c r="D91" s="9" t="s">
        <v>3912</v>
      </c>
      <c r="E91" s="9" t="s">
        <v>21</v>
      </c>
      <c r="F91" s="9" t="s">
        <v>22</v>
      </c>
      <c r="G91" s="9">
        <v>278</v>
      </c>
      <c r="H91" s="9" t="s">
        <v>23</v>
      </c>
      <c r="I91" s="9" t="s">
        <v>574</v>
      </c>
      <c r="J91" s="9" t="s">
        <v>41</v>
      </c>
      <c r="K91" s="9" t="s">
        <v>26</v>
      </c>
      <c r="L91" s="9" t="s">
        <v>575</v>
      </c>
      <c r="M91" s="9">
        <v>5812</v>
      </c>
      <c r="N91" s="9" t="s">
        <v>575</v>
      </c>
      <c r="O91" s="9" t="s">
        <v>3913</v>
      </c>
      <c r="P91" s="9" t="s">
        <v>1409</v>
      </c>
      <c r="Q91" s="9" t="s">
        <v>1410</v>
      </c>
    </row>
    <row r="92" spans="1:17" ht="15" customHeight="1">
      <c r="A92" s="8">
        <v>91</v>
      </c>
      <c r="B92" s="8" t="s">
        <v>3638</v>
      </c>
      <c r="C92" s="8" t="s">
        <v>3914</v>
      </c>
      <c r="D92" s="8" t="s">
        <v>3915</v>
      </c>
      <c r="E92" s="8" t="s">
        <v>21</v>
      </c>
      <c r="F92" s="8" t="s">
        <v>22</v>
      </c>
      <c r="G92" s="8">
        <v>329</v>
      </c>
      <c r="H92" s="8" t="s">
        <v>23</v>
      </c>
      <c r="I92" s="8" t="s">
        <v>46</v>
      </c>
      <c r="J92" s="8" t="s">
        <v>41</v>
      </c>
      <c r="K92" s="8" t="s">
        <v>26</v>
      </c>
      <c r="L92" s="8" t="s">
        <v>47</v>
      </c>
      <c r="M92" s="8">
        <v>8011</v>
      </c>
      <c r="N92" s="8" t="s">
        <v>47</v>
      </c>
      <c r="O92" s="8" t="s">
        <v>3916</v>
      </c>
      <c r="P92" s="8" t="s">
        <v>1409</v>
      </c>
      <c r="Q92" s="8" t="s">
        <v>1410</v>
      </c>
    </row>
    <row r="93" spans="1:17" ht="15" customHeight="1">
      <c r="A93" s="9">
        <v>92</v>
      </c>
      <c r="B93" s="9" t="s">
        <v>3638</v>
      </c>
      <c r="C93" s="9" t="s">
        <v>3917</v>
      </c>
      <c r="D93" s="9" t="s">
        <v>3918</v>
      </c>
      <c r="E93" s="9" t="s">
        <v>21</v>
      </c>
      <c r="F93" s="9" t="s">
        <v>22</v>
      </c>
      <c r="G93" s="9">
        <v>760</v>
      </c>
      <c r="H93" s="9" t="s">
        <v>23</v>
      </c>
      <c r="I93" s="9" t="s">
        <v>82</v>
      </c>
      <c r="J93" s="9" t="s">
        <v>41</v>
      </c>
      <c r="K93" s="9" t="s">
        <v>26</v>
      </c>
      <c r="L93" s="9" t="s">
        <v>83</v>
      </c>
      <c r="M93" s="9">
        <v>5411</v>
      </c>
      <c r="N93" s="9" t="s">
        <v>83</v>
      </c>
      <c r="O93" s="9" t="s">
        <v>3919</v>
      </c>
      <c r="P93" s="9" t="s">
        <v>1409</v>
      </c>
      <c r="Q93" s="9" t="s">
        <v>1410</v>
      </c>
    </row>
    <row r="94" spans="1:17" ht="15" customHeight="1">
      <c r="A94" s="8">
        <v>93</v>
      </c>
      <c r="B94" s="8" t="s">
        <v>3638</v>
      </c>
      <c r="C94" s="8" t="s">
        <v>3920</v>
      </c>
      <c r="D94" s="8" t="s">
        <v>3921</v>
      </c>
      <c r="E94" s="8" t="s">
        <v>21</v>
      </c>
      <c r="F94" s="8" t="s">
        <v>22</v>
      </c>
      <c r="G94" s="8">
        <v>278</v>
      </c>
      <c r="H94" s="8" t="s">
        <v>23</v>
      </c>
      <c r="I94" s="8" t="s">
        <v>254</v>
      </c>
      <c r="J94" s="8" t="s">
        <v>41</v>
      </c>
      <c r="K94" s="8" t="s">
        <v>26</v>
      </c>
      <c r="L94" s="8" t="s">
        <v>255</v>
      </c>
      <c r="M94" s="8">
        <v>5812</v>
      </c>
      <c r="N94" s="8" t="s">
        <v>255</v>
      </c>
      <c r="O94" s="8" t="s">
        <v>3922</v>
      </c>
      <c r="P94" s="8" t="s">
        <v>1409</v>
      </c>
      <c r="Q94" s="8" t="s">
        <v>1410</v>
      </c>
    </row>
    <row r="95" spans="1:17" ht="15" customHeight="1">
      <c r="A95" s="9">
        <v>94</v>
      </c>
      <c r="B95" s="9" t="s">
        <v>3638</v>
      </c>
      <c r="C95" s="9" t="s">
        <v>3923</v>
      </c>
      <c r="D95" s="9" t="s">
        <v>3924</v>
      </c>
      <c r="E95" s="9" t="s">
        <v>94</v>
      </c>
      <c r="F95" s="9" t="s">
        <v>22</v>
      </c>
      <c r="G95" s="9">
        <v>7000</v>
      </c>
      <c r="H95" s="9" t="s">
        <v>23</v>
      </c>
      <c r="I95" s="9" t="s">
        <v>3683</v>
      </c>
      <c r="J95" s="9" t="s">
        <v>96</v>
      </c>
      <c r="K95" s="9" t="s">
        <v>97</v>
      </c>
      <c r="L95" s="9" t="s">
        <v>3684</v>
      </c>
      <c r="M95" s="9"/>
      <c r="N95" s="9" t="s">
        <v>3684</v>
      </c>
      <c r="O95" s="9" t="s">
        <v>3925</v>
      </c>
      <c r="P95" s="9" t="s">
        <v>1409</v>
      </c>
      <c r="Q95" s="9" t="s">
        <v>1410</v>
      </c>
    </row>
    <row r="96" spans="1:17" ht="15" customHeight="1">
      <c r="A96" s="8">
        <v>95</v>
      </c>
      <c r="B96" s="8" t="s">
        <v>3638</v>
      </c>
      <c r="C96" s="8" t="s">
        <v>3926</v>
      </c>
      <c r="D96" s="8" t="s">
        <v>3927</v>
      </c>
      <c r="E96" s="8" t="s">
        <v>21</v>
      </c>
      <c r="F96" s="8" t="s">
        <v>22</v>
      </c>
      <c r="G96" s="8">
        <v>605</v>
      </c>
      <c r="H96" s="8" t="s">
        <v>23</v>
      </c>
      <c r="I96" s="8" t="s">
        <v>198</v>
      </c>
      <c r="J96" s="8" t="s">
        <v>36</v>
      </c>
      <c r="K96" s="8" t="s">
        <v>26</v>
      </c>
      <c r="L96" s="8" t="s">
        <v>199</v>
      </c>
      <c r="M96" s="8">
        <v>4900</v>
      </c>
      <c r="N96" s="8" t="s">
        <v>199</v>
      </c>
      <c r="O96" s="8" t="s">
        <v>3928</v>
      </c>
      <c r="P96" s="8" t="s">
        <v>1409</v>
      </c>
      <c r="Q96" s="8" t="s">
        <v>1410</v>
      </c>
    </row>
    <row r="97" spans="1:17" ht="15" customHeight="1">
      <c r="A97" s="9">
        <v>96</v>
      </c>
      <c r="B97" s="9" t="s">
        <v>3638</v>
      </c>
      <c r="C97" s="9" t="s">
        <v>3929</v>
      </c>
      <c r="D97" s="9" t="s">
        <v>3930</v>
      </c>
      <c r="E97" s="9" t="s">
        <v>21</v>
      </c>
      <c r="F97" s="9" t="s">
        <v>22</v>
      </c>
      <c r="G97" s="9">
        <v>1276</v>
      </c>
      <c r="H97" s="9" t="s">
        <v>23</v>
      </c>
      <c r="I97" s="9" t="s">
        <v>56</v>
      </c>
      <c r="J97" s="9" t="s">
        <v>41</v>
      </c>
      <c r="K97" s="9" t="s">
        <v>26</v>
      </c>
      <c r="L97" s="9" t="s">
        <v>57</v>
      </c>
      <c r="M97" s="9">
        <v>5999</v>
      </c>
      <c r="N97" s="9" t="s">
        <v>57</v>
      </c>
      <c r="O97" s="9" t="s">
        <v>3931</v>
      </c>
      <c r="P97" s="9" t="s">
        <v>1409</v>
      </c>
      <c r="Q97" s="9" t="s">
        <v>1410</v>
      </c>
    </row>
    <row r="98" spans="1:17" ht="15" customHeight="1">
      <c r="A98" s="8">
        <v>97</v>
      </c>
      <c r="B98" s="8" t="s">
        <v>3638</v>
      </c>
      <c r="C98" s="8" t="s">
        <v>3932</v>
      </c>
      <c r="D98" s="8" t="s">
        <v>3933</v>
      </c>
      <c r="E98" s="8" t="s">
        <v>21</v>
      </c>
      <c r="F98" s="8" t="s">
        <v>22</v>
      </c>
      <c r="G98" s="8">
        <v>2000</v>
      </c>
      <c r="H98" s="8" t="s">
        <v>23</v>
      </c>
      <c r="I98" s="8" t="s">
        <v>3648</v>
      </c>
      <c r="J98" s="8" t="s">
        <v>36</v>
      </c>
      <c r="K98" s="8" t="s">
        <v>26</v>
      </c>
      <c r="L98" s="8" t="s">
        <v>3649</v>
      </c>
      <c r="M98" s="8">
        <v>6012</v>
      </c>
      <c r="N98" s="8" t="s">
        <v>3649</v>
      </c>
      <c r="O98" s="8" t="s">
        <v>3934</v>
      </c>
      <c r="P98" s="8" t="s">
        <v>1409</v>
      </c>
      <c r="Q98" s="8" t="s">
        <v>1410</v>
      </c>
    </row>
    <row r="99" spans="1:17" ht="15" customHeight="1">
      <c r="A99" s="9">
        <v>98</v>
      </c>
      <c r="B99" s="9" t="s">
        <v>3638</v>
      </c>
      <c r="C99" s="9" t="s">
        <v>3935</v>
      </c>
      <c r="D99" s="9" t="s">
        <v>3936</v>
      </c>
      <c r="E99" s="9" t="s">
        <v>21</v>
      </c>
      <c r="F99" s="9" t="s">
        <v>22</v>
      </c>
      <c r="G99" s="9">
        <v>690</v>
      </c>
      <c r="H99" s="9" t="s">
        <v>23</v>
      </c>
      <c r="I99" s="9" t="s">
        <v>217</v>
      </c>
      <c r="J99" s="9" t="s">
        <v>41</v>
      </c>
      <c r="K99" s="9" t="s">
        <v>26</v>
      </c>
      <c r="L99" s="9" t="s">
        <v>218</v>
      </c>
      <c r="M99" s="9">
        <v>5812</v>
      </c>
      <c r="N99" s="9" t="s">
        <v>218</v>
      </c>
      <c r="O99" s="9" t="s">
        <v>3937</v>
      </c>
      <c r="P99" s="9" t="s">
        <v>1409</v>
      </c>
      <c r="Q99" s="9" t="s">
        <v>1410</v>
      </c>
    </row>
    <row r="100" spans="1:17" ht="15" customHeight="1">
      <c r="A100" s="8">
        <v>99</v>
      </c>
      <c r="B100" s="8" t="s">
        <v>3638</v>
      </c>
      <c r="C100" s="8" t="s">
        <v>3938</v>
      </c>
      <c r="D100" s="8" t="s">
        <v>3939</v>
      </c>
      <c r="E100" s="8" t="s">
        <v>21</v>
      </c>
      <c r="F100" s="8" t="s">
        <v>22</v>
      </c>
      <c r="G100" s="8">
        <v>343</v>
      </c>
      <c r="H100" s="8" t="s">
        <v>23</v>
      </c>
      <c r="I100" s="8" t="s">
        <v>593</v>
      </c>
      <c r="J100" s="8" t="s">
        <v>331</v>
      </c>
      <c r="K100" s="8" t="s">
        <v>26</v>
      </c>
      <c r="L100" s="8" t="s">
        <v>594</v>
      </c>
      <c r="M100" s="8">
        <v>6011</v>
      </c>
      <c r="N100" s="8" t="s">
        <v>594</v>
      </c>
      <c r="O100" s="8" t="s">
        <v>3940</v>
      </c>
      <c r="P100" s="8" t="s">
        <v>1409</v>
      </c>
      <c r="Q100" s="8" t="s">
        <v>1410</v>
      </c>
    </row>
    <row r="101" spans="1:17" ht="15" customHeight="1">
      <c r="A101" s="9">
        <v>100</v>
      </c>
      <c r="B101" s="9" t="s">
        <v>3638</v>
      </c>
      <c r="C101" s="9" t="s">
        <v>3941</v>
      </c>
      <c r="D101" s="9" t="s">
        <v>3942</v>
      </c>
      <c r="E101" s="9" t="s">
        <v>21</v>
      </c>
      <c r="F101" s="9" t="s">
        <v>22</v>
      </c>
      <c r="G101" s="9">
        <v>321</v>
      </c>
      <c r="H101" s="9" t="s">
        <v>23</v>
      </c>
      <c r="I101" s="9" t="s">
        <v>212</v>
      </c>
      <c r="J101" s="9" t="s">
        <v>25</v>
      </c>
      <c r="K101" s="9" t="s">
        <v>26</v>
      </c>
      <c r="L101" s="9" t="s">
        <v>213</v>
      </c>
      <c r="M101" s="9">
        <v>5999</v>
      </c>
      <c r="N101" s="9" t="s">
        <v>213</v>
      </c>
      <c r="O101" s="9" t="s">
        <v>3943</v>
      </c>
      <c r="P101" s="9" t="s">
        <v>1409</v>
      </c>
      <c r="Q101" s="9" t="s">
        <v>1410</v>
      </c>
    </row>
    <row r="102" spans="1:17" ht="15" customHeight="1">
      <c r="A102" s="8">
        <v>101</v>
      </c>
      <c r="B102" s="8" t="s">
        <v>3638</v>
      </c>
      <c r="C102" s="8" t="s">
        <v>3944</v>
      </c>
      <c r="D102" s="8" t="s">
        <v>3945</v>
      </c>
      <c r="E102" s="8" t="s">
        <v>21</v>
      </c>
      <c r="F102" s="8" t="s">
        <v>22</v>
      </c>
      <c r="G102" s="8">
        <v>514</v>
      </c>
      <c r="H102" s="8" t="s">
        <v>23</v>
      </c>
      <c r="I102" s="8" t="s">
        <v>123</v>
      </c>
      <c r="J102" s="8" t="s">
        <v>41</v>
      </c>
      <c r="K102" s="8" t="s">
        <v>26</v>
      </c>
      <c r="L102" s="8" t="s">
        <v>124</v>
      </c>
      <c r="M102" s="8">
        <v>5541</v>
      </c>
      <c r="N102" s="8" t="s">
        <v>124</v>
      </c>
      <c r="O102" s="8" t="s">
        <v>3946</v>
      </c>
      <c r="P102" s="8" t="s">
        <v>1409</v>
      </c>
      <c r="Q102" s="8" t="s">
        <v>1410</v>
      </c>
    </row>
    <row r="103" spans="1:17" ht="15" customHeight="1">
      <c r="A103" s="9">
        <v>102</v>
      </c>
      <c r="B103" s="9" t="s">
        <v>3638</v>
      </c>
      <c r="C103" s="9" t="s">
        <v>3947</v>
      </c>
      <c r="D103" s="9" t="s">
        <v>3948</v>
      </c>
      <c r="E103" s="9" t="s">
        <v>21</v>
      </c>
      <c r="F103" s="9" t="s">
        <v>22</v>
      </c>
      <c r="G103" s="9">
        <v>321</v>
      </c>
      <c r="H103" s="9" t="s">
        <v>23</v>
      </c>
      <c r="I103" s="9" t="s">
        <v>127</v>
      </c>
      <c r="J103" s="9" t="s">
        <v>25</v>
      </c>
      <c r="K103" s="9" t="s">
        <v>26</v>
      </c>
      <c r="L103" s="9" t="s">
        <v>128</v>
      </c>
      <c r="M103" s="9">
        <v>5999</v>
      </c>
      <c r="N103" s="9" t="s">
        <v>128</v>
      </c>
      <c r="O103" s="9" t="s">
        <v>3949</v>
      </c>
      <c r="P103" s="9" t="s">
        <v>1409</v>
      </c>
      <c r="Q103" s="9" t="s">
        <v>1410</v>
      </c>
    </row>
    <row r="104" spans="1:17" ht="15" customHeight="1">
      <c r="A104" s="8">
        <v>103</v>
      </c>
      <c r="B104" s="8" t="s">
        <v>3638</v>
      </c>
      <c r="C104" s="8" t="s">
        <v>3950</v>
      </c>
      <c r="D104" s="8" t="s">
        <v>3951</v>
      </c>
      <c r="E104" s="8" t="s">
        <v>21</v>
      </c>
      <c r="F104" s="8" t="s">
        <v>22</v>
      </c>
      <c r="G104" s="8">
        <v>371</v>
      </c>
      <c r="H104" s="8" t="s">
        <v>23</v>
      </c>
      <c r="I104" s="8" t="s">
        <v>86</v>
      </c>
      <c r="J104" s="8" t="s">
        <v>36</v>
      </c>
      <c r="K104" s="8" t="s">
        <v>26</v>
      </c>
      <c r="L104" s="8" t="s">
        <v>87</v>
      </c>
      <c r="M104" s="8">
        <v>4813</v>
      </c>
      <c r="N104" s="8" t="s">
        <v>87</v>
      </c>
      <c r="O104" s="8" t="s">
        <v>3952</v>
      </c>
      <c r="P104" s="8" t="s">
        <v>1409</v>
      </c>
      <c r="Q104" s="8" t="s">
        <v>1410</v>
      </c>
    </row>
    <row r="105" spans="1:17" ht="15" customHeight="1">
      <c r="A105" s="9">
        <v>104</v>
      </c>
      <c r="B105" s="9" t="s">
        <v>3638</v>
      </c>
      <c r="C105" s="9" t="s">
        <v>3953</v>
      </c>
      <c r="D105" s="9" t="s">
        <v>3954</v>
      </c>
      <c r="E105" s="9" t="s">
        <v>21</v>
      </c>
      <c r="F105" s="9" t="s">
        <v>22</v>
      </c>
      <c r="G105" s="9">
        <v>607</v>
      </c>
      <c r="H105" s="9" t="s">
        <v>23</v>
      </c>
      <c r="I105" s="9" t="s">
        <v>56</v>
      </c>
      <c r="J105" s="9" t="s">
        <v>41</v>
      </c>
      <c r="K105" s="9" t="s">
        <v>26</v>
      </c>
      <c r="L105" s="9" t="s">
        <v>57</v>
      </c>
      <c r="M105" s="9">
        <v>5999</v>
      </c>
      <c r="N105" s="9" t="s">
        <v>57</v>
      </c>
      <c r="O105" s="9" t="s">
        <v>3955</v>
      </c>
      <c r="P105" s="9" t="s">
        <v>1409</v>
      </c>
      <c r="Q105" s="9" t="s">
        <v>1410</v>
      </c>
    </row>
    <row r="106" spans="1:17" ht="15" customHeight="1">
      <c r="A106" s="8">
        <v>105</v>
      </c>
      <c r="B106" s="8" t="s">
        <v>3638</v>
      </c>
      <c r="C106" s="8" t="s">
        <v>3956</v>
      </c>
      <c r="D106" s="8" t="s">
        <v>3957</v>
      </c>
      <c r="E106" s="8" t="s">
        <v>21</v>
      </c>
      <c r="F106" s="8" t="s">
        <v>22</v>
      </c>
      <c r="G106" s="8">
        <v>610</v>
      </c>
      <c r="H106" s="8" t="s">
        <v>23</v>
      </c>
      <c r="I106" s="8" t="s">
        <v>198</v>
      </c>
      <c r="J106" s="8" t="s">
        <v>36</v>
      </c>
      <c r="K106" s="8" t="s">
        <v>26</v>
      </c>
      <c r="L106" s="8" t="s">
        <v>199</v>
      </c>
      <c r="M106" s="8">
        <v>4900</v>
      </c>
      <c r="N106" s="8" t="s">
        <v>199</v>
      </c>
      <c r="O106" s="8" t="s">
        <v>3958</v>
      </c>
      <c r="P106" s="8" t="s">
        <v>1409</v>
      </c>
      <c r="Q106" s="8" t="s">
        <v>1410</v>
      </c>
    </row>
    <row r="107" spans="1:17" ht="15" customHeight="1">
      <c r="A107" s="9">
        <v>106</v>
      </c>
      <c r="B107" s="9" t="s">
        <v>3638</v>
      </c>
      <c r="C107" s="9" t="s">
        <v>3959</v>
      </c>
      <c r="D107" s="9" t="s">
        <v>3960</v>
      </c>
      <c r="E107" s="9" t="s">
        <v>94</v>
      </c>
      <c r="F107" s="9" t="s">
        <v>22</v>
      </c>
      <c r="G107" s="9">
        <v>7300</v>
      </c>
      <c r="H107" s="9" t="s">
        <v>23</v>
      </c>
      <c r="I107" s="9" t="s">
        <v>3683</v>
      </c>
      <c r="J107" s="9" t="s">
        <v>96</v>
      </c>
      <c r="K107" s="9" t="s">
        <v>97</v>
      </c>
      <c r="L107" s="9" t="s">
        <v>3684</v>
      </c>
      <c r="M107" s="9"/>
      <c r="N107" s="9" t="s">
        <v>3684</v>
      </c>
      <c r="O107" s="9" t="s">
        <v>3961</v>
      </c>
      <c r="P107" s="9" t="s">
        <v>1409</v>
      </c>
      <c r="Q107" s="9" t="s">
        <v>1410</v>
      </c>
    </row>
    <row r="108" spans="1:17" ht="15" customHeight="1">
      <c r="A108" s="8">
        <v>107</v>
      </c>
      <c r="B108" s="8" t="s">
        <v>3638</v>
      </c>
      <c r="C108" s="8" t="s">
        <v>3962</v>
      </c>
      <c r="D108" s="8" t="s">
        <v>3963</v>
      </c>
      <c r="E108" s="8" t="s">
        <v>21</v>
      </c>
      <c r="F108" s="8" t="s">
        <v>22</v>
      </c>
      <c r="G108" s="8">
        <v>1070</v>
      </c>
      <c r="H108" s="8" t="s">
        <v>23</v>
      </c>
      <c r="I108" s="8" t="s">
        <v>363</v>
      </c>
      <c r="J108" s="8" t="s">
        <v>41</v>
      </c>
      <c r="K108" s="8" t="s">
        <v>26</v>
      </c>
      <c r="L108" s="8" t="s">
        <v>364</v>
      </c>
      <c r="M108" s="8">
        <v>5999</v>
      </c>
      <c r="N108" s="8" t="s">
        <v>364</v>
      </c>
      <c r="O108" s="8" t="s">
        <v>3964</v>
      </c>
      <c r="P108" s="8" t="s">
        <v>1409</v>
      </c>
      <c r="Q108" s="8" t="s">
        <v>1410</v>
      </c>
    </row>
    <row r="109" spans="1:17" ht="15" customHeight="1">
      <c r="A109" s="9">
        <v>108</v>
      </c>
      <c r="B109" s="9" t="s">
        <v>3638</v>
      </c>
      <c r="C109" s="9" t="s">
        <v>3965</v>
      </c>
      <c r="D109" s="9" t="s">
        <v>3966</v>
      </c>
      <c r="E109" s="9" t="s">
        <v>21</v>
      </c>
      <c r="F109" s="9" t="s">
        <v>22</v>
      </c>
      <c r="G109" s="9">
        <v>679</v>
      </c>
      <c r="H109" s="9" t="s">
        <v>23</v>
      </c>
      <c r="I109" s="9" t="s">
        <v>180</v>
      </c>
      <c r="J109" s="9" t="s">
        <v>41</v>
      </c>
      <c r="K109" s="9" t="s">
        <v>26</v>
      </c>
      <c r="L109" s="9" t="s">
        <v>181</v>
      </c>
      <c r="M109" s="9">
        <v>5411</v>
      </c>
      <c r="N109" s="9" t="s">
        <v>181</v>
      </c>
      <c r="O109" s="9" t="s">
        <v>3967</v>
      </c>
      <c r="P109" s="9" t="s">
        <v>1409</v>
      </c>
      <c r="Q109" s="9" t="s">
        <v>1410</v>
      </c>
    </row>
    <row r="110" spans="1:17" ht="15" customHeight="1">
      <c r="A110" s="8">
        <v>109</v>
      </c>
      <c r="B110" s="8" t="s">
        <v>3638</v>
      </c>
      <c r="C110" s="8" t="s">
        <v>3968</v>
      </c>
      <c r="D110" s="8" t="s">
        <v>3969</v>
      </c>
      <c r="E110" s="8" t="s">
        <v>21</v>
      </c>
      <c r="F110" s="8" t="s">
        <v>22</v>
      </c>
      <c r="G110" s="8">
        <v>679</v>
      </c>
      <c r="H110" s="8" t="s">
        <v>23</v>
      </c>
      <c r="I110" s="8" t="s">
        <v>102</v>
      </c>
      <c r="J110" s="8" t="s">
        <v>41</v>
      </c>
      <c r="K110" s="8" t="s">
        <v>26</v>
      </c>
      <c r="L110" s="8" t="s">
        <v>103</v>
      </c>
      <c r="M110" s="8">
        <v>5411</v>
      </c>
      <c r="N110" s="8" t="s">
        <v>103</v>
      </c>
      <c r="O110" s="8" t="s">
        <v>3970</v>
      </c>
      <c r="P110" s="8" t="s">
        <v>1409</v>
      </c>
      <c r="Q110" s="8" t="s">
        <v>1410</v>
      </c>
    </row>
    <row r="111" spans="1:17" ht="15" customHeight="1">
      <c r="A111" s="9">
        <v>110</v>
      </c>
      <c r="B111" s="9" t="s">
        <v>3638</v>
      </c>
      <c r="C111" s="9" t="s">
        <v>3971</v>
      </c>
      <c r="D111" s="9" t="s">
        <v>3972</v>
      </c>
      <c r="E111" s="9" t="s">
        <v>21</v>
      </c>
      <c r="F111" s="9" t="s">
        <v>22</v>
      </c>
      <c r="G111" s="9">
        <v>948</v>
      </c>
      <c r="H111" s="9" t="s">
        <v>23</v>
      </c>
      <c r="I111" s="9" t="s">
        <v>363</v>
      </c>
      <c r="J111" s="9" t="s">
        <v>41</v>
      </c>
      <c r="K111" s="9" t="s">
        <v>26</v>
      </c>
      <c r="L111" s="9" t="s">
        <v>364</v>
      </c>
      <c r="M111" s="9">
        <v>5999</v>
      </c>
      <c r="N111" s="9" t="s">
        <v>364</v>
      </c>
      <c r="O111" s="9" t="s">
        <v>3973</v>
      </c>
      <c r="P111" s="9" t="s">
        <v>1409</v>
      </c>
      <c r="Q111" s="9" t="s">
        <v>1410</v>
      </c>
    </row>
    <row r="112" spans="1:17" ht="15" customHeight="1">
      <c r="A112" s="8">
        <v>111</v>
      </c>
      <c r="B112" s="8" t="s">
        <v>3638</v>
      </c>
      <c r="C112" s="8" t="s">
        <v>3974</v>
      </c>
      <c r="D112" s="8" t="s">
        <v>3975</v>
      </c>
      <c r="E112" s="8" t="s">
        <v>21</v>
      </c>
      <c r="F112" s="8" t="s">
        <v>22</v>
      </c>
      <c r="G112" s="8">
        <v>2000</v>
      </c>
      <c r="H112" s="8" t="s">
        <v>23</v>
      </c>
      <c r="I112" s="8" t="s">
        <v>3648</v>
      </c>
      <c r="J112" s="8" t="s">
        <v>36</v>
      </c>
      <c r="K112" s="8" t="s">
        <v>26</v>
      </c>
      <c r="L112" s="8" t="s">
        <v>3649</v>
      </c>
      <c r="M112" s="8">
        <v>6012</v>
      </c>
      <c r="N112" s="8" t="s">
        <v>3649</v>
      </c>
      <c r="O112" s="8" t="s">
        <v>3976</v>
      </c>
      <c r="P112" s="8" t="s">
        <v>1409</v>
      </c>
      <c r="Q112" s="8" t="s">
        <v>1410</v>
      </c>
    </row>
    <row r="113" spans="1:17" ht="15" customHeight="1">
      <c r="A113" s="9">
        <v>112</v>
      </c>
      <c r="B113" s="9" t="s">
        <v>3638</v>
      </c>
      <c r="C113" s="9" t="s">
        <v>3977</v>
      </c>
      <c r="D113" s="9" t="s">
        <v>3978</v>
      </c>
      <c r="E113" s="9" t="s">
        <v>21</v>
      </c>
      <c r="F113" s="9" t="s">
        <v>22</v>
      </c>
      <c r="G113" s="9">
        <v>382</v>
      </c>
      <c r="H113" s="9" t="s">
        <v>23</v>
      </c>
      <c r="I113" s="9" t="s">
        <v>330</v>
      </c>
      <c r="J113" s="9" t="s">
        <v>331</v>
      </c>
      <c r="K113" s="9" t="s">
        <v>26</v>
      </c>
      <c r="L113" s="9" t="s">
        <v>332</v>
      </c>
      <c r="M113" s="9">
        <v>6011</v>
      </c>
      <c r="N113" s="9" t="s">
        <v>332</v>
      </c>
      <c r="O113" s="9" t="s">
        <v>3979</v>
      </c>
      <c r="P113" s="9" t="s">
        <v>1409</v>
      </c>
      <c r="Q113" s="9" t="s">
        <v>1410</v>
      </c>
    </row>
    <row r="114" spans="1:17" ht="15" customHeight="1">
      <c r="A114" s="8">
        <v>113</v>
      </c>
      <c r="B114" s="8" t="s">
        <v>3638</v>
      </c>
      <c r="C114" s="8" t="s">
        <v>3980</v>
      </c>
      <c r="D114" s="8" t="s">
        <v>3981</v>
      </c>
      <c r="E114" s="8" t="s">
        <v>21</v>
      </c>
      <c r="F114" s="8" t="s">
        <v>22</v>
      </c>
      <c r="G114" s="8">
        <v>399</v>
      </c>
      <c r="H114" s="8" t="s">
        <v>23</v>
      </c>
      <c r="I114" s="8" t="s">
        <v>174</v>
      </c>
      <c r="J114" s="8" t="s">
        <v>36</v>
      </c>
      <c r="K114" s="8" t="s">
        <v>26</v>
      </c>
      <c r="L114" s="8" t="s">
        <v>175</v>
      </c>
      <c r="M114" s="8">
        <v>4813</v>
      </c>
      <c r="N114" s="8" t="s">
        <v>175</v>
      </c>
      <c r="O114" s="8" t="s">
        <v>3982</v>
      </c>
      <c r="P114" s="8" t="s">
        <v>1409</v>
      </c>
      <c r="Q114" s="8" t="s">
        <v>1410</v>
      </c>
    </row>
    <row r="115" spans="1:17" ht="15" customHeight="1">
      <c r="A115" s="9">
        <v>114</v>
      </c>
      <c r="B115" s="9" t="s">
        <v>3638</v>
      </c>
      <c r="C115" s="9" t="s">
        <v>3983</v>
      </c>
      <c r="D115" s="9" t="s">
        <v>3984</v>
      </c>
      <c r="E115" s="9" t="s">
        <v>21</v>
      </c>
      <c r="F115" s="9" t="s">
        <v>22</v>
      </c>
      <c r="G115" s="9">
        <v>262</v>
      </c>
      <c r="H115" s="9" t="s">
        <v>23</v>
      </c>
      <c r="I115" s="9" t="s">
        <v>574</v>
      </c>
      <c r="J115" s="9" t="s">
        <v>41</v>
      </c>
      <c r="K115" s="9" t="s">
        <v>26</v>
      </c>
      <c r="L115" s="9" t="s">
        <v>575</v>
      </c>
      <c r="M115" s="9">
        <v>5812</v>
      </c>
      <c r="N115" s="9" t="s">
        <v>575</v>
      </c>
      <c r="O115" s="9" t="s">
        <v>3985</v>
      </c>
      <c r="P115" s="9" t="s">
        <v>1409</v>
      </c>
      <c r="Q115" s="9" t="s">
        <v>1410</v>
      </c>
    </row>
    <row r="116" spans="1:17" ht="15" customHeight="1">
      <c r="A116" s="8">
        <v>115</v>
      </c>
      <c r="B116" s="8" t="s">
        <v>3638</v>
      </c>
      <c r="C116" s="8" t="s">
        <v>3986</v>
      </c>
      <c r="D116" s="8" t="s">
        <v>3987</v>
      </c>
      <c r="E116" s="8" t="s">
        <v>21</v>
      </c>
      <c r="F116" s="8" t="s">
        <v>22</v>
      </c>
      <c r="G116" s="8">
        <v>261</v>
      </c>
      <c r="H116" s="8" t="s">
        <v>23</v>
      </c>
      <c r="I116" s="8" t="s">
        <v>217</v>
      </c>
      <c r="J116" s="8" t="s">
        <v>41</v>
      </c>
      <c r="K116" s="8" t="s">
        <v>26</v>
      </c>
      <c r="L116" s="8" t="s">
        <v>218</v>
      </c>
      <c r="M116" s="8">
        <v>5812</v>
      </c>
      <c r="N116" s="8" t="s">
        <v>218</v>
      </c>
      <c r="O116" s="8" t="s">
        <v>3988</v>
      </c>
      <c r="P116" s="8" t="s">
        <v>1409</v>
      </c>
      <c r="Q116" s="8" t="s">
        <v>1410</v>
      </c>
    </row>
    <row r="117" spans="1:17" ht="15" customHeight="1">
      <c r="A117" s="9">
        <v>116</v>
      </c>
      <c r="B117" s="9" t="s">
        <v>3638</v>
      </c>
      <c r="C117" s="9" t="s">
        <v>3989</v>
      </c>
      <c r="D117" s="9" t="s">
        <v>3990</v>
      </c>
      <c r="E117" s="9" t="s">
        <v>21</v>
      </c>
      <c r="F117" s="9" t="s">
        <v>22</v>
      </c>
      <c r="G117" s="9">
        <v>382</v>
      </c>
      <c r="H117" s="9" t="s">
        <v>23</v>
      </c>
      <c r="I117" s="9" t="s">
        <v>61</v>
      </c>
      <c r="J117" s="9" t="s">
        <v>25</v>
      </c>
      <c r="K117" s="9" t="s">
        <v>26</v>
      </c>
      <c r="L117" s="9" t="s">
        <v>62</v>
      </c>
      <c r="M117" s="9">
        <v>5999</v>
      </c>
      <c r="N117" s="9" t="s">
        <v>62</v>
      </c>
      <c r="O117" s="9" t="s">
        <v>3991</v>
      </c>
      <c r="P117" s="9" t="s">
        <v>1409</v>
      </c>
      <c r="Q117" s="9" t="s">
        <v>1410</v>
      </c>
    </row>
    <row r="118" spans="1:17" ht="15" customHeight="1">
      <c r="A118" s="8">
        <v>117</v>
      </c>
      <c r="B118" s="8" t="s">
        <v>3638</v>
      </c>
      <c r="C118" s="8" t="s">
        <v>3992</v>
      </c>
      <c r="D118" s="8" t="s">
        <v>3993</v>
      </c>
      <c r="E118" s="8" t="s">
        <v>21</v>
      </c>
      <c r="F118" s="8" t="s">
        <v>22</v>
      </c>
      <c r="G118" s="8">
        <v>301</v>
      </c>
      <c r="H118" s="8" t="s">
        <v>23</v>
      </c>
      <c r="I118" s="8" t="s">
        <v>46</v>
      </c>
      <c r="J118" s="8" t="s">
        <v>41</v>
      </c>
      <c r="K118" s="8" t="s">
        <v>26</v>
      </c>
      <c r="L118" s="8" t="s">
        <v>47</v>
      </c>
      <c r="M118" s="8">
        <v>8011</v>
      </c>
      <c r="N118" s="8" t="s">
        <v>47</v>
      </c>
      <c r="O118" s="8" t="s">
        <v>3994</v>
      </c>
      <c r="P118" s="8" t="s">
        <v>1409</v>
      </c>
      <c r="Q118" s="8" t="s">
        <v>1410</v>
      </c>
    </row>
    <row r="119" spans="1:17" ht="15" customHeight="1">
      <c r="A119" s="9">
        <v>118</v>
      </c>
      <c r="B119" s="9" t="s">
        <v>3638</v>
      </c>
      <c r="C119" s="9" t="s">
        <v>3995</v>
      </c>
      <c r="D119" s="9" t="s">
        <v>3996</v>
      </c>
      <c r="E119" s="9" t="s">
        <v>21</v>
      </c>
      <c r="F119" s="9" t="s">
        <v>22</v>
      </c>
      <c r="G119" s="9">
        <v>531</v>
      </c>
      <c r="H119" s="9" t="s">
        <v>23</v>
      </c>
      <c r="I119" s="9" t="s">
        <v>111</v>
      </c>
      <c r="J119" s="9" t="s">
        <v>41</v>
      </c>
      <c r="K119" s="9" t="s">
        <v>26</v>
      </c>
      <c r="L119" s="9" t="s">
        <v>112</v>
      </c>
      <c r="M119" s="9">
        <v>5541</v>
      </c>
      <c r="N119" s="9" t="s">
        <v>112</v>
      </c>
      <c r="O119" s="9" t="s">
        <v>3997</v>
      </c>
      <c r="P119" s="9" t="s">
        <v>1409</v>
      </c>
      <c r="Q119" s="9" t="s">
        <v>1410</v>
      </c>
    </row>
    <row r="120" spans="1:17" ht="15" customHeight="1">
      <c r="A120" s="8">
        <v>119</v>
      </c>
      <c r="B120" s="8" t="s">
        <v>3638</v>
      </c>
      <c r="C120" s="8" t="s">
        <v>3998</v>
      </c>
      <c r="D120" s="8" t="s">
        <v>3999</v>
      </c>
      <c r="E120" s="8" t="s">
        <v>21</v>
      </c>
      <c r="F120" s="8" t="s">
        <v>22</v>
      </c>
      <c r="G120" s="8">
        <v>382</v>
      </c>
      <c r="H120" s="8" t="s">
        <v>23</v>
      </c>
      <c r="I120" s="8" t="s">
        <v>212</v>
      </c>
      <c r="J120" s="8" t="s">
        <v>25</v>
      </c>
      <c r="K120" s="8" t="s">
        <v>26</v>
      </c>
      <c r="L120" s="8" t="s">
        <v>213</v>
      </c>
      <c r="M120" s="8">
        <v>5999</v>
      </c>
      <c r="N120" s="8" t="s">
        <v>213</v>
      </c>
      <c r="O120" s="8" t="s">
        <v>4000</v>
      </c>
      <c r="P120" s="8" t="s">
        <v>1409</v>
      </c>
      <c r="Q120" s="8" t="s">
        <v>1410</v>
      </c>
    </row>
    <row r="121" spans="1:17" ht="15" customHeight="1">
      <c r="A121" s="9">
        <v>120</v>
      </c>
      <c r="B121" s="9" t="s">
        <v>3638</v>
      </c>
      <c r="C121" s="9" t="s">
        <v>4001</v>
      </c>
      <c r="D121" s="9" t="s">
        <v>4002</v>
      </c>
      <c r="E121" s="9" t="s">
        <v>21</v>
      </c>
      <c r="F121" s="9" t="s">
        <v>22</v>
      </c>
      <c r="G121" s="9">
        <v>843</v>
      </c>
      <c r="H121" s="9" t="s">
        <v>23</v>
      </c>
      <c r="I121" s="9" t="s">
        <v>102</v>
      </c>
      <c r="J121" s="9" t="s">
        <v>41</v>
      </c>
      <c r="K121" s="9" t="s">
        <v>26</v>
      </c>
      <c r="L121" s="9" t="s">
        <v>103</v>
      </c>
      <c r="M121" s="9">
        <v>5411</v>
      </c>
      <c r="N121" s="9" t="s">
        <v>103</v>
      </c>
      <c r="O121" s="9" t="s">
        <v>4003</v>
      </c>
      <c r="P121" s="9" t="s">
        <v>1409</v>
      </c>
      <c r="Q121" s="9" t="s">
        <v>1410</v>
      </c>
    </row>
    <row r="122" spans="1:17" ht="15" customHeight="1">
      <c r="A122" s="8">
        <v>121</v>
      </c>
      <c r="B122" s="8" t="s">
        <v>3638</v>
      </c>
      <c r="C122" s="8" t="s">
        <v>4004</v>
      </c>
      <c r="D122" s="8" t="s">
        <v>4005</v>
      </c>
      <c r="E122" s="8" t="s">
        <v>21</v>
      </c>
      <c r="F122" s="8" t="s">
        <v>22</v>
      </c>
      <c r="G122" s="8">
        <v>842</v>
      </c>
      <c r="H122" s="8" t="s">
        <v>23</v>
      </c>
      <c r="I122" s="8" t="s">
        <v>180</v>
      </c>
      <c r="J122" s="8" t="s">
        <v>41</v>
      </c>
      <c r="K122" s="8" t="s">
        <v>26</v>
      </c>
      <c r="L122" s="8" t="s">
        <v>181</v>
      </c>
      <c r="M122" s="8">
        <v>5411</v>
      </c>
      <c r="N122" s="8" t="s">
        <v>181</v>
      </c>
      <c r="O122" s="8" t="s">
        <v>4006</v>
      </c>
      <c r="P122" s="8" t="s">
        <v>1409</v>
      </c>
      <c r="Q122" s="8" t="s">
        <v>1410</v>
      </c>
    </row>
    <row r="123" spans="1:17" ht="15" customHeight="1">
      <c r="A123" s="9">
        <v>122</v>
      </c>
      <c r="B123" s="9" t="s">
        <v>3638</v>
      </c>
      <c r="C123" s="9" t="s">
        <v>4007</v>
      </c>
      <c r="D123" s="9" t="s">
        <v>4008</v>
      </c>
      <c r="E123" s="9" t="s">
        <v>94</v>
      </c>
      <c r="F123" s="9" t="s">
        <v>22</v>
      </c>
      <c r="G123" s="9">
        <v>7200</v>
      </c>
      <c r="H123" s="9" t="s">
        <v>23</v>
      </c>
      <c r="I123" s="9" t="s">
        <v>3683</v>
      </c>
      <c r="J123" s="9" t="s">
        <v>96</v>
      </c>
      <c r="K123" s="9" t="s">
        <v>97</v>
      </c>
      <c r="L123" s="9" t="s">
        <v>3684</v>
      </c>
      <c r="M123" s="9"/>
      <c r="N123" s="9" t="s">
        <v>3684</v>
      </c>
      <c r="O123" s="9" t="s">
        <v>4009</v>
      </c>
      <c r="P123" s="9" t="s">
        <v>1409</v>
      </c>
      <c r="Q123" s="9" t="s">
        <v>1410</v>
      </c>
    </row>
    <row r="124" spans="1:17" ht="15" customHeight="1">
      <c r="A124" s="8">
        <v>123</v>
      </c>
      <c r="B124" s="8" t="s">
        <v>3638</v>
      </c>
      <c r="C124" s="8" t="s">
        <v>4010</v>
      </c>
      <c r="D124" s="8" t="s">
        <v>4011</v>
      </c>
      <c r="E124" s="8" t="s">
        <v>21</v>
      </c>
      <c r="F124" s="8" t="s">
        <v>22</v>
      </c>
      <c r="G124" s="8">
        <v>587</v>
      </c>
      <c r="H124" s="8" t="s">
        <v>23</v>
      </c>
      <c r="I124" s="8" t="s">
        <v>90</v>
      </c>
      <c r="J124" s="8" t="s">
        <v>36</v>
      </c>
      <c r="K124" s="8" t="s">
        <v>26</v>
      </c>
      <c r="L124" s="8" t="s">
        <v>91</v>
      </c>
      <c r="M124" s="8">
        <v>4900</v>
      </c>
      <c r="N124" s="8" t="s">
        <v>91</v>
      </c>
      <c r="O124" s="8" t="s">
        <v>4012</v>
      </c>
      <c r="P124" s="8" t="s">
        <v>1409</v>
      </c>
      <c r="Q124" s="8" t="s">
        <v>1410</v>
      </c>
    </row>
  </sheetData>
  <autoFilter ref="A1:Q124" xr:uid="{00000000-0001-0000-0700-000000000000}"/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39" style="5" customWidth="1"/>
    <col min="13" max="13" width="22" style="5" customWidth="1"/>
    <col min="14" max="14" width="39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4013</v>
      </c>
      <c r="T1" s="4"/>
      <c r="U1" s="4"/>
      <c r="V1" s="4"/>
      <c r="W1" s="4"/>
    </row>
    <row r="2" spans="1:23" ht="13.5" customHeight="1">
      <c r="A2" s="8">
        <v>1</v>
      </c>
      <c r="B2" s="8" t="s">
        <v>4014</v>
      </c>
      <c r="C2" s="8" t="s">
        <v>4015</v>
      </c>
      <c r="D2" s="8" t="s">
        <v>4016</v>
      </c>
      <c r="E2" s="8" t="s">
        <v>21</v>
      </c>
      <c r="F2" s="8" t="s">
        <v>22</v>
      </c>
      <c r="G2" s="8">
        <v>2000</v>
      </c>
      <c r="H2" s="8" t="s">
        <v>23</v>
      </c>
      <c r="I2" s="8" t="s">
        <v>4017</v>
      </c>
      <c r="J2" s="8" t="s">
        <v>36</v>
      </c>
      <c r="K2" s="8" t="s">
        <v>26</v>
      </c>
      <c r="L2" s="8" t="s">
        <v>4018</v>
      </c>
      <c r="M2" s="8">
        <v>6012</v>
      </c>
      <c r="N2" s="8" t="s">
        <v>4018</v>
      </c>
      <c r="O2" s="8" t="s">
        <v>4019</v>
      </c>
      <c r="P2" s="8" t="s">
        <v>4020</v>
      </c>
      <c r="Q2" s="8" t="s">
        <v>4021</v>
      </c>
      <c r="R2" s="7"/>
      <c r="S2" s="3" t="s">
        <v>4022</v>
      </c>
      <c r="T2" s="3"/>
      <c r="U2" s="3"/>
      <c r="V2" s="3"/>
      <c r="W2" s="3"/>
    </row>
    <row r="3" spans="1:23" ht="3.75" customHeight="1">
      <c r="A3" s="9">
        <v>2</v>
      </c>
      <c r="B3" s="9" t="s">
        <v>4014</v>
      </c>
      <c r="C3" s="9" t="s">
        <v>4023</v>
      </c>
      <c r="D3" s="9" t="s">
        <v>4024</v>
      </c>
      <c r="E3" s="9" t="s">
        <v>21</v>
      </c>
      <c r="F3" s="9" t="s">
        <v>22</v>
      </c>
      <c r="G3" s="9">
        <v>471</v>
      </c>
      <c r="H3" s="9" t="s">
        <v>23</v>
      </c>
      <c r="I3" s="9" t="s">
        <v>131</v>
      </c>
      <c r="J3" s="9" t="s">
        <v>41</v>
      </c>
      <c r="K3" s="9" t="s">
        <v>26</v>
      </c>
      <c r="L3" s="9" t="s">
        <v>132</v>
      </c>
      <c r="M3" s="9">
        <v>5411</v>
      </c>
      <c r="N3" s="9" t="s">
        <v>132</v>
      </c>
      <c r="O3" s="9" t="s">
        <v>4025</v>
      </c>
      <c r="P3" s="9" t="s">
        <v>4020</v>
      </c>
      <c r="Q3" s="9" t="s">
        <v>4021</v>
      </c>
      <c r="R3" s="7"/>
    </row>
    <row r="4" spans="1:23" ht="15" customHeight="1">
      <c r="A4" s="8">
        <v>3</v>
      </c>
      <c r="B4" s="8" t="s">
        <v>4014</v>
      </c>
      <c r="C4" s="8" t="s">
        <v>4026</v>
      </c>
      <c r="D4" s="8" t="s">
        <v>4027</v>
      </c>
      <c r="E4" s="8" t="s">
        <v>21</v>
      </c>
      <c r="F4" s="8" t="s">
        <v>22</v>
      </c>
      <c r="G4" s="8">
        <v>819</v>
      </c>
      <c r="H4" s="8" t="s">
        <v>23</v>
      </c>
      <c r="I4" s="8" t="s">
        <v>186</v>
      </c>
      <c r="J4" s="8" t="s">
        <v>41</v>
      </c>
      <c r="K4" s="8" t="s">
        <v>26</v>
      </c>
      <c r="L4" s="8" t="s">
        <v>187</v>
      </c>
      <c r="M4" s="8">
        <v>5999</v>
      </c>
      <c r="N4" s="8" t="s">
        <v>187</v>
      </c>
      <c r="O4" s="8" t="s">
        <v>4028</v>
      </c>
      <c r="P4" s="8" t="s">
        <v>4020</v>
      </c>
      <c r="Q4" s="8" t="s">
        <v>4021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4014</v>
      </c>
      <c r="C5" s="9" t="s">
        <v>4029</v>
      </c>
      <c r="D5" s="9" t="s">
        <v>4030</v>
      </c>
      <c r="E5" s="9" t="s">
        <v>21</v>
      </c>
      <c r="F5" s="9" t="s">
        <v>22</v>
      </c>
      <c r="G5" s="9">
        <v>458</v>
      </c>
      <c r="H5" s="9" t="s">
        <v>23</v>
      </c>
      <c r="I5" s="9" t="s">
        <v>198</v>
      </c>
      <c r="J5" s="9" t="s">
        <v>36</v>
      </c>
      <c r="K5" s="9" t="s">
        <v>26</v>
      </c>
      <c r="L5" s="9" t="s">
        <v>199</v>
      </c>
      <c r="M5" s="9">
        <v>4900</v>
      </c>
      <c r="N5" s="9" t="s">
        <v>199</v>
      </c>
      <c r="O5" s="9" t="s">
        <v>4031</v>
      </c>
      <c r="P5" s="9" t="s">
        <v>4020</v>
      </c>
      <c r="Q5" s="9" t="s">
        <v>4021</v>
      </c>
      <c r="R5" s="7"/>
      <c r="S5" s="10" t="s">
        <v>48</v>
      </c>
      <c r="T5" s="11">
        <v>31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4014</v>
      </c>
      <c r="C6" s="8" t="s">
        <v>4032</v>
      </c>
      <c r="D6" s="8" t="s">
        <v>4033</v>
      </c>
      <c r="E6" s="8" t="s">
        <v>21</v>
      </c>
      <c r="F6" s="8" t="s">
        <v>22</v>
      </c>
      <c r="G6" s="8">
        <v>470</v>
      </c>
      <c r="H6" s="8" t="s">
        <v>23</v>
      </c>
      <c r="I6" s="8" t="s">
        <v>244</v>
      </c>
      <c r="J6" s="8" t="s">
        <v>41</v>
      </c>
      <c r="K6" s="8" t="s">
        <v>26</v>
      </c>
      <c r="L6" s="8" t="s">
        <v>245</v>
      </c>
      <c r="M6" s="8">
        <v>5411</v>
      </c>
      <c r="N6" s="8" t="s">
        <v>245</v>
      </c>
      <c r="O6" s="8" t="s">
        <v>4034</v>
      </c>
      <c r="P6" s="8" t="s">
        <v>4020</v>
      </c>
      <c r="Q6" s="8" t="s">
        <v>4021</v>
      </c>
      <c r="R6" s="7"/>
    </row>
    <row r="7" spans="1:23" ht="15" customHeight="1">
      <c r="A7" s="9">
        <v>6</v>
      </c>
      <c r="B7" s="9" t="s">
        <v>4014</v>
      </c>
      <c r="C7" s="9" t="s">
        <v>4035</v>
      </c>
      <c r="D7" s="9" t="s">
        <v>4036</v>
      </c>
      <c r="E7" s="9" t="s">
        <v>21</v>
      </c>
      <c r="F7" s="9" t="s">
        <v>22</v>
      </c>
      <c r="G7" s="9">
        <v>388</v>
      </c>
      <c r="H7" s="9" t="s">
        <v>23</v>
      </c>
      <c r="I7" s="9" t="s">
        <v>174</v>
      </c>
      <c r="J7" s="9" t="s">
        <v>36</v>
      </c>
      <c r="K7" s="9" t="s">
        <v>26</v>
      </c>
      <c r="L7" s="9" t="s">
        <v>175</v>
      </c>
      <c r="M7" s="9">
        <v>4813</v>
      </c>
      <c r="N7" s="9" t="s">
        <v>175</v>
      </c>
      <c r="O7" s="9" t="s">
        <v>4037</v>
      </c>
      <c r="P7" s="9" t="s">
        <v>4020</v>
      </c>
      <c r="Q7" s="9" t="s">
        <v>4021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4014</v>
      </c>
      <c r="C8" s="8" t="s">
        <v>4038</v>
      </c>
      <c r="D8" s="8" t="s">
        <v>4039</v>
      </c>
      <c r="E8" s="8" t="s">
        <v>21</v>
      </c>
      <c r="F8" s="8" t="s">
        <v>22</v>
      </c>
      <c r="G8" s="8">
        <v>471</v>
      </c>
      <c r="H8" s="8" t="s">
        <v>23</v>
      </c>
      <c r="I8" s="8" t="s">
        <v>102</v>
      </c>
      <c r="J8" s="8" t="s">
        <v>41</v>
      </c>
      <c r="K8" s="8" t="s">
        <v>26</v>
      </c>
      <c r="L8" s="8" t="s">
        <v>103</v>
      </c>
      <c r="M8" s="8">
        <v>5411</v>
      </c>
      <c r="N8" s="8" t="s">
        <v>103</v>
      </c>
      <c r="O8" s="8" t="s">
        <v>4040</v>
      </c>
      <c r="P8" s="8" t="s">
        <v>4020</v>
      </c>
      <c r="Q8" s="8" t="s">
        <v>4021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4014</v>
      </c>
      <c r="C9" s="9" t="s">
        <v>4041</v>
      </c>
      <c r="D9" s="9" t="s">
        <v>4042</v>
      </c>
      <c r="E9" s="9" t="s">
        <v>21</v>
      </c>
      <c r="F9" s="9" t="s">
        <v>22</v>
      </c>
      <c r="G9" s="9">
        <v>444</v>
      </c>
      <c r="H9" s="9" t="s">
        <v>23</v>
      </c>
      <c r="I9" s="9" t="s">
        <v>866</v>
      </c>
      <c r="J9" s="9" t="s">
        <v>25</v>
      </c>
      <c r="K9" s="9" t="s">
        <v>26</v>
      </c>
      <c r="L9" s="9" t="s">
        <v>867</v>
      </c>
      <c r="M9" s="9">
        <v>5999</v>
      </c>
      <c r="N9" s="9" t="s">
        <v>867</v>
      </c>
      <c r="O9" s="9" t="s">
        <v>4043</v>
      </c>
      <c r="P9" s="9" t="s">
        <v>4020</v>
      </c>
      <c r="Q9" s="9" t="s">
        <v>4021</v>
      </c>
      <c r="R9" s="7"/>
      <c r="S9" s="15">
        <v>45748</v>
      </c>
      <c r="T9" s="16">
        <f t="shared" ref="T9:T17" si="0">IFERROR(SUMPRODUCT((LEFT($C$2:$C$96,7)=TEXT(S9,"YYYY-MM"))*($E$2:$E$96="KSAOB.Credit")*($K$2:$K$96="KSAOB.Deposit")*($G$2:$G$96)),0)</f>
        <v>4800</v>
      </c>
      <c r="U9" s="16">
        <f t="shared" ref="U9:U17" si="1">IFERROR(SUMPRODUCT((LEFT($C$2:$C$96,7)=TEXT(S9,"YYYY-MM"))*($E$2:$E$96="KSAOB.Debit")*($M$2:$M$96=6012)*($G$2:$G$96)),0)</f>
        <v>2000</v>
      </c>
      <c r="V9" s="16">
        <f t="shared" ref="V9:V17" si="2">IFERROR(SUMPRODUCT((LEFT($C$2:$C$96,7)=TEXT(S9,"YYYY-MM"))*($E$2:$E$96="KSAOB.Debit")*($M$2:$M$96&lt;&gt;6012)*($G$2:$G$96)),0)</f>
        <v>4416</v>
      </c>
      <c r="W9" s="17">
        <f t="shared" ref="W9:W17" si="3">T9-U9-V9</f>
        <v>-1616</v>
      </c>
    </row>
    <row r="10" spans="1:23" ht="15" customHeight="1">
      <c r="A10" s="8">
        <v>9</v>
      </c>
      <c r="B10" s="8" t="s">
        <v>4014</v>
      </c>
      <c r="C10" s="8" t="s">
        <v>4044</v>
      </c>
      <c r="D10" s="8" t="s">
        <v>4045</v>
      </c>
      <c r="E10" s="8" t="s">
        <v>21</v>
      </c>
      <c r="F10" s="8" t="s">
        <v>22</v>
      </c>
      <c r="G10" s="8">
        <v>377</v>
      </c>
      <c r="H10" s="8" t="s">
        <v>23</v>
      </c>
      <c r="I10" s="8" t="s">
        <v>52</v>
      </c>
      <c r="J10" s="8" t="s">
        <v>41</v>
      </c>
      <c r="K10" s="8" t="s">
        <v>26</v>
      </c>
      <c r="L10" s="8" t="s">
        <v>53</v>
      </c>
      <c r="M10" s="8">
        <v>5812</v>
      </c>
      <c r="N10" s="8" t="s">
        <v>53</v>
      </c>
      <c r="O10" s="8" t="s">
        <v>4046</v>
      </c>
      <c r="P10" s="8" t="s">
        <v>4020</v>
      </c>
      <c r="Q10" s="8" t="s">
        <v>4021</v>
      </c>
      <c r="R10" s="7"/>
      <c r="S10" s="18">
        <v>45778</v>
      </c>
      <c r="T10" s="19">
        <f t="shared" si="0"/>
        <v>4800</v>
      </c>
      <c r="U10" s="19">
        <f t="shared" si="1"/>
        <v>2000</v>
      </c>
      <c r="V10" s="19">
        <f t="shared" si="2"/>
        <v>4416</v>
      </c>
      <c r="W10" s="20">
        <f t="shared" si="3"/>
        <v>-1616</v>
      </c>
    </row>
    <row r="11" spans="1:23" ht="15" customHeight="1">
      <c r="A11" s="9">
        <v>10</v>
      </c>
      <c r="B11" s="9" t="s">
        <v>4014</v>
      </c>
      <c r="C11" s="9" t="s">
        <v>4047</v>
      </c>
      <c r="D11" s="9" t="s">
        <v>4048</v>
      </c>
      <c r="E11" s="9" t="s">
        <v>21</v>
      </c>
      <c r="F11" s="9" t="s">
        <v>22</v>
      </c>
      <c r="G11" s="9">
        <v>518</v>
      </c>
      <c r="H11" s="9" t="s">
        <v>23</v>
      </c>
      <c r="I11" s="9" t="s">
        <v>56</v>
      </c>
      <c r="J11" s="9" t="s">
        <v>41</v>
      </c>
      <c r="K11" s="9" t="s">
        <v>26</v>
      </c>
      <c r="L11" s="9" t="s">
        <v>57</v>
      </c>
      <c r="M11" s="9">
        <v>5999</v>
      </c>
      <c r="N11" s="9" t="s">
        <v>57</v>
      </c>
      <c r="O11" s="9" t="s">
        <v>4049</v>
      </c>
      <c r="P11" s="9" t="s">
        <v>4020</v>
      </c>
      <c r="Q11" s="9" t="s">
        <v>4021</v>
      </c>
      <c r="R11" s="7"/>
      <c r="S11" s="15">
        <v>45809</v>
      </c>
      <c r="T11" s="16">
        <f t="shared" si="0"/>
        <v>4800</v>
      </c>
      <c r="U11" s="16">
        <f t="shared" si="1"/>
        <v>2000</v>
      </c>
      <c r="V11" s="16">
        <f t="shared" si="2"/>
        <v>4416</v>
      </c>
      <c r="W11" s="17">
        <f t="shared" si="3"/>
        <v>-1616</v>
      </c>
    </row>
    <row r="12" spans="1:23" ht="15" customHeight="1">
      <c r="A12" s="8">
        <v>11</v>
      </c>
      <c r="B12" s="8" t="s">
        <v>4014</v>
      </c>
      <c r="C12" s="8" t="s">
        <v>4050</v>
      </c>
      <c r="D12" s="8" t="s">
        <v>4051</v>
      </c>
      <c r="E12" s="8" t="s">
        <v>94</v>
      </c>
      <c r="F12" s="8" t="s">
        <v>22</v>
      </c>
      <c r="G12" s="8">
        <v>4800</v>
      </c>
      <c r="H12" s="8" t="s">
        <v>23</v>
      </c>
      <c r="I12" s="8" t="s">
        <v>4052</v>
      </c>
      <c r="J12" s="8" t="s">
        <v>96</v>
      </c>
      <c r="K12" s="8" t="s">
        <v>97</v>
      </c>
      <c r="L12" s="8" t="s">
        <v>4053</v>
      </c>
      <c r="M12" s="8"/>
      <c r="N12" s="8" t="s">
        <v>4053</v>
      </c>
      <c r="O12" s="8" t="s">
        <v>4054</v>
      </c>
      <c r="P12" s="8" t="s">
        <v>4020</v>
      </c>
      <c r="Q12" s="8" t="s">
        <v>4021</v>
      </c>
      <c r="R12" s="7"/>
      <c r="S12" s="18">
        <v>45839</v>
      </c>
      <c r="T12" s="19">
        <f t="shared" si="0"/>
        <v>4800</v>
      </c>
      <c r="U12" s="19">
        <f t="shared" si="1"/>
        <v>2000</v>
      </c>
      <c r="V12" s="19">
        <f t="shared" si="2"/>
        <v>4416</v>
      </c>
      <c r="W12" s="20">
        <f t="shared" si="3"/>
        <v>-1616</v>
      </c>
    </row>
    <row r="13" spans="1:23" ht="15" customHeight="1">
      <c r="A13" s="9">
        <v>12</v>
      </c>
      <c r="B13" s="9" t="s">
        <v>4014</v>
      </c>
      <c r="C13" s="9" t="s">
        <v>4055</v>
      </c>
      <c r="D13" s="9" t="s">
        <v>4056</v>
      </c>
      <c r="E13" s="9" t="s">
        <v>21</v>
      </c>
      <c r="F13" s="9" t="s">
        <v>22</v>
      </c>
      <c r="G13" s="9">
        <v>2000</v>
      </c>
      <c r="H13" s="9" t="s">
        <v>23</v>
      </c>
      <c r="I13" s="9" t="s">
        <v>4017</v>
      </c>
      <c r="J13" s="9" t="s">
        <v>36</v>
      </c>
      <c r="K13" s="9" t="s">
        <v>26</v>
      </c>
      <c r="L13" s="9" t="s">
        <v>4018</v>
      </c>
      <c r="M13" s="9">
        <v>6012</v>
      </c>
      <c r="N13" s="9" t="s">
        <v>4018</v>
      </c>
      <c r="O13" s="9" t="s">
        <v>4057</v>
      </c>
      <c r="P13" s="9" t="s">
        <v>4020</v>
      </c>
      <c r="Q13" s="9" t="s">
        <v>4021</v>
      </c>
      <c r="R13" s="7"/>
      <c r="S13" s="15">
        <v>45870</v>
      </c>
      <c r="T13" s="16">
        <f t="shared" si="0"/>
        <v>4800</v>
      </c>
      <c r="U13" s="16">
        <f t="shared" si="1"/>
        <v>2000</v>
      </c>
      <c r="V13" s="16">
        <f t="shared" si="2"/>
        <v>4416</v>
      </c>
      <c r="W13" s="17">
        <f t="shared" si="3"/>
        <v>-1616</v>
      </c>
    </row>
    <row r="14" spans="1:23" ht="15" customHeight="1">
      <c r="A14" s="8">
        <v>13</v>
      </c>
      <c r="B14" s="8" t="s">
        <v>4014</v>
      </c>
      <c r="C14" s="8" t="s">
        <v>4058</v>
      </c>
      <c r="D14" s="8" t="s">
        <v>4059</v>
      </c>
      <c r="E14" s="8" t="s">
        <v>21</v>
      </c>
      <c r="F14" s="8" t="s">
        <v>22</v>
      </c>
      <c r="G14" s="8">
        <v>578</v>
      </c>
      <c r="H14" s="8" t="s">
        <v>23</v>
      </c>
      <c r="I14" s="8" t="s">
        <v>56</v>
      </c>
      <c r="J14" s="8" t="s">
        <v>41</v>
      </c>
      <c r="K14" s="8" t="s">
        <v>26</v>
      </c>
      <c r="L14" s="8" t="s">
        <v>57</v>
      </c>
      <c r="M14" s="8">
        <v>5999</v>
      </c>
      <c r="N14" s="8" t="s">
        <v>57</v>
      </c>
      <c r="O14" s="8" t="s">
        <v>4060</v>
      </c>
      <c r="P14" s="8" t="s">
        <v>4020</v>
      </c>
      <c r="Q14" s="8" t="s">
        <v>4021</v>
      </c>
      <c r="R14" s="7"/>
      <c r="S14" s="18">
        <v>45901</v>
      </c>
      <c r="T14" s="19">
        <f t="shared" si="0"/>
        <v>4800</v>
      </c>
      <c r="U14" s="19">
        <f t="shared" si="1"/>
        <v>2000</v>
      </c>
      <c r="V14" s="19">
        <f t="shared" si="2"/>
        <v>4416</v>
      </c>
      <c r="W14" s="20">
        <f t="shared" si="3"/>
        <v>-1616</v>
      </c>
    </row>
    <row r="15" spans="1:23" ht="15" customHeight="1">
      <c r="A15" s="9">
        <v>14</v>
      </c>
      <c r="B15" s="9" t="s">
        <v>4014</v>
      </c>
      <c r="C15" s="9" t="s">
        <v>4061</v>
      </c>
      <c r="D15" s="9" t="s">
        <v>4062</v>
      </c>
      <c r="E15" s="9" t="s">
        <v>21</v>
      </c>
      <c r="F15" s="9" t="s">
        <v>22</v>
      </c>
      <c r="G15" s="9">
        <v>372</v>
      </c>
      <c r="H15" s="9" t="s">
        <v>23</v>
      </c>
      <c r="I15" s="9" t="s">
        <v>351</v>
      </c>
      <c r="J15" s="9" t="s">
        <v>36</v>
      </c>
      <c r="K15" s="9" t="s">
        <v>26</v>
      </c>
      <c r="L15" s="9" t="s">
        <v>352</v>
      </c>
      <c r="M15" s="9">
        <v>4813</v>
      </c>
      <c r="N15" s="9" t="s">
        <v>352</v>
      </c>
      <c r="O15" s="9" t="s">
        <v>4063</v>
      </c>
      <c r="P15" s="9" t="s">
        <v>4020</v>
      </c>
      <c r="Q15" s="9" t="s">
        <v>4021</v>
      </c>
      <c r="R15" s="7"/>
      <c r="S15" s="15">
        <v>45931</v>
      </c>
      <c r="T15" s="16">
        <f t="shared" si="0"/>
        <v>4800</v>
      </c>
      <c r="U15" s="16">
        <f t="shared" si="1"/>
        <v>2000</v>
      </c>
      <c r="V15" s="16">
        <f t="shared" si="2"/>
        <v>4416</v>
      </c>
      <c r="W15" s="17">
        <f t="shared" si="3"/>
        <v>-1616</v>
      </c>
    </row>
    <row r="16" spans="1:23" ht="15" customHeight="1">
      <c r="A16" s="8">
        <v>15</v>
      </c>
      <c r="B16" s="8" t="s">
        <v>4014</v>
      </c>
      <c r="C16" s="8" t="s">
        <v>4064</v>
      </c>
      <c r="D16" s="8" t="s">
        <v>4065</v>
      </c>
      <c r="E16" s="8" t="s">
        <v>21</v>
      </c>
      <c r="F16" s="8" t="s">
        <v>22</v>
      </c>
      <c r="G16" s="8">
        <v>548</v>
      </c>
      <c r="H16" s="8" t="s">
        <v>23</v>
      </c>
      <c r="I16" s="8" t="s">
        <v>90</v>
      </c>
      <c r="J16" s="8" t="s">
        <v>36</v>
      </c>
      <c r="K16" s="8" t="s">
        <v>26</v>
      </c>
      <c r="L16" s="8" t="s">
        <v>91</v>
      </c>
      <c r="M16" s="8">
        <v>4900</v>
      </c>
      <c r="N16" s="8" t="s">
        <v>91</v>
      </c>
      <c r="O16" s="8" t="s">
        <v>4066</v>
      </c>
      <c r="P16" s="8" t="s">
        <v>4020</v>
      </c>
      <c r="Q16" s="8" t="s">
        <v>4021</v>
      </c>
      <c r="R16" s="7"/>
      <c r="S16" s="18">
        <v>45962</v>
      </c>
      <c r="T16" s="19">
        <f t="shared" si="0"/>
        <v>4800</v>
      </c>
      <c r="U16" s="19">
        <f t="shared" si="1"/>
        <v>2000</v>
      </c>
      <c r="V16" s="19">
        <f t="shared" si="2"/>
        <v>4416</v>
      </c>
      <c r="W16" s="20">
        <f t="shared" si="3"/>
        <v>-1616</v>
      </c>
    </row>
    <row r="17" spans="1:23" ht="15" customHeight="1">
      <c r="A17" s="9">
        <v>16</v>
      </c>
      <c r="B17" s="9" t="s">
        <v>4014</v>
      </c>
      <c r="C17" s="9" t="s">
        <v>4067</v>
      </c>
      <c r="D17" s="9" t="s">
        <v>4068</v>
      </c>
      <c r="E17" s="9" t="s">
        <v>21</v>
      </c>
      <c r="F17" s="9" t="s">
        <v>22</v>
      </c>
      <c r="G17" s="9">
        <v>330</v>
      </c>
      <c r="H17" s="9" t="s">
        <v>23</v>
      </c>
      <c r="I17" s="9" t="s">
        <v>123</v>
      </c>
      <c r="J17" s="9" t="s">
        <v>41</v>
      </c>
      <c r="K17" s="9" t="s">
        <v>26</v>
      </c>
      <c r="L17" s="9" t="s">
        <v>124</v>
      </c>
      <c r="M17" s="9">
        <v>5541</v>
      </c>
      <c r="N17" s="9" t="s">
        <v>124</v>
      </c>
      <c r="O17" s="9" t="s">
        <v>4069</v>
      </c>
      <c r="P17" s="9" t="s">
        <v>4020</v>
      </c>
      <c r="Q17" s="9" t="s">
        <v>4021</v>
      </c>
      <c r="R17" s="7"/>
      <c r="S17" s="15">
        <v>45992</v>
      </c>
      <c r="T17" s="16">
        <f t="shared" si="0"/>
        <v>4800</v>
      </c>
      <c r="U17" s="16">
        <f t="shared" si="1"/>
        <v>16000</v>
      </c>
      <c r="V17" s="16">
        <f t="shared" si="2"/>
        <v>4416</v>
      </c>
      <c r="W17" s="17">
        <f t="shared" si="3"/>
        <v>-15616</v>
      </c>
    </row>
    <row r="18" spans="1:23" ht="15" customHeight="1">
      <c r="A18" s="8">
        <v>17</v>
      </c>
      <c r="B18" s="8" t="s">
        <v>4014</v>
      </c>
      <c r="C18" s="8" t="s">
        <v>4070</v>
      </c>
      <c r="D18" s="8" t="s">
        <v>4071</v>
      </c>
      <c r="E18" s="8" t="s">
        <v>21</v>
      </c>
      <c r="F18" s="8" t="s">
        <v>22</v>
      </c>
      <c r="G18" s="8">
        <v>369</v>
      </c>
      <c r="H18" s="8" t="s">
        <v>23</v>
      </c>
      <c r="I18" s="8" t="s">
        <v>40</v>
      </c>
      <c r="J18" s="8" t="s">
        <v>41</v>
      </c>
      <c r="K18" s="8" t="s">
        <v>26</v>
      </c>
      <c r="L18" s="8" t="s">
        <v>42</v>
      </c>
      <c r="M18" s="8">
        <v>5812</v>
      </c>
      <c r="N18" s="8" t="s">
        <v>42</v>
      </c>
      <c r="O18" s="8" t="s">
        <v>4072</v>
      </c>
      <c r="P18" s="8" t="s">
        <v>4020</v>
      </c>
      <c r="Q18" s="8" t="s">
        <v>4021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4014</v>
      </c>
      <c r="C19" s="9" t="s">
        <v>4073</v>
      </c>
      <c r="D19" s="9" t="s">
        <v>4074</v>
      </c>
      <c r="E19" s="9" t="s">
        <v>21</v>
      </c>
      <c r="F19" s="9" t="s">
        <v>22</v>
      </c>
      <c r="G19" s="9">
        <v>416</v>
      </c>
      <c r="H19" s="9" t="s">
        <v>23</v>
      </c>
      <c r="I19" s="9" t="s">
        <v>318</v>
      </c>
      <c r="J19" s="9" t="s">
        <v>25</v>
      </c>
      <c r="K19" s="9" t="s">
        <v>26</v>
      </c>
      <c r="L19" s="9" t="s">
        <v>319</v>
      </c>
      <c r="M19" s="9">
        <v>5999</v>
      </c>
      <c r="N19" s="9" t="s">
        <v>319</v>
      </c>
      <c r="O19" s="9" t="s">
        <v>4075</v>
      </c>
      <c r="P19" s="9" t="s">
        <v>4020</v>
      </c>
      <c r="Q19" s="9" t="s">
        <v>4021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4014</v>
      </c>
      <c r="C20" s="8" t="s">
        <v>4076</v>
      </c>
      <c r="D20" s="8" t="s">
        <v>4077</v>
      </c>
      <c r="E20" s="8" t="s">
        <v>21</v>
      </c>
      <c r="F20" s="8" t="s">
        <v>22</v>
      </c>
      <c r="G20" s="8">
        <v>701</v>
      </c>
      <c r="H20" s="8" t="s">
        <v>23</v>
      </c>
      <c r="I20" s="8" t="s">
        <v>102</v>
      </c>
      <c r="J20" s="8" t="s">
        <v>41</v>
      </c>
      <c r="K20" s="8" t="s">
        <v>26</v>
      </c>
      <c r="L20" s="8" t="s">
        <v>103</v>
      </c>
      <c r="M20" s="8">
        <v>5411</v>
      </c>
      <c r="N20" s="8" t="s">
        <v>103</v>
      </c>
      <c r="O20" s="8" t="s">
        <v>4078</v>
      </c>
      <c r="P20" s="8" t="s">
        <v>4020</v>
      </c>
      <c r="Q20" s="8" t="s">
        <v>4021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4014</v>
      </c>
      <c r="C21" s="9" t="s">
        <v>4079</v>
      </c>
      <c r="D21" s="9" t="s">
        <v>4080</v>
      </c>
      <c r="E21" s="9" t="s">
        <v>21</v>
      </c>
      <c r="F21" s="9" t="s">
        <v>22</v>
      </c>
      <c r="G21" s="9">
        <v>701</v>
      </c>
      <c r="H21" s="9" t="s">
        <v>23</v>
      </c>
      <c r="I21" s="9" t="s">
        <v>131</v>
      </c>
      <c r="J21" s="9" t="s">
        <v>41</v>
      </c>
      <c r="K21" s="9" t="s">
        <v>26</v>
      </c>
      <c r="L21" s="9" t="s">
        <v>132</v>
      </c>
      <c r="M21" s="9">
        <v>5411</v>
      </c>
      <c r="N21" s="9" t="s">
        <v>132</v>
      </c>
      <c r="O21" s="9" t="s">
        <v>4081</v>
      </c>
      <c r="P21" s="9" t="s">
        <v>4020</v>
      </c>
      <c r="Q21" s="9" t="s">
        <v>4021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4014</v>
      </c>
      <c r="C22" s="8" t="s">
        <v>4082</v>
      </c>
      <c r="D22" s="8" t="s">
        <v>4083</v>
      </c>
      <c r="E22" s="8" t="s">
        <v>21</v>
      </c>
      <c r="F22" s="8" t="s">
        <v>22</v>
      </c>
      <c r="G22" s="8">
        <v>401</v>
      </c>
      <c r="H22" s="8" t="s">
        <v>23</v>
      </c>
      <c r="I22" s="8" t="s">
        <v>330</v>
      </c>
      <c r="J22" s="8" t="s">
        <v>331</v>
      </c>
      <c r="K22" s="8" t="s">
        <v>26</v>
      </c>
      <c r="L22" s="8" t="s">
        <v>332</v>
      </c>
      <c r="M22" s="8">
        <v>6011</v>
      </c>
      <c r="N22" s="8" t="s">
        <v>332</v>
      </c>
      <c r="O22" s="8" t="s">
        <v>4084</v>
      </c>
      <c r="P22" s="8" t="s">
        <v>4020</v>
      </c>
      <c r="Q22" s="8" t="s">
        <v>4021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4014</v>
      </c>
      <c r="C23" s="9" t="s">
        <v>4085</v>
      </c>
      <c r="D23" s="9" t="s">
        <v>4086</v>
      </c>
      <c r="E23" s="9" t="s">
        <v>94</v>
      </c>
      <c r="F23" s="9" t="s">
        <v>22</v>
      </c>
      <c r="G23" s="9">
        <v>4800</v>
      </c>
      <c r="H23" s="9" t="s">
        <v>23</v>
      </c>
      <c r="I23" s="9" t="s">
        <v>4052</v>
      </c>
      <c r="J23" s="9" t="s">
        <v>96</v>
      </c>
      <c r="K23" s="9" t="s">
        <v>97</v>
      </c>
      <c r="L23" s="9" t="s">
        <v>4053</v>
      </c>
      <c r="M23" s="9"/>
      <c r="N23" s="9" t="s">
        <v>4053</v>
      </c>
      <c r="O23" s="9" t="s">
        <v>4087</v>
      </c>
      <c r="P23" s="9" t="s">
        <v>4020</v>
      </c>
      <c r="Q23" s="9" t="s">
        <v>4021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4014</v>
      </c>
      <c r="C24" s="8" t="s">
        <v>4088</v>
      </c>
      <c r="D24" s="8" t="s">
        <v>4089</v>
      </c>
      <c r="E24" s="8" t="s">
        <v>21</v>
      </c>
      <c r="F24" s="8" t="s">
        <v>22</v>
      </c>
      <c r="G24" s="8">
        <v>329</v>
      </c>
      <c r="H24" s="8" t="s">
        <v>23</v>
      </c>
      <c r="I24" s="8" t="s">
        <v>174</v>
      </c>
      <c r="J24" s="8" t="s">
        <v>36</v>
      </c>
      <c r="K24" s="8" t="s">
        <v>26</v>
      </c>
      <c r="L24" s="8" t="s">
        <v>175</v>
      </c>
      <c r="M24" s="8">
        <v>4813</v>
      </c>
      <c r="N24" s="8" t="s">
        <v>175</v>
      </c>
      <c r="O24" s="8" t="s">
        <v>4090</v>
      </c>
      <c r="P24" s="8" t="s">
        <v>4020</v>
      </c>
      <c r="Q24" s="8" t="s">
        <v>4021</v>
      </c>
      <c r="R24" s="7"/>
      <c r="S24" s="22" t="s">
        <v>133</v>
      </c>
      <c r="T24" s="23">
        <f>IFERROR(AVERAGEIF(T9:T17,"&gt;"&amp;0),0)</f>
        <v>4800</v>
      </c>
      <c r="U24" s="23">
        <f>IFERROR(AVERAGEIF(U9:U17,"&gt;"&amp;0),0)</f>
        <v>3555.5555555555557</v>
      </c>
      <c r="V24" s="23">
        <f>IFERROR(AVERAGEIF(V9:V17,"&gt;"&amp;0),0)</f>
        <v>4416</v>
      </c>
      <c r="W24" s="24">
        <f>T24-U24-V24</f>
        <v>-3171.5555555555557</v>
      </c>
    </row>
    <row r="25" spans="1:23" ht="3.75" customHeight="1">
      <c r="A25" s="9">
        <v>24</v>
      </c>
      <c r="B25" s="9" t="s">
        <v>4014</v>
      </c>
      <c r="C25" s="9" t="s">
        <v>4091</v>
      </c>
      <c r="D25" s="9" t="s">
        <v>4092</v>
      </c>
      <c r="E25" s="9" t="s">
        <v>21</v>
      </c>
      <c r="F25" s="9" t="s">
        <v>22</v>
      </c>
      <c r="G25" s="9">
        <v>2000</v>
      </c>
      <c r="H25" s="9" t="s">
        <v>23</v>
      </c>
      <c r="I25" s="9" t="s">
        <v>4017</v>
      </c>
      <c r="J25" s="9" t="s">
        <v>36</v>
      </c>
      <c r="K25" s="9" t="s">
        <v>26</v>
      </c>
      <c r="L25" s="9" t="s">
        <v>4018</v>
      </c>
      <c r="M25" s="9">
        <v>6012</v>
      </c>
      <c r="N25" s="9" t="s">
        <v>4018</v>
      </c>
      <c r="O25" s="9" t="s">
        <v>4093</v>
      </c>
      <c r="P25" s="9" t="s">
        <v>4020</v>
      </c>
      <c r="Q25" s="9" t="s">
        <v>4021</v>
      </c>
      <c r="R25" s="7"/>
    </row>
    <row r="26" spans="1:23" ht="15" customHeight="1">
      <c r="A26" s="8">
        <v>25</v>
      </c>
      <c r="B26" s="8" t="s">
        <v>4014</v>
      </c>
      <c r="C26" s="8" t="s">
        <v>4094</v>
      </c>
      <c r="D26" s="8" t="s">
        <v>4095</v>
      </c>
      <c r="E26" s="8" t="s">
        <v>21</v>
      </c>
      <c r="F26" s="8" t="s">
        <v>22</v>
      </c>
      <c r="G26" s="8">
        <v>321</v>
      </c>
      <c r="H26" s="8" t="s">
        <v>23</v>
      </c>
      <c r="I26" s="8" t="s">
        <v>111</v>
      </c>
      <c r="J26" s="8" t="s">
        <v>41</v>
      </c>
      <c r="K26" s="8" t="s">
        <v>26</v>
      </c>
      <c r="L26" s="8" t="s">
        <v>112</v>
      </c>
      <c r="M26" s="8">
        <v>5541</v>
      </c>
      <c r="N26" s="8" t="s">
        <v>112</v>
      </c>
      <c r="O26" s="8" t="s">
        <v>4096</v>
      </c>
      <c r="P26" s="8" t="s">
        <v>4020</v>
      </c>
      <c r="Q26" s="8" t="s">
        <v>4021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4014</v>
      </c>
      <c r="C27" s="9" t="s">
        <v>4097</v>
      </c>
      <c r="D27" s="9" t="s">
        <v>4098</v>
      </c>
      <c r="E27" s="9" t="s">
        <v>21</v>
      </c>
      <c r="F27" s="9" t="s">
        <v>22</v>
      </c>
      <c r="G27" s="9">
        <v>1111</v>
      </c>
      <c r="H27" s="9" t="s">
        <v>23</v>
      </c>
      <c r="I27" s="9" t="s">
        <v>56</v>
      </c>
      <c r="J27" s="9" t="s">
        <v>41</v>
      </c>
      <c r="K27" s="9" t="s">
        <v>26</v>
      </c>
      <c r="L27" s="9" t="s">
        <v>57</v>
      </c>
      <c r="M27" s="9">
        <v>5999</v>
      </c>
      <c r="N27" s="9" t="s">
        <v>57</v>
      </c>
      <c r="O27" s="9" t="s">
        <v>4099</v>
      </c>
      <c r="P27" s="9" t="s">
        <v>4020</v>
      </c>
      <c r="Q27" s="9" t="s">
        <v>4021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4014</v>
      </c>
      <c r="C28" s="8" t="s">
        <v>4100</v>
      </c>
      <c r="D28" s="8" t="s">
        <v>4101</v>
      </c>
      <c r="E28" s="8" t="s">
        <v>21</v>
      </c>
      <c r="F28" s="8" t="s">
        <v>22</v>
      </c>
      <c r="G28" s="8">
        <v>359</v>
      </c>
      <c r="H28" s="8" t="s">
        <v>23</v>
      </c>
      <c r="I28" s="8" t="s">
        <v>131</v>
      </c>
      <c r="J28" s="8" t="s">
        <v>41</v>
      </c>
      <c r="K28" s="8" t="s">
        <v>26</v>
      </c>
      <c r="L28" s="8" t="s">
        <v>132</v>
      </c>
      <c r="M28" s="8">
        <v>5411</v>
      </c>
      <c r="N28" s="8" t="s">
        <v>132</v>
      </c>
      <c r="O28" s="8" t="s">
        <v>4102</v>
      </c>
      <c r="P28" s="8" t="s">
        <v>4020</v>
      </c>
      <c r="Q28" s="8" t="s">
        <v>4021</v>
      </c>
      <c r="R28" s="7"/>
      <c r="S28" s="25" t="s">
        <v>154</v>
      </c>
      <c r="T28" s="26">
        <f>IFERROR(MEDIAN(T9:T17),0)</f>
        <v>4800</v>
      </c>
      <c r="U28" s="27" t="s">
        <v>155</v>
      </c>
      <c r="V28" s="28" t="s">
        <v>155</v>
      </c>
      <c r="W28" s="29" t="s">
        <v>1183</v>
      </c>
    </row>
    <row r="29" spans="1:23" ht="15.75" customHeight="1">
      <c r="A29" s="9">
        <v>28</v>
      </c>
      <c r="B29" s="9" t="s">
        <v>4014</v>
      </c>
      <c r="C29" s="9" t="s">
        <v>4103</v>
      </c>
      <c r="D29" s="9" t="s">
        <v>4104</v>
      </c>
      <c r="E29" s="9" t="s">
        <v>21</v>
      </c>
      <c r="F29" s="9" t="s">
        <v>22</v>
      </c>
      <c r="G29" s="9">
        <v>456</v>
      </c>
      <c r="H29" s="9" t="s">
        <v>23</v>
      </c>
      <c r="I29" s="9" t="s">
        <v>498</v>
      </c>
      <c r="J29" s="9" t="s">
        <v>36</v>
      </c>
      <c r="K29" s="9" t="s">
        <v>26</v>
      </c>
      <c r="L29" s="9" t="s">
        <v>499</v>
      </c>
      <c r="M29" s="9">
        <v>4900</v>
      </c>
      <c r="N29" s="9" t="s">
        <v>499</v>
      </c>
      <c r="O29" s="9" t="s">
        <v>4105</v>
      </c>
      <c r="P29" s="9" t="s">
        <v>4020</v>
      </c>
      <c r="Q29" s="9" t="s">
        <v>4021</v>
      </c>
      <c r="R29" s="7"/>
      <c r="S29" s="30" t="s">
        <v>161</v>
      </c>
      <c r="T29" s="31">
        <f>T28*1.3</f>
        <v>6240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4014</v>
      </c>
      <c r="C30" s="8" t="s">
        <v>4106</v>
      </c>
      <c r="D30" s="8" t="s">
        <v>4107</v>
      </c>
      <c r="E30" s="8" t="s">
        <v>21</v>
      </c>
      <c r="F30" s="8" t="s">
        <v>22</v>
      </c>
      <c r="G30" s="8">
        <v>186</v>
      </c>
      <c r="H30" s="8" t="s">
        <v>23</v>
      </c>
      <c r="I30" s="8" t="s">
        <v>217</v>
      </c>
      <c r="J30" s="8" t="s">
        <v>41</v>
      </c>
      <c r="K30" s="8" t="s">
        <v>26</v>
      </c>
      <c r="L30" s="8" t="s">
        <v>218</v>
      </c>
      <c r="M30" s="8">
        <v>5812</v>
      </c>
      <c r="N30" s="8" t="s">
        <v>218</v>
      </c>
      <c r="O30" s="8" t="s">
        <v>4108</v>
      </c>
      <c r="P30" s="8" t="s">
        <v>4020</v>
      </c>
      <c r="Q30" s="8" t="s">
        <v>4021</v>
      </c>
      <c r="R30" s="7"/>
      <c r="S30" s="25" t="s">
        <v>166</v>
      </c>
      <c r="T30" s="26">
        <f>IFERROR(MEDIAN(MIN(T15,T29),MIN(T16,T29),MIN(T17,T29)),0)</f>
        <v>4800</v>
      </c>
      <c r="U30" s="27" t="s">
        <v>155</v>
      </c>
      <c r="V30" s="28" t="s">
        <v>155</v>
      </c>
      <c r="W30" s="29" t="s">
        <v>4109</v>
      </c>
    </row>
    <row r="31" spans="1:23" ht="15.75" customHeight="1">
      <c r="A31" s="9">
        <v>30</v>
      </c>
      <c r="B31" s="9" t="s">
        <v>4014</v>
      </c>
      <c r="C31" s="9" t="s">
        <v>4110</v>
      </c>
      <c r="D31" s="9" t="s">
        <v>4111</v>
      </c>
      <c r="E31" s="9" t="s">
        <v>21</v>
      </c>
      <c r="F31" s="9" t="s">
        <v>22</v>
      </c>
      <c r="G31" s="9">
        <v>359</v>
      </c>
      <c r="H31" s="9" t="s">
        <v>23</v>
      </c>
      <c r="I31" s="9" t="s">
        <v>102</v>
      </c>
      <c r="J31" s="9" t="s">
        <v>41</v>
      </c>
      <c r="K31" s="9" t="s">
        <v>26</v>
      </c>
      <c r="L31" s="9" t="s">
        <v>103</v>
      </c>
      <c r="M31" s="9">
        <v>5411</v>
      </c>
      <c r="N31" s="9" t="s">
        <v>103</v>
      </c>
      <c r="O31" s="9" t="s">
        <v>4112</v>
      </c>
      <c r="P31" s="9" t="s">
        <v>4020</v>
      </c>
      <c r="Q31" s="9" t="s">
        <v>4021</v>
      </c>
      <c r="R31" s="7"/>
      <c r="S31" s="30" t="s">
        <v>3219</v>
      </c>
      <c r="T31" s="31">
        <f>T17</f>
        <v>4800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4014</v>
      </c>
      <c r="C32" s="8" t="s">
        <v>4113</v>
      </c>
      <c r="D32" s="8" t="s">
        <v>4114</v>
      </c>
      <c r="E32" s="8" t="s">
        <v>94</v>
      </c>
      <c r="F32" s="8" t="s">
        <v>22</v>
      </c>
      <c r="G32" s="8">
        <v>4800</v>
      </c>
      <c r="H32" s="8" t="s">
        <v>23</v>
      </c>
      <c r="I32" s="8" t="s">
        <v>4052</v>
      </c>
      <c r="J32" s="8" t="s">
        <v>96</v>
      </c>
      <c r="K32" s="8" t="s">
        <v>97</v>
      </c>
      <c r="L32" s="8" t="s">
        <v>4053</v>
      </c>
      <c r="M32" s="8"/>
      <c r="N32" s="8" t="s">
        <v>4053</v>
      </c>
      <c r="O32" s="8" t="s">
        <v>4115</v>
      </c>
      <c r="P32" s="8" t="s">
        <v>4020</v>
      </c>
      <c r="Q32" s="8" t="s">
        <v>4021</v>
      </c>
      <c r="R32" s="7"/>
      <c r="S32" s="25" t="s">
        <v>3223</v>
      </c>
      <c r="T32" s="26">
        <f>U17</f>
        <v>16000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4014</v>
      </c>
      <c r="C33" s="9" t="s">
        <v>4116</v>
      </c>
      <c r="D33" s="9" t="s">
        <v>4117</v>
      </c>
      <c r="E33" s="9" t="s">
        <v>21</v>
      </c>
      <c r="F33" s="9" t="s">
        <v>22</v>
      </c>
      <c r="G33" s="9">
        <v>359</v>
      </c>
      <c r="H33" s="9" t="s">
        <v>23</v>
      </c>
      <c r="I33" s="9" t="s">
        <v>180</v>
      </c>
      <c r="J33" s="9" t="s">
        <v>41</v>
      </c>
      <c r="K33" s="9" t="s">
        <v>26</v>
      </c>
      <c r="L33" s="9" t="s">
        <v>181</v>
      </c>
      <c r="M33" s="9">
        <v>5411</v>
      </c>
      <c r="N33" s="9" t="s">
        <v>181</v>
      </c>
      <c r="O33" s="9" t="s">
        <v>4118</v>
      </c>
      <c r="P33" s="9" t="s">
        <v>4020</v>
      </c>
      <c r="Q33" s="9" t="s">
        <v>4021</v>
      </c>
      <c r="R33" s="7"/>
      <c r="S33" s="30" t="s">
        <v>182</v>
      </c>
      <c r="T33" s="31">
        <f>T24</f>
        <v>4800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4014</v>
      </c>
      <c r="C34" s="8" t="s">
        <v>4119</v>
      </c>
      <c r="D34" s="8" t="s">
        <v>4120</v>
      </c>
      <c r="E34" s="8" t="s">
        <v>21</v>
      </c>
      <c r="F34" s="8" t="s">
        <v>22</v>
      </c>
      <c r="G34" s="8">
        <v>750</v>
      </c>
      <c r="H34" s="8" t="s">
        <v>23</v>
      </c>
      <c r="I34" s="8" t="s">
        <v>363</v>
      </c>
      <c r="J34" s="8" t="s">
        <v>41</v>
      </c>
      <c r="K34" s="8" t="s">
        <v>26</v>
      </c>
      <c r="L34" s="8" t="s">
        <v>364</v>
      </c>
      <c r="M34" s="8">
        <v>5999</v>
      </c>
      <c r="N34" s="8" t="s">
        <v>364</v>
      </c>
      <c r="O34" s="8" t="s">
        <v>4121</v>
      </c>
      <c r="P34" s="8" t="s">
        <v>4020</v>
      </c>
      <c r="Q34" s="8" t="s">
        <v>4021</v>
      </c>
      <c r="R34" s="7"/>
      <c r="S34" s="25" t="s">
        <v>188</v>
      </c>
      <c r="T34" s="26">
        <f>V24</f>
        <v>4416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4014</v>
      </c>
      <c r="C35" s="9" t="s">
        <v>4122</v>
      </c>
      <c r="D35" s="9" t="s">
        <v>4123</v>
      </c>
      <c r="E35" s="9" t="s">
        <v>21</v>
      </c>
      <c r="F35" s="9" t="s">
        <v>22</v>
      </c>
      <c r="G35" s="9">
        <v>186</v>
      </c>
      <c r="H35" s="9" t="s">
        <v>23</v>
      </c>
      <c r="I35" s="9" t="s">
        <v>52</v>
      </c>
      <c r="J35" s="9" t="s">
        <v>41</v>
      </c>
      <c r="K35" s="9" t="s">
        <v>26</v>
      </c>
      <c r="L35" s="9" t="s">
        <v>53</v>
      </c>
      <c r="M35" s="9">
        <v>5812</v>
      </c>
      <c r="N35" s="9" t="s">
        <v>53</v>
      </c>
      <c r="O35" s="9" t="s">
        <v>4124</v>
      </c>
      <c r="P35" s="9" t="s">
        <v>4020</v>
      </c>
      <c r="Q35" s="9" t="s">
        <v>4021</v>
      </c>
      <c r="R35" s="7"/>
      <c r="S35" s="30" t="s">
        <v>193</v>
      </c>
      <c r="T35" s="35">
        <f>IFERROR((T33-T34)/T33,0)</f>
        <v>0.08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4014</v>
      </c>
      <c r="C36" s="8" t="s">
        <v>4125</v>
      </c>
      <c r="D36" s="8" t="s">
        <v>4126</v>
      </c>
      <c r="E36" s="8" t="s">
        <v>21</v>
      </c>
      <c r="F36" s="8" t="s">
        <v>22</v>
      </c>
      <c r="G36" s="8">
        <v>492</v>
      </c>
      <c r="H36" s="8" t="s">
        <v>23</v>
      </c>
      <c r="I36" s="8" t="s">
        <v>61</v>
      </c>
      <c r="J36" s="8" t="s">
        <v>25</v>
      </c>
      <c r="K36" s="8" t="s">
        <v>26</v>
      </c>
      <c r="L36" s="8" t="s">
        <v>62</v>
      </c>
      <c r="M36" s="8">
        <v>5999</v>
      </c>
      <c r="N36" s="8" t="s">
        <v>62</v>
      </c>
      <c r="O36" s="8" t="s">
        <v>4127</v>
      </c>
      <c r="P36" s="8" t="s">
        <v>4020</v>
      </c>
      <c r="Q36" s="8" t="s">
        <v>4021</v>
      </c>
      <c r="R36" s="7"/>
      <c r="S36" s="25" t="s">
        <v>200</v>
      </c>
      <c r="T36" s="37">
        <f>T33-T34</f>
        <v>384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4014</v>
      </c>
      <c r="C37" s="9" t="s">
        <v>4128</v>
      </c>
      <c r="D37" s="9" t="s">
        <v>4129</v>
      </c>
      <c r="E37" s="9" t="s">
        <v>21</v>
      </c>
      <c r="F37" s="9" t="s">
        <v>22</v>
      </c>
      <c r="G37" s="9">
        <v>2000</v>
      </c>
      <c r="H37" s="9" t="s">
        <v>23</v>
      </c>
      <c r="I37" s="9" t="s">
        <v>4017</v>
      </c>
      <c r="J37" s="9" t="s">
        <v>36</v>
      </c>
      <c r="K37" s="9" t="s">
        <v>26</v>
      </c>
      <c r="L37" s="9" t="s">
        <v>4018</v>
      </c>
      <c r="M37" s="9">
        <v>6012</v>
      </c>
      <c r="N37" s="9" t="s">
        <v>4018</v>
      </c>
      <c r="O37" s="9" t="s">
        <v>4130</v>
      </c>
      <c r="P37" s="9" t="s">
        <v>4020</v>
      </c>
      <c r="Q37" s="9" t="s">
        <v>4021</v>
      </c>
      <c r="R37" s="7"/>
      <c r="S37" s="30" t="s">
        <v>205</v>
      </c>
      <c r="T37" s="35">
        <f>IFERROR(U24/T30,0)</f>
        <v>0.74074074074074081</v>
      </c>
      <c r="U37" s="32" t="s">
        <v>206</v>
      </c>
      <c r="V37" s="36" t="str">
        <f>IF(T37&lt;=0.35,"✅ Meets","⚠️ Exceeds")</f>
        <v>⚠️ Exceeds</v>
      </c>
      <c r="W37" s="34" t="s">
        <v>207</v>
      </c>
    </row>
    <row r="38" spans="1:23" ht="3.75" customHeight="1">
      <c r="A38" s="8">
        <v>37</v>
      </c>
      <c r="B38" s="8" t="s">
        <v>4014</v>
      </c>
      <c r="C38" s="8" t="s">
        <v>4131</v>
      </c>
      <c r="D38" s="8" t="s">
        <v>4132</v>
      </c>
      <c r="E38" s="8" t="s">
        <v>21</v>
      </c>
      <c r="F38" s="8" t="s">
        <v>22</v>
      </c>
      <c r="G38" s="8">
        <v>467</v>
      </c>
      <c r="H38" s="8" t="s">
        <v>23</v>
      </c>
      <c r="I38" s="8" t="s">
        <v>82</v>
      </c>
      <c r="J38" s="8" t="s">
        <v>41</v>
      </c>
      <c r="K38" s="8" t="s">
        <v>26</v>
      </c>
      <c r="L38" s="8" t="s">
        <v>83</v>
      </c>
      <c r="M38" s="8">
        <v>5411</v>
      </c>
      <c r="N38" s="8" t="s">
        <v>83</v>
      </c>
      <c r="O38" s="8" t="s">
        <v>4133</v>
      </c>
      <c r="P38" s="8" t="s">
        <v>4020</v>
      </c>
      <c r="Q38" s="8" t="s">
        <v>4021</v>
      </c>
      <c r="R38" s="7"/>
    </row>
    <row r="39" spans="1:23" ht="15" customHeight="1">
      <c r="A39" s="9">
        <v>38</v>
      </c>
      <c r="B39" s="9" t="s">
        <v>4014</v>
      </c>
      <c r="C39" s="9" t="s">
        <v>4134</v>
      </c>
      <c r="D39" s="9" t="s">
        <v>4135</v>
      </c>
      <c r="E39" s="9" t="s">
        <v>21</v>
      </c>
      <c r="F39" s="9" t="s">
        <v>22</v>
      </c>
      <c r="G39" s="9">
        <v>472</v>
      </c>
      <c r="H39" s="9" t="s">
        <v>23</v>
      </c>
      <c r="I39" s="9" t="s">
        <v>90</v>
      </c>
      <c r="J39" s="9" t="s">
        <v>36</v>
      </c>
      <c r="K39" s="9" t="s">
        <v>26</v>
      </c>
      <c r="L39" s="9" t="s">
        <v>91</v>
      </c>
      <c r="M39" s="9">
        <v>4900</v>
      </c>
      <c r="N39" s="9" t="s">
        <v>91</v>
      </c>
      <c r="O39" s="9" t="s">
        <v>4136</v>
      </c>
      <c r="P39" s="9" t="s">
        <v>4020</v>
      </c>
      <c r="Q39" s="9" t="s">
        <v>4021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4014</v>
      </c>
      <c r="C40" s="8" t="s">
        <v>4137</v>
      </c>
      <c r="D40" s="8" t="s">
        <v>4138</v>
      </c>
      <c r="E40" s="8" t="s">
        <v>21</v>
      </c>
      <c r="F40" s="8" t="s">
        <v>22</v>
      </c>
      <c r="G40" s="8">
        <v>881</v>
      </c>
      <c r="H40" s="8" t="s">
        <v>23</v>
      </c>
      <c r="I40" s="8" t="s">
        <v>56</v>
      </c>
      <c r="J40" s="8" t="s">
        <v>41</v>
      </c>
      <c r="K40" s="8" t="s">
        <v>26</v>
      </c>
      <c r="L40" s="8" t="s">
        <v>57</v>
      </c>
      <c r="M40" s="8">
        <v>5999</v>
      </c>
      <c r="N40" s="8" t="s">
        <v>57</v>
      </c>
      <c r="O40" s="8" t="s">
        <v>4139</v>
      </c>
      <c r="P40" s="8" t="s">
        <v>4020</v>
      </c>
      <c r="Q40" s="8" t="s">
        <v>4021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4014</v>
      </c>
      <c r="C41" s="9" t="s">
        <v>4140</v>
      </c>
      <c r="D41" s="9" t="s">
        <v>4141</v>
      </c>
      <c r="E41" s="9" t="s">
        <v>21</v>
      </c>
      <c r="F41" s="9" t="s">
        <v>22</v>
      </c>
      <c r="G41" s="9">
        <v>499</v>
      </c>
      <c r="H41" s="9" t="s">
        <v>23</v>
      </c>
      <c r="I41" s="9" t="s">
        <v>330</v>
      </c>
      <c r="J41" s="9" t="s">
        <v>331</v>
      </c>
      <c r="K41" s="9" t="s">
        <v>26</v>
      </c>
      <c r="L41" s="9" t="s">
        <v>332</v>
      </c>
      <c r="M41" s="9">
        <v>6011</v>
      </c>
      <c r="N41" s="9" t="s">
        <v>332</v>
      </c>
      <c r="O41" s="9" t="s">
        <v>4142</v>
      </c>
      <c r="P41" s="9" t="s">
        <v>4020</v>
      </c>
      <c r="Q41" s="9" t="s">
        <v>4021</v>
      </c>
      <c r="R41" s="7"/>
      <c r="S41" s="39" t="s">
        <v>226</v>
      </c>
      <c r="T41" s="40">
        <f>T5</f>
        <v>31</v>
      </c>
      <c r="U41" s="41">
        <f>IF(T41&lt;18,0,IF(T41&lt;=25,30,IF(T41&lt;=35,80,IF(T41&lt;=50,150,IF(T41&lt;=60,100,0)))))</f>
        <v>80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4014</v>
      </c>
      <c r="C42" s="8" t="s">
        <v>4143</v>
      </c>
      <c r="D42" s="8" t="s">
        <v>4144</v>
      </c>
      <c r="E42" s="8" t="s">
        <v>21</v>
      </c>
      <c r="F42" s="8" t="s">
        <v>22</v>
      </c>
      <c r="G42" s="8">
        <v>468</v>
      </c>
      <c r="H42" s="8" t="s">
        <v>23</v>
      </c>
      <c r="I42" s="8" t="s">
        <v>244</v>
      </c>
      <c r="J42" s="8" t="s">
        <v>41</v>
      </c>
      <c r="K42" s="8" t="s">
        <v>26</v>
      </c>
      <c r="L42" s="8" t="s">
        <v>245</v>
      </c>
      <c r="M42" s="8">
        <v>5411</v>
      </c>
      <c r="N42" s="8" t="s">
        <v>245</v>
      </c>
      <c r="O42" s="8" t="s">
        <v>4145</v>
      </c>
      <c r="P42" s="8" t="s">
        <v>4020</v>
      </c>
      <c r="Q42" s="8" t="s">
        <v>4021</v>
      </c>
      <c r="R42" s="7"/>
      <c r="S42" s="43" t="s">
        <v>230</v>
      </c>
      <c r="T42" s="44">
        <f>T30</f>
        <v>4800</v>
      </c>
      <c r="U42" s="41">
        <f>IF(T42&lt;=5000,0,IF(T42&lt;=10000,50,IF(T42&lt;=15000,100,150)))</f>
        <v>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4014</v>
      </c>
      <c r="C43" s="9" t="s">
        <v>4146</v>
      </c>
      <c r="D43" s="9" t="s">
        <v>4147</v>
      </c>
      <c r="E43" s="9" t="s">
        <v>21</v>
      </c>
      <c r="F43" s="9" t="s">
        <v>22</v>
      </c>
      <c r="G43" s="9">
        <v>467</v>
      </c>
      <c r="H43" s="9" t="s">
        <v>23</v>
      </c>
      <c r="I43" s="9" t="s">
        <v>379</v>
      </c>
      <c r="J43" s="9" t="s">
        <v>41</v>
      </c>
      <c r="K43" s="9" t="s">
        <v>26</v>
      </c>
      <c r="L43" s="9" t="s">
        <v>380</v>
      </c>
      <c r="M43" s="9">
        <v>5411</v>
      </c>
      <c r="N43" s="9" t="s">
        <v>380</v>
      </c>
      <c r="O43" s="9" t="s">
        <v>4148</v>
      </c>
      <c r="P43" s="9" t="s">
        <v>4020</v>
      </c>
      <c r="Q43" s="9" t="s">
        <v>4021</v>
      </c>
      <c r="R43" s="7"/>
      <c r="S43" s="39" t="s">
        <v>236</v>
      </c>
      <c r="T43" s="45">
        <f>T32</f>
        <v>16000</v>
      </c>
      <c r="U43" s="41">
        <f>IF(T43=0,150,IF(T43&lt;=1500,150,IF(T43&lt;=3000,130,IF(T43&lt;=4500,110,IF(T43&lt;=9000,80,IF(T43&lt;=15000,40,0))))))</f>
        <v>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4014</v>
      </c>
      <c r="C44" s="8" t="s">
        <v>4149</v>
      </c>
      <c r="D44" s="8" t="s">
        <v>4150</v>
      </c>
      <c r="E44" s="8" t="s">
        <v>21</v>
      </c>
      <c r="F44" s="8" t="s">
        <v>22</v>
      </c>
      <c r="G44" s="8">
        <v>163</v>
      </c>
      <c r="H44" s="8" t="s">
        <v>23</v>
      </c>
      <c r="I44" s="8" t="s">
        <v>574</v>
      </c>
      <c r="J44" s="8" t="s">
        <v>41</v>
      </c>
      <c r="K44" s="8" t="s">
        <v>26</v>
      </c>
      <c r="L44" s="8" t="s">
        <v>575</v>
      </c>
      <c r="M44" s="8">
        <v>5812</v>
      </c>
      <c r="N44" s="8" t="s">
        <v>575</v>
      </c>
      <c r="O44" s="8" t="s">
        <v>4151</v>
      </c>
      <c r="P44" s="8" t="s">
        <v>4020</v>
      </c>
      <c r="Q44" s="8" t="s">
        <v>4021</v>
      </c>
      <c r="R44" s="7"/>
      <c r="S44" s="43" t="s">
        <v>240</v>
      </c>
      <c r="T44" s="46">
        <f>T35</f>
        <v>0.08</v>
      </c>
      <c r="U44" s="41">
        <f>IF(T44&lt;=0,0,IF(T44&lt;=0.1,50,IF(T44&lt;=0.2,100,IF(T44&lt;=0.3,130,150))))</f>
        <v>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4014</v>
      </c>
      <c r="C45" s="9" t="s">
        <v>4152</v>
      </c>
      <c r="D45" s="9" t="s">
        <v>4153</v>
      </c>
      <c r="E45" s="9" t="s">
        <v>94</v>
      </c>
      <c r="F45" s="9" t="s">
        <v>22</v>
      </c>
      <c r="G45" s="9">
        <v>4800</v>
      </c>
      <c r="H45" s="9" t="s">
        <v>23</v>
      </c>
      <c r="I45" s="9" t="s">
        <v>4052</v>
      </c>
      <c r="J45" s="9" t="s">
        <v>96</v>
      </c>
      <c r="K45" s="9" t="s">
        <v>97</v>
      </c>
      <c r="L45" s="9" t="s">
        <v>4053</v>
      </c>
      <c r="M45" s="9"/>
      <c r="N45" s="9" t="s">
        <v>4053</v>
      </c>
      <c r="O45" s="9" t="s">
        <v>4154</v>
      </c>
      <c r="P45" s="9" t="s">
        <v>4020</v>
      </c>
      <c r="Q45" s="9" t="s">
        <v>4021</v>
      </c>
      <c r="R45" s="7"/>
      <c r="S45" s="39" t="s">
        <v>246</v>
      </c>
      <c r="T45" s="45">
        <f>T31</f>
        <v>4800</v>
      </c>
      <c r="U45" s="41">
        <f>IF(T45&lt;=5000,30,IF(T45&lt;=15000,90,150))</f>
        <v>30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4014</v>
      </c>
      <c r="C46" s="8" t="s">
        <v>4155</v>
      </c>
      <c r="D46" s="8" t="s">
        <v>4156</v>
      </c>
      <c r="E46" s="8" t="s">
        <v>21</v>
      </c>
      <c r="F46" s="8" t="s">
        <v>22</v>
      </c>
      <c r="G46" s="8">
        <v>163</v>
      </c>
      <c r="H46" s="8" t="s">
        <v>23</v>
      </c>
      <c r="I46" s="8" t="s">
        <v>52</v>
      </c>
      <c r="J46" s="8" t="s">
        <v>41</v>
      </c>
      <c r="K46" s="8" t="s">
        <v>26</v>
      </c>
      <c r="L46" s="8" t="s">
        <v>53</v>
      </c>
      <c r="M46" s="8">
        <v>5812</v>
      </c>
      <c r="N46" s="8" t="s">
        <v>53</v>
      </c>
      <c r="O46" s="8" t="s">
        <v>4157</v>
      </c>
      <c r="P46" s="8" t="s">
        <v>4020</v>
      </c>
      <c r="Q46" s="8" t="s">
        <v>4021</v>
      </c>
      <c r="R46" s="7"/>
      <c r="S46" s="43" t="s">
        <v>250</v>
      </c>
      <c r="T46" s="47">
        <f>T36</f>
        <v>384</v>
      </c>
      <c r="U46" s="41">
        <f>IF(T46&lt;0,0,IF(T46&lt;=1000,50,IF(T46&lt;=3000,100,150)))</f>
        <v>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4014</v>
      </c>
      <c r="C47" s="9" t="s">
        <v>4158</v>
      </c>
      <c r="D47" s="9" t="s">
        <v>4159</v>
      </c>
      <c r="E47" s="9" t="s">
        <v>21</v>
      </c>
      <c r="F47" s="9" t="s">
        <v>22</v>
      </c>
      <c r="G47" s="9">
        <v>344</v>
      </c>
      <c r="H47" s="9" t="s">
        <v>23</v>
      </c>
      <c r="I47" s="9" t="s">
        <v>351</v>
      </c>
      <c r="J47" s="9" t="s">
        <v>36</v>
      </c>
      <c r="K47" s="9" t="s">
        <v>26</v>
      </c>
      <c r="L47" s="9" t="s">
        <v>352</v>
      </c>
      <c r="M47" s="9">
        <v>4813</v>
      </c>
      <c r="N47" s="9" t="s">
        <v>352</v>
      </c>
      <c r="O47" s="9" t="s">
        <v>4160</v>
      </c>
      <c r="P47" s="9" t="s">
        <v>4020</v>
      </c>
      <c r="Q47" s="9" t="s">
        <v>4021</v>
      </c>
      <c r="R47" s="7"/>
      <c r="S47" s="39" t="s">
        <v>256</v>
      </c>
      <c r="T47" s="48">
        <f>T37</f>
        <v>0.74074074074074081</v>
      </c>
      <c r="U47" s="41">
        <f>IF(T47&lt;=0.1,100,IF(T47&lt;=0.25,70,IF(T47&lt;=0.4,40,IF(T47&lt;=0.6,20,0))))</f>
        <v>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4014</v>
      </c>
      <c r="C48" s="8" t="s">
        <v>4161</v>
      </c>
      <c r="D48" s="8" t="s">
        <v>4162</v>
      </c>
      <c r="E48" s="8" t="s">
        <v>21</v>
      </c>
      <c r="F48" s="8" t="s">
        <v>22</v>
      </c>
      <c r="G48" s="8">
        <v>2000</v>
      </c>
      <c r="H48" s="8" t="s">
        <v>23</v>
      </c>
      <c r="I48" s="8" t="s">
        <v>4017</v>
      </c>
      <c r="J48" s="8" t="s">
        <v>36</v>
      </c>
      <c r="K48" s="8" t="s">
        <v>26</v>
      </c>
      <c r="L48" s="8" t="s">
        <v>4018</v>
      </c>
      <c r="M48" s="8">
        <v>6012</v>
      </c>
      <c r="N48" s="8" t="s">
        <v>4018</v>
      </c>
      <c r="O48" s="8" t="s">
        <v>4163</v>
      </c>
      <c r="P48" s="8" t="s">
        <v>4020</v>
      </c>
      <c r="Q48" s="8" t="s">
        <v>4021</v>
      </c>
      <c r="R48" s="7"/>
    </row>
    <row r="49" spans="1:23" ht="27.75" customHeight="1">
      <c r="A49" s="9">
        <v>48</v>
      </c>
      <c r="B49" s="9" t="s">
        <v>4014</v>
      </c>
      <c r="C49" s="9" t="s">
        <v>4164</v>
      </c>
      <c r="D49" s="9" t="s">
        <v>4165</v>
      </c>
      <c r="E49" s="9" t="s">
        <v>21</v>
      </c>
      <c r="F49" s="9" t="s">
        <v>22</v>
      </c>
      <c r="G49" s="9">
        <v>382</v>
      </c>
      <c r="H49" s="9" t="s">
        <v>23</v>
      </c>
      <c r="I49" s="9" t="s">
        <v>86</v>
      </c>
      <c r="J49" s="9" t="s">
        <v>36</v>
      </c>
      <c r="K49" s="9" t="s">
        <v>26</v>
      </c>
      <c r="L49" s="9" t="s">
        <v>87</v>
      </c>
      <c r="M49" s="9">
        <v>4813</v>
      </c>
      <c r="N49" s="9" t="s">
        <v>87</v>
      </c>
      <c r="O49" s="9" t="s">
        <v>4166</v>
      </c>
      <c r="P49" s="9" t="s">
        <v>4020</v>
      </c>
      <c r="Q49" s="9" t="s">
        <v>4021</v>
      </c>
      <c r="R49" s="7"/>
      <c r="S49" s="49" t="s">
        <v>264</v>
      </c>
      <c r="T49" s="50">
        <f>U41+U42+U43+U44+U45+U46+U47</f>
        <v>210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4014</v>
      </c>
      <c r="C50" s="8" t="s">
        <v>4167</v>
      </c>
      <c r="D50" s="8" t="s">
        <v>4168</v>
      </c>
      <c r="E50" s="8" t="s">
        <v>21</v>
      </c>
      <c r="F50" s="8" t="s">
        <v>22</v>
      </c>
      <c r="G50" s="8">
        <v>164</v>
      </c>
      <c r="H50" s="8" t="s">
        <v>23</v>
      </c>
      <c r="I50" s="8" t="s">
        <v>115</v>
      </c>
      <c r="J50" s="8" t="s">
        <v>41</v>
      </c>
      <c r="K50" s="8" t="s">
        <v>26</v>
      </c>
      <c r="L50" s="8" t="s">
        <v>116</v>
      </c>
      <c r="M50" s="8">
        <v>5812</v>
      </c>
      <c r="N50" s="8" t="s">
        <v>116</v>
      </c>
      <c r="O50" s="8" t="s">
        <v>4169</v>
      </c>
      <c r="P50" s="8" t="s">
        <v>4020</v>
      </c>
      <c r="Q50" s="8" t="s">
        <v>4021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CC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4014</v>
      </c>
      <c r="C51" s="9" t="s">
        <v>4170</v>
      </c>
      <c r="D51" s="9" t="s">
        <v>4171</v>
      </c>
      <c r="E51" s="9" t="s">
        <v>21</v>
      </c>
      <c r="F51" s="9" t="s">
        <v>22</v>
      </c>
      <c r="G51" s="9">
        <v>1616</v>
      </c>
      <c r="H51" s="9" t="s">
        <v>23</v>
      </c>
      <c r="I51" s="9" t="s">
        <v>56</v>
      </c>
      <c r="J51" s="9" t="s">
        <v>41</v>
      </c>
      <c r="K51" s="9" t="s">
        <v>26</v>
      </c>
      <c r="L51" s="9" t="s">
        <v>57</v>
      </c>
      <c r="M51" s="9">
        <v>5999</v>
      </c>
      <c r="N51" s="9" t="s">
        <v>57</v>
      </c>
      <c r="O51" s="9" t="s">
        <v>4172</v>
      </c>
      <c r="P51" s="9" t="s">
        <v>4020</v>
      </c>
      <c r="Q51" s="9" t="s">
        <v>4021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Very Poor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4014</v>
      </c>
      <c r="C52" s="8" t="s">
        <v>4173</v>
      </c>
      <c r="D52" s="8" t="s">
        <v>4174</v>
      </c>
      <c r="E52" s="8" t="s">
        <v>21</v>
      </c>
      <c r="F52" s="8" t="s">
        <v>22</v>
      </c>
      <c r="G52" s="8">
        <v>391</v>
      </c>
      <c r="H52" s="8" t="s">
        <v>23</v>
      </c>
      <c r="I52" s="8" t="s">
        <v>560</v>
      </c>
      <c r="J52" s="8" t="s">
        <v>331</v>
      </c>
      <c r="K52" s="8" t="s">
        <v>26</v>
      </c>
      <c r="L52" s="8" t="s">
        <v>561</v>
      </c>
      <c r="M52" s="8">
        <v>6011</v>
      </c>
      <c r="N52" s="8" t="s">
        <v>561</v>
      </c>
      <c r="O52" s="8" t="s">
        <v>4175</v>
      </c>
      <c r="P52" s="8" t="s">
        <v>4020</v>
      </c>
      <c r="Q52" s="8" t="s">
        <v>4021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Unlikely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4014</v>
      </c>
      <c r="C53" s="9" t="s">
        <v>4176</v>
      </c>
      <c r="D53" s="9" t="s">
        <v>4177</v>
      </c>
      <c r="E53" s="9" t="s">
        <v>21</v>
      </c>
      <c r="F53" s="9" t="s">
        <v>22</v>
      </c>
      <c r="G53" s="9">
        <v>457</v>
      </c>
      <c r="H53" s="9" t="s">
        <v>23</v>
      </c>
      <c r="I53" s="9" t="s">
        <v>90</v>
      </c>
      <c r="J53" s="9" t="s">
        <v>36</v>
      </c>
      <c r="K53" s="9" t="s">
        <v>26</v>
      </c>
      <c r="L53" s="9" t="s">
        <v>91</v>
      </c>
      <c r="M53" s="9">
        <v>4900</v>
      </c>
      <c r="N53" s="9" t="s">
        <v>91</v>
      </c>
      <c r="O53" s="9" t="s">
        <v>4178</v>
      </c>
      <c r="P53" s="9" t="s">
        <v>4020</v>
      </c>
      <c r="Q53" s="9" t="s">
        <v>4021</v>
      </c>
      <c r="R53" s="7"/>
    </row>
    <row r="54" spans="1:23" ht="15.75" customHeight="1">
      <c r="A54" s="8">
        <v>53</v>
      </c>
      <c r="B54" s="8" t="s">
        <v>4014</v>
      </c>
      <c r="C54" s="8" t="s">
        <v>4179</v>
      </c>
      <c r="D54" s="8" t="s">
        <v>4180</v>
      </c>
      <c r="E54" s="8" t="s">
        <v>21</v>
      </c>
      <c r="F54" s="8" t="s">
        <v>22</v>
      </c>
      <c r="G54" s="8">
        <v>163</v>
      </c>
      <c r="H54" s="8" t="s">
        <v>23</v>
      </c>
      <c r="I54" s="8" t="s">
        <v>52</v>
      </c>
      <c r="J54" s="8" t="s">
        <v>41</v>
      </c>
      <c r="K54" s="8" t="s">
        <v>26</v>
      </c>
      <c r="L54" s="8" t="s">
        <v>53</v>
      </c>
      <c r="M54" s="8">
        <v>5812</v>
      </c>
      <c r="N54" s="8" t="s">
        <v>53</v>
      </c>
      <c r="O54" s="8" t="s">
        <v>4181</v>
      </c>
      <c r="P54" s="8" t="s">
        <v>4020</v>
      </c>
      <c r="Q54" s="8" t="s">
        <v>4021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4014</v>
      </c>
      <c r="C55" s="9" t="s">
        <v>4182</v>
      </c>
      <c r="D55" s="9" t="s">
        <v>4183</v>
      </c>
      <c r="E55" s="9" t="s">
        <v>21</v>
      </c>
      <c r="F55" s="9" t="s">
        <v>22</v>
      </c>
      <c r="G55" s="9">
        <v>622</v>
      </c>
      <c r="H55" s="9" t="s">
        <v>23</v>
      </c>
      <c r="I55" s="9" t="s">
        <v>131</v>
      </c>
      <c r="J55" s="9" t="s">
        <v>41</v>
      </c>
      <c r="K55" s="9" t="s">
        <v>26</v>
      </c>
      <c r="L55" s="9" t="s">
        <v>132</v>
      </c>
      <c r="M55" s="9">
        <v>5411</v>
      </c>
      <c r="N55" s="9" t="s">
        <v>132</v>
      </c>
      <c r="O55" s="9" t="s">
        <v>4184</v>
      </c>
      <c r="P55" s="9" t="s">
        <v>4020</v>
      </c>
      <c r="Q55" s="9" t="s">
        <v>4021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4014</v>
      </c>
      <c r="C56" s="8" t="s">
        <v>4185</v>
      </c>
      <c r="D56" s="8" t="s">
        <v>4186</v>
      </c>
      <c r="E56" s="8" t="s">
        <v>94</v>
      </c>
      <c r="F56" s="8" t="s">
        <v>22</v>
      </c>
      <c r="G56" s="8">
        <v>4800</v>
      </c>
      <c r="H56" s="8" t="s">
        <v>23</v>
      </c>
      <c r="I56" s="8" t="s">
        <v>4052</v>
      </c>
      <c r="J56" s="8" t="s">
        <v>96</v>
      </c>
      <c r="K56" s="8" t="s">
        <v>97</v>
      </c>
      <c r="L56" s="8" t="s">
        <v>4053</v>
      </c>
      <c r="M56" s="8"/>
      <c r="N56" s="8" t="s">
        <v>4053</v>
      </c>
      <c r="O56" s="8" t="s">
        <v>4187</v>
      </c>
      <c r="P56" s="8" t="s">
        <v>4020</v>
      </c>
      <c r="Q56" s="8" t="s">
        <v>4021</v>
      </c>
      <c r="R56" s="7"/>
      <c r="S56" s="61" t="s">
        <v>294</v>
      </c>
      <c r="T56" s="62">
        <f>IFERROR(U24/T24,0)</f>
        <v>0.74074074074074081</v>
      </c>
      <c r="U56" s="27" t="s">
        <v>206</v>
      </c>
      <c r="V56" s="38" t="str">
        <f>IF(T56&lt;=0.35,"✅ Meets","⚠️ Exceeds")</f>
        <v>⚠️ Exceeds</v>
      </c>
      <c r="W56" s="29" t="s">
        <v>295</v>
      </c>
    </row>
    <row r="57" spans="1:23" ht="18" customHeight="1">
      <c r="A57" s="9">
        <v>56</v>
      </c>
      <c r="B57" s="9" t="s">
        <v>4014</v>
      </c>
      <c r="C57" s="9" t="s">
        <v>4188</v>
      </c>
      <c r="D57" s="9" t="s">
        <v>4189</v>
      </c>
      <c r="E57" s="9" t="s">
        <v>21</v>
      </c>
      <c r="F57" s="9" t="s">
        <v>22</v>
      </c>
      <c r="G57" s="9">
        <v>621</v>
      </c>
      <c r="H57" s="9" t="s">
        <v>23</v>
      </c>
      <c r="I57" s="9" t="s">
        <v>102</v>
      </c>
      <c r="J57" s="9" t="s">
        <v>41</v>
      </c>
      <c r="K57" s="9" t="s">
        <v>26</v>
      </c>
      <c r="L57" s="9" t="s">
        <v>103</v>
      </c>
      <c r="M57" s="9">
        <v>5411</v>
      </c>
      <c r="N57" s="9" t="s">
        <v>103</v>
      </c>
      <c r="O57" s="9" t="s">
        <v>4190</v>
      </c>
      <c r="P57" s="9" t="s">
        <v>4020</v>
      </c>
      <c r="Q57" s="9" t="s">
        <v>4021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4014</v>
      </c>
      <c r="C58" s="8" t="s">
        <v>4191</v>
      </c>
      <c r="D58" s="8" t="s">
        <v>4192</v>
      </c>
      <c r="E58" s="8" t="s">
        <v>21</v>
      </c>
      <c r="F58" s="8" t="s">
        <v>22</v>
      </c>
      <c r="G58" s="8">
        <v>589</v>
      </c>
      <c r="H58" s="8" t="s">
        <v>23</v>
      </c>
      <c r="I58" s="8" t="s">
        <v>102</v>
      </c>
      <c r="J58" s="8" t="s">
        <v>41</v>
      </c>
      <c r="K58" s="8" t="s">
        <v>26</v>
      </c>
      <c r="L58" s="8" t="s">
        <v>103</v>
      </c>
      <c r="M58" s="8">
        <v>5411</v>
      </c>
      <c r="N58" s="8" t="s">
        <v>103</v>
      </c>
      <c r="O58" s="8" t="s">
        <v>4193</v>
      </c>
      <c r="P58" s="8" t="s">
        <v>4020</v>
      </c>
      <c r="Q58" s="8" t="s">
        <v>4021</v>
      </c>
      <c r="R58" s="7"/>
      <c r="S58" s="61" t="s">
        <v>303</v>
      </c>
      <c r="T58" s="62">
        <f>T35</f>
        <v>0.08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A59" s="9">
        <v>58</v>
      </c>
      <c r="B59" s="9" t="s">
        <v>4014</v>
      </c>
      <c r="C59" s="9" t="s">
        <v>4194</v>
      </c>
      <c r="D59" s="9" t="s">
        <v>4195</v>
      </c>
      <c r="E59" s="9" t="s">
        <v>21</v>
      </c>
      <c r="F59" s="9" t="s">
        <v>22</v>
      </c>
      <c r="G59" s="9">
        <v>2000</v>
      </c>
      <c r="H59" s="9" t="s">
        <v>23</v>
      </c>
      <c r="I59" s="9" t="s">
        <v>4017</v>
      </c>
      <c r="J59" s="9" t="s">
        <v>36</v>
      </c>
      <c r="K59" s="9" t="s">
        <v>26</v>
      </c>
      <c r="L59" s="9" t="s">
        <v>4018</v>
      </c>
      <c r="M59" s="9">
        <v>6012</v>
      </c>
      <c r="N59" s="9" t="s">
        <v>4018</v>
      </c>
      <c r="O59" s="9" t="s">
        <v>4196</v>
      </c>
      <c r="P59" s="9" t="s">
        <v>4020</v>
      </c>
      <c r="Q59" s="9" t="s">
        <v>4021</v>
      </c>
      <c r="R59" s="7"/>
      <c r="S59" s="68" t="s">
        <v>308</v>
      </c>
      <c r="T59" s="69">
        <f>T36</f>
        <v>384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4014</v>
      </c>
      <c r="C60" s="8" t="s">
        <v>4197</v>
      </c>
      <c r="D60" s="8" t="s">
        <v>4198</v>
      </c>
      <c r="E60" s="8" t="s">
        <v>21</v>
      </c>
      <c r="F60" s="8" t="s">
        <v>22</v>
      </c>
      <c r="G60" s="8">
        <v>466</v>
      </c>
      <c r="H60" s="8" t="s">
        <v>23</v>
      </c>
      <c r="I60" s="8" t="s">
        <v>198</v>
      </c>
      <c r="J60" s="8" t="s">
        <v>36</v>
      </c>
      <c r="K60" s="8" t="s">
        <v>26</v>
      </c>
      <c r="L60" s="8" t="s">
        <v>199</v>
      </c>
      <c r="M60" s="8">
        <v>4900</v>
      </c>
      <c r="N60" s="8" t="s">
        <v>199</v>
      </c>
      <c r="O60" s="8" t="s">
        <v>4199</v>
      </c>
      <c r="P60" s="8" t="s">
        <v>4020</v>
      </c>
      <c r="Q60" s="8" t="s">
        <v>4021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4014</v>
      </c>
      <c r="C61" s="9" t="s">
        <v>4200</v>
      </c>
      <c r="D61" s="9" t="s">
        <v>4201</v>
      </c>
      <c r="E61" s="9" t="s">
        <v>21</v>
      </c>
      <c r="F61" s="9" t="s">
        <v>22</v>
      </c>
      <c r="G61" s="9">
        <v>382</v>
      </c>
      <c r="H61" s="9" t="s">
        <v>23</v>
      </c>
      <c r="I61" s="9" t="s">
        <v>254</v>
      </c>
      <c r="J61" s="9" t="s">
        <v>41</v>
      </c>
      <c r="K61" s="9" t="s">
        <v>26</v>
      </c>
      <c r="L61" s="9" t="s">
        <v>255</v>
      </c>
      <c r="M61" s="9">
        <v>5812</v>
      </c>
      <c r="N61" s="9" t="s">
        <v>255</v>
      </c>
      <c r="O61" s="9" t="s">
        <v>4202</v>
      </c>
      <c r="P61" s="9" t="s">
        <v>4020</v>
      </c>
      <c r="Q61" s="9" t="s">
        <v>4021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4014</v>
      </c>
      <c r="C62" s="8" t="s">
        <v>4203</v>
      </c>
      <c r="D62" s="8" t="s">
        <v>4204</v>
      </c>
      <c r="E62" s="8" t="s">
        <v>21</v>
      </c>
      <c r="F62" s="8" t="s">
        <v>22</v>
      </c>
      <c r="G62" s="8">
        <v>1745</v>
      </c>
      <c r="H62" s="8" t="s">
        <v>23</v>
      </c>
      <c r="I62" s="8" t="s">
        <v>56</v>
      </c>
      <c r="J62" s="8" t="s">
        <v>41</v>
      </c>
      <c r="K62" s="8" t="s">
        <v>26</v>
      </c>
      <c r="L62" s="8" t="s">
        <v>57</v>
      </c>
      <c r="M62" s="8">
        <v>5999</v>
      </c>
      <c r="N62" s="8" t="s">
        <v>57</v>
      </c>
      <c r="O62" s="8" t="s">
        <v>4205</v>
      </c>
      <c r="P62" s="8" t="s">
        <v>4020</v>
      </c>
      <c r="Q62" s="8" t="s">
        <v>4021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4014</v>
      </c>
      <c r="C63" s="9" t="s">
        <v>4206</v>
      </c>
      <c r="D63" s="9" t="s">
        <v>4207</v>
      </c>
      <c r="E63" s="9" t="s">
        <v>21</v>
      </c>
      <c r="F63" s="9" t="s">
        <v>22</v>
      </c>
      <c r="G63" s="9">
        <v>380</v>
      </c>
      <c r="H63" s="9" t="s">
        <v>23</v>
      </c>
      <c r="I63" s="9" t="s">
        <v>351</v>
      </c>
      <c r="J63" s="9" t="s">
        <v>36</v>
      </c>
      <c r="K63" s="9" t="s">
        <v>26</v>
      </c>
      <c r="L63" s="9" t="s">
        <v>352</v>
      </c>
      <c r="M63" s="9">
        <v>4813</v>
      </c>
      <c r="N63" s="9" t="s">
        <v>352</v>
      </c>
      <c r="O63" s="9" t="s">
        <v>4208</v>
      </c>
      <c r="P63" s="9" t="s">
        <v>4020</v>
      </c>
      <c r="Q63" s="9" t="s">
        <v>4021</v>
      </c>
      <c r="R63" s="7"/>
      <c r="S63" s="68" t="s">
        <v>333</v>
      </c>
      <c r="T63" s="74">
        <f>IFERROR((MIN(1,SUMPRODUCT((LEFT($C$2:$C$96,7)=TEXT(S9,"YYYY-MM"))*($E$2:$E$96="KSAOB.Credit")*($K$2:$K$96="KSAOB.Deposit")))+MIN(1,SUMPRODUCT((LEFT($C$2:$C$96,7)=TEXT(S10,"YYYY-MM"))*($E$2:$E$96="KSAOB.Credit")*($K$2:$K$96="KSAOB.Deposit")))+MIN(1,SUMPRODUCT((LEFT($C$2:$C$96,7)=TEXT(S11,"YYYY-MM"))*($E$2:$E$96="KSAOB.Credit")*($K$2:$K$96="KSAOB.Deposit")))+MIN(1,SUMPRODUCT((LEFT($C$2:$C$96,7)=TEXT(S12,"YYYY-MM"))*($E$2:$E$96="KSAOB.Credit")*($K$2:$K$96="KSAOB.Deposit")))+MIN(1,SUMPRODUCT((LEFT($C$2:$C$96,7)=TEXT(S13,"YYYY-MM"))*($E$2:$E$96="KSAOB.Credit")*($K$2:$K$96="KSAOB.Deposit")))+MIN(1,SUMPRODUCT((LEFT($C$2:$C$96,7)=TEXT(S14,"YYYY-MM"))*($E$2:$E$96="KSAOB.Credit")*($K$2:$K$96="KSAOB.Deposit")))+MIN(1,SUMPRODUCT((LEFT($C$2:$C$96,7)=TEXT(S15,"YYYY-MM"))*($E$2:$E$96="KSAOB.Credit")*($K$2:$K$96="KSAOB.Deposit")))+MIN(1,SUMPRODUCT((LEFT($C$2:$C$96,7)=TEXT(S16,"YYYY-MM"))*($E$2:$E$96="KSAOB.Credit")*($K$2:$K$96="KSAOB.Deposit")))+MIN(1,SUMPRODUCT((LEFT($C$2:$C$96,7)=TEXT(S17,"YYYY-MM"))*($E$2:$E$96="KSAOB.Credit")*($K$2:$K$96="KSAOB.Deposit"))))/9,0)</f>
        <v>1</v>
      </c>
      <c r="U63" s="32" t="s">
        <v>334</v>
      </c>
      <c r="V63" s="36" t="str">
        <f>IF(T63&gt;=0.9,"✅ Meets","⚠️ Below")</f>
        <v>✅ Meets</v>
      </c>
      <c r="W63" s="34" t="s">
        <v>1290</v>
      </c>
    </row>
    <row r="64" spans="1:23" ht="15" customHeight="1">
      <c r="A64" s="8">
        <v>63</v>
      </c>
      <c r="B64" s="8" t="s">
        <v>4014</v>
      </c>
      <c r="C64" s="8" t="s">
        <v>4209</v>
      </c>
      <c r="D64" s="8" t="s">
        <v>4210</v>
      </c>
      <c r="E64" s="8" t="s">
        <v>21</v>
      </c>
      <c r="F64" s="8" t="s">
        <v>22</v>
      </c>
      <c r="G64" s="8">
        <v>590</v>
      </c>
      <c r="H64" s="8" t="s">
        <v>23</v>
      </c>
      <c r="I64" s="8" t="s">
        <v>244</v>
      </c>
      <c r="J64" s="8" t="s">
        <v>41</v>
      </c>
      <c r="K64" s="8" t="s">
        <v>26</v>
      </c>
      <c r="L64" s="8" t="s">
        <v>245</v>
      </c>
      <c r="M64" s="8">
        <v>5411</v>
      </c>
      <c r="N64" s="8" t="s">
        <v>245</v>
      </c>
      <c r="O64" s="8" t="s">
        <v>4211</v>
      </c>
      <c r="P64" s="8" t="s">
        <v>4020</v>
      </c>
      <c r="Q64" s="8" t="s">
        <v>4021</v>
      </c>
      <c r="R64" s="7"/>
    </row>
    <row r="65" spans="1:17" ht="15" customHeight="1">
      <c r="A65" s="9">
        <v>64</v>
      </c>
      <c r="B65" s="9" t="s">
        <v>4014</v>
      </c>
      <c r="C65" s="9" t="s">
        <v>4212</v>
      </c>
      <c r="D65" s="9" t="s">
        <v>4213</v>
      </c>
      <c r="E65" s="9" t="s">
        <v>94</v>
      </c>
      <c r="F65" s="9" t="s">
        <v>22</v>
      </c>
      <c r="G65" s="9">
        <v>4800</v>
      </c>
      <c r="H65" s="9" t="s">
        <v>23</v>
      </c>
      <c r="I65" s="9" t="s">
        <v>4052</v>
      </c>
      <c r="J65" s="9" t="s">
        <v>96</v>
      </c>
      <c r="K65" s="9" t="s">
        <v>97</v>
      </c>
      <c r="L65" s="9" t="s">
        <v>4053</v>
      </c>
      <c r="M65" s="9"/>
      <c r="N65" s="9" t="s">
        <v>4053</v>
      </c>
      <c r="O65" s="9" t="s">
        <v>4214</v>
      </c>
      <c r="P65" s="9" t="s">
        <v>4020</v>
      </c>
      <c r="Q65" s="9" t="s">
        <v>4021</v>
      </c>
    </row>
    <row r="66" spans="1:17" ht="15" customHeight="1">
      <c r="A66" s="8">
        <v>65</v>
      </c>
      <c r="B66" s="8" t="s">
        <v>4014</v>
      </c>
      <c r="C66" s="8" t="s">
        <v>4215</v>
      </c>
      <c r="D66" s="8" t="s">
        <v>4216</v>
      </c>
      <c r="E66" s="8" t="s">
        <v>21</v>
      </c>
      <c r="F66" s="8" t="s">
        <v>22</v>
      </c>
      <c r="G66" s="8">
        <v>264</v>
      </c>
      <c r="H66" s="8" t="s">
        <v>23</v>
      </c>
      <c r="I66" s="8" t="s">
        <v>70</v>
      </c>
      <c r="J66" s="8" t="s">
        <v>41</v>
      </c>
      <c r="K66" s="8" t="s">
        <v>26</v>
      </c>
      <c r="L66" s="8" t="s">
        <v>71</v>
      </c>
      <c r="M66" s="8">
        <v>5541</v>
      </c>
      <c r="N66" s="8" t="s">
        <v>71</v>
      </c>
      <c r="O66" s="8" t="s">
        <v>4217</v>
      </c>
      <c r="P66" s="8" t="s">
        <v>4020</v>
      </c>
      <c r="Q66" s="8" t="s">
        <v>4021</v>
      </c>
    </row>
    <row r="67" spans="1:17" ht="15" customHeight="1">
      <c r="A67" s="9">
        <v>66</v>
      </c>
      <c r="B67" s="9" t="s">
        <v>4014</v>
      </c>
      <c r="C67" s="9" t="s">
        <v>4218</v>
      </c>
      <c r="D67" s="9" t="s">
        <v>4219</v>
      </c>
      <c r="E67" s="9" t="s">
        <v>21</v>
      </c>
      <c r="F67" s="9" t="s">
        <v>22</v>
      </c>
      <c r="G67" s="9">
        <v>842</v>
      </c>
      <c r="H67" s="9" t="s">
        <v>23</v>
      </c>
      <c r="I67" s="9" t="s">
        <v>363</v>
      </c>
      <c r="J67" s="9" t="s">
        <v>41</v>
      </c>
      <c r="K67" s="9" t="s">
        <v>26</v>
      </c>
      <c r="L67" s="9" t="s">
        <v>364</v>
      </c>
      <c r="M67" s="9">
        <v>5999</v>
      </c>
      <c r="N67" s="9" t="s">
        <v>364</v>
      </c>
      <c r="O67" s="9" t="s">
        <v>4220</v>
      </c>
      <c r="P67" s="9" t="s">
        <v>4020</v>
      </c>
      <c r="Q67" s="9" t="s">
        <v>4021</v>
      </c>
    </row>
    <row r="68" spans="1:17" ht="15" customHeight="1">
      <c r="A68" s="8">
        <v>67</v>
      </c>
      <c r="B68" s="8" t="s">
        <v>4014</v>
      </c>
      <c r="C68" s="8" t="s">
        <v>4221</v>
      </c>
      <c r="D68" s="8" t="s">
        <v>4222</v>
      </c>
      <c r="E68" s="8" t="s">
        <v>21</v>
      </c>
      <c r="F68" s="8" t="s">
        <v>22</v>
      </c>
      <c r="G68" s="8">
        <v>2000</v>
      </c>
      <c r="H68" s="8" t="s">
        <v>23</v>
      </c>
      <c r="I68" s="8" t="s">
        <v>4017</v>
      </c>
      <c r="J68" s="8" t="s">
        <v>36</v>
      </c>
      <c r="K68" s="8" t="s">
        <v>26</v>
      </c>
      <c r="L68" s="8" t="s">
        <v>4018</v>
      </c>
      <c r="M68" s="8">
        <v>6012</v>
      </c>
      <c r="N68" s="8" t="s">
        <v>4018</v>
      </c>
      <c r="O68" s="8" t="s">
        <v>4223</v>
      </c>
      <c r="P68" s="8" t="s">
        <v>4020</v>
      </c>
      <c r="Q68" s="8" t="s">
        <v>4021</v>
      </c>
    </row>
    <row r="69" spans="1:17" ht="15" customHeight="1">
      <c r="A69" s="9">
        <v>68</v>
      </c>
      <c r="B69" s="9" t="s">
        <v>4014</v>
      </c>
      <c r="C69" s="9" t="s">
        <v>4224</v>
      </c>
      <c r="D69" s="9" t="s">
        <v>4225</v>
      </c>
      <c r="E69" s="9" t="s">
        <v>21</v>
      </c>
      <c r="F69" s="9" t="s">
        <v>22</v>
      </c>
      <c r="G69" s="9">
        <v>531</v>
      </c>
      <c r="H69" s="9" t="s">
        <v>23</v>
      </c>
      <c r="I69" s="9" t="s">
        <v>102</v>
      </c>
      <c r="J69" s="9" t="s">
        <v>41</v>
      </c>
      <c r="K69" s="9" t="s">
        <v>26</v>
      </c>
      <c r="L69" s="9" t="s">
        <v>103</v>
      </c>
      <c r="M69" s="9">
        <v>5411</v>
      </c>
      <c r="N69" s="9" t="s">
        <v>103</v>
      </c>
      <c r="O69" s="9" t="s">
        <v>4226</v>
      </c>
      <c r="P69" s="9" t="s">
        <v>4020</v>
      </c>
      <c r="Q69" s="9" t="s">
        <v>4021</v>
      </c>
    </row>
    <row r="70" spans="1:17" ht="15" customHeight="1">
      <c r="A70" s="8">
        <v>69</v>
      </c>
      <c r="B70" s="8" t="s">
        <v>4014</v>
      </c>
      <c r="C70" s="8" t="s">
        <v>4227</v>
      </c>
      <c r="D70" s="8" t="s">
        <v>4228</v>
      </c>
      <c r="E70" s="8" t="s">
        <v>21</v>
      </c>
      <c r="F70" s="8" t="s">
        <v>22</v>
      </c>
      <c r="G70" s="8">
        <v>1338</v>
      </c>
      <c r="H70" s="8" t="s">
        <v>23</v>
      </c>
      <c r="I70" s="8" t="s">
        <v>56</v>
      </c>
      <c r="J70" s="8" t="s">
        <v>41</v>
      </c>
      <c r="K70" s="8" t="s">
        <v>26</v>
      </c>
      <c r="L70" s="8" t="s">
        <v>57</v>
      </c>
      <c r="M70" s="8">
        <v>5999</v>
      </c>
      <c r="N70" s="8" t="s">
        <v>57</v>
      </c>
      <c r="O70" s="8" t="s">
        <v>4229</v>
      </c>
      <c r="P70" s="8" t="s">
        <v>4020</v>
      </c>
      <c r="Q70" s="8" t="s">
        <v>4021</v>
      </c>
    </row>
    <row r="71" spans="1:17" ht="15" customHeight="1">
      <c r="A71" s="9">
        <v>70</v>
      </c>
      <c r="B71" s="9" t="s">
        <v>4014</v>
      </c>
      <c r="C71" s="9" t="s">
        <v>4230</v>
      </c>
      <c r="D71" s="9" t="s">
        <v>4231</v>
      </c>
      <c r="E71" s="9" t="s">
        <v>21</v>
      </c>
      <c r="F71" s="9" t="s">
        <v>22</v>
      </c>
      <c r="G71" s="9">
        <v>473</v>
      </c>
      <c r="H71" s="9" t="s">
        <v>23</v>
      </c>
      <c r="I71" s="9" t="s">
        <v>498</v>
      </c>
      <c r="J71" s="9" t="s">
        <v>36</v>
      </c>
      <c r="K71" s="9" t="s">
        <v>26</v>
      </c>
      <c r="L71" s="9" t="s">
        <v>499</v>
      </c>
      <c r="M71" s="9">
        <v>4900</v>
      </c>
      <c r="N71" s="9" t="s">
        <v>499</v>
      </c>
      <c r="O71" s="9" t="s">
        <v>4232</v>
      </c>
      <c r="P71" s="9" t="s">
        <v>4020</v>
      </c>
      <c r="Q71" s="9" t="s">
        <v>4021</v>
      </c>
    </row>
    <row r="72" spans="1:17" ht="15" customHeight="1">
      <c r="A72" s="8">
        <v>71</v>
      </c>
      <c r="B72" s="8" t="s">
        <v>4014</v>
      </c>
      <c r="C72" s="8" t="s">
        <v>4233</v>
      </c>
      <c r="D72" s="8" t="s">
        <v>4234</v>
      </c>
      <c r="E72" s="8" t="s">
        <v>21</v>
      </c>
      <c r="F72" s="8" t="s">
        <v>22</v>
      </c>
      <c r="G72" s="8">
        <v>370</v>
      </c>
      <c r="H72" s="8" t="s">
        <v>23</v>
      </c>
      <c r="I72" s="8" t="s">
        <v>351</v>
      </c>
      <c r="J72" s="8" t="s">
        <v>36</v>
      </c>
      <c r="K72" s="8" t="s">
        <v>26</v>
      </c>
      <c r="L72" s="8" t="s">
        <v>352</v>
      </c>
      <c r="M72" s="8">
        <v>4813</v>
      </c>
      <c r="N72" s="8" t="s">
        <v>352</v>
      </c>
      <c r="O72" s="8" t="s">
        <v>4235</v>
      </c>
      <c r="P72" s="8" t="s">
        <v>4020</v>
      </c>
      <c r="Q72" s="8" t="s">
        <v>4021</v>
      </c>
    </row>
    <row r="73" spans="1:17" ht="15" customHeight="1">
      <c r="A73" s="9">
        <v>72</v>
      </c>
      <c r="B73" s="9" t="s">
        <v>4014</v>
      </c>
      <c r="C73" s="9" t="s">
        <v>4236</v>
      </c>
      <c r="D73" s="9" t="s">
        <v>4237</v>
      </c>
      <c r="E73" s="9" t="s">
        <v>21</v>
      </c>
      <c r="F73" s="9" t="s">
        <v>22</v>
      </c>
      <c r="G73" s="9">
        <v>531</v>
      </c>
      <c r="H73" s="9" t="s">
        <v>23</v>
      </c>
      <c r="I73" s="9" t="s">
        <v>180</v>
      </c>
      <c r="J73" s="9" t="s">
        <v>41</v>
      </c>
      <c r="K73" s="9" t="s">
        <v>26</v>
      </c>
      <c r="L73" s="9" t="s">
        <v>181</v>
      </c>
      <c r="M73" s="9">
        <v>5411</v>
      </c>
      <c r="N73" s="9" t="s">
        <v>181</v>
      </c>
      <c r="O73" s="9" t="s">
        <v>4238</v>
      </c>
      <c r="P73" s="9" t="s">
        <v>4020</v>
      </c>
      <c r="Q73" s="9" t="s">
        <v>4021</v>
      </c>
    </row>
    <row r="74" spans="1:17" ht="15" customHeight="1">
      <c r="A74" s="8">
        <v>73</v>
      </c>
      <c r="B74" s="8" t="s">
        <v>4014</v>
      </c>
      <c r="C74" s="8" t="s">
        <v>4239</v>
      </c>
      <c r="D74" s="8" t="s">
        <v>4240</v>
      </c>
      <c r="E74" s="8" t="s">
        <v>21</v>
      </c>
      <c r="F74" s="8" t="s">
        <v>22</v>
      </c>
      <c r="G74" s="8">
        <v>331</v>
      </c>
      <c r="H74" s="8" t="s">
        <v>23</v>
      </c>
      <c r="I74" s="8" t="s">
        <v>254</v>
      </c>
      <c r="J74" s="8" t="s">
        <v>41</v>
      </c>
      <c r="K74" s="8" t="s">
        <v>26</v>
      </c>
      <c r="L74" s="8" t="s">
        <v>255</v>
      </c>
      <c r="M74" s="8">
        <v>5812</v>
      </c>
      <c r="N74" s="8" t="s">
        <v>255</v>
      </c>
      <c r="O74" s="8" t="s">
        <v>4241</v>
      </c>
      <c r="P74" s="8" t="s">
        <v>4020</v>
      </c>
      <c r="Q74" s="8" t="s">
        <v>4021</v>
      </c>
    </row>
    <row r="75" spans="1:17" ht="15" customHeight="1">
      <c r="A75" s="9">
        <v>74</v>
      </c>
      <c r="B75" s="9" t="s">
        <v>4014</v>
      </c>
      <c r="C75" s="9" t="s">
        <v>4242</v>
      </c>
      <c r="D75" s="9" t="s">
        <v>4243</v>
      </c>
      <c r="E75" s="9" t="s">
        <v>94</v>
      </c>
      <c r="F75" s="9" t="s">
        <v>22</v>
      </c>
      <c r="G75" s="9">
        <v>4800</v>
      </c>
      <c r="H75" s="9" t="s">
        <v>23</v>
      </c>
      <c r="I75" s="9" t="s">
        <v>4052</v>
      </c>
      <c r="J75" s="9" t="s">
        <v>96</v>
      </c>
      <c r="K75" s="9" t="s">
        <v>97</v>
      </c>
      <c r="L75" s="9" t="s">
        <v>4053</v>
      </c>
      <c r="M75" s="9"/>
      <c r="N75" s="9" t="s">
        <v>4053</v>
      </c>
      <c r="O75" s="9" t="s">
        <v>4244</v>
      </c>
      <c r="P75" s="9" t="s">
        <v>4020</v>
      </c>
      <c r="Q75" s="9" t="s">
        <v>4021</v>
      </c>
    </row>
    <row r="76" spans="1:17" ht="15" customHeight="1">
      <c r="A76" s="8">
        <v>75</v>
      </c>
      <c r="B76" s="8" t="s">
        <v>4014</v>
      </c>
      <c r="C76" s="8" t="s">
        <v>4245</v>
      </c>
      <c r="D76" s="8" t="s">
        <v>4246</v>
      </c>
      <c r="E76" s="8" t="s">
        <v>21</v>
      </c>
      <c r="F76" s="8" t="s">
        <v>22</v>
      </c>
      <c r="G76" s="8">
        <v>2000</v>
      </c>
      <c r="H76" s="8" t="s">
        <v>23</v>
      </c>
      <c r="I76" s="8" t="s">
        <v>4017</v>
      </c>
      <c r="J76" s="8" t="s">
        <v>36</v>
      </c>
      <c r="K76" s="8" t="s">
        <v>26</v>
      </c>
      <c r="L76" s="8" t="s">
        <v>4018</v>
      </c>
      <c r="M76" s="8">
        <v>6012</v>
      </c>
      <c r="N76" s="8" t="s">
        <v>4018</v>
      </c>
      <c r="O76" s="8" t="s">
        <v>4247</v>
      </c>
      <c r="P76" s="8" t="s">
        <v>4020</v>
      </c>
      <c r="Q76" s="8" t="s">
        <v>4021</v>
      </c>
    </row>
    <row r="77" spans="1:17" ht="15" customHeight="1">
      <c r="A77" s="9">
        <v>76</v>
      </c>
      <c r="B77" s="9" t="s">
        <v>4014</v>
      </c>
      <c r="C77" s="9" t="s">
        <v>4248</v>
      </c>
      <c r="D77" s="9" t="s">
        <v>4249</v>
      </c>
      <c r="E77" s="9" t="s">
        <v>21</v>
      </c>
      <c r="F77" s="9" t="s">
        <v>22</v>
      </c>
      <c r="G77" s="9">
        <v>525</v>
      </c>
      <c r="H77" s="9" t="s">
        <v>23</v>
      </c>
      <c r="I77" s="9" t="s">
        <v>90</v>
      </c>
      <c r="J77" s="9" t="s">
        <v>36</v>
      </c>
      <c r="K77" s="9" t="s">
        <v>26</v>
      </c>
      <c r="L77" s="9" t="s">
        <v>91</v>
      </c>
      <c r="M77" s="9">
        <v>4900</v>
      </c>
      <c r="N77" s="9" t="s">
        <v>91</v>
      </c>
      <c r="O77" s="9" t="s">
        <v>4250</v>
      </c>
      <c r="P77" s="9" t="s">
        <v>4020</v>
      </c>
      <c r="Q77" s="9" t="s">
        <v>4021</v>
      </c>
    </row>
    <row r="78" spans="1:17" ht="15" customHeight="1">
      <c r="A78" s="8">
        <v>77</v>
      </c>
      <c r="B78" s="8" t="s">
        <v>4014</v>
      </c>
      <c r="C78" s="8" t="s">
        <v>4251</v>
      </c>
      <c r="D78" s="8" t="s">
        <v>4252</v>
      </c>
      <c r="E78" s="8" t="s">
        <v>21</v>
      </c>
      <c r="F78" s="8" t="s">
        <v>22</v>
      </c>
      <c r="G78" s="8">
        <v>843</v>
      </c>
      <c r="H78" s="8" t="s">
        <v>23</v>
      </c>
      <c r="I78" s="8" t="s">
        <v>108</v>
      </c>
      <c r="J78" s="8" t="s">
        <v>41</v>
      </c>
      <c r="K78" s="8" t="s">
        <v>26</v>
      </c>
      <c r="L78" s="8" t="s">
        <v>57</v>
      </c>
      <c r="M78" s="8">
        <v>5999</v>
      </c>
      <c r="N78" s="8" t="s">
        <v>57</v>
      </c>
      <c r="O78" s="8" t="s">
        <v>4253</v>
      </c>
      <c r="P78" s="8" t="s">
        <v>4020</v>
      </c>
      <c r="Q78" s="8" t="s">
        <v>4021</v>
      </c>
    </row>
    <row r="79" spans="1:17" ht="15" customHeight="1">
      <c r="A79" s="9">
        <v>78</v>
      </c>
      <c r="B79" s="9" t="s">
        <v>4014</v>
      </c>
      <c r="C79" s="9" t="s">
        <v>4254</v>
      </c>
      <c r="D79" s="9" t="s">
        <v>4255</v>
      </c>
      <c r="E79" s="9" t="s">
        <v>21</v>
      </c>
      <c r="F79" s="9" t="s">
        <v>22</v>
      </c>
      <c r="G79" s="9">
        <v>694</v>
      </c>
      <c r="H79" s="9" t="s">
        <v>23</v>
      </c>
      <c r="I79" s="9" t="s">
        <v>180</v>
      </c>
      <c r="J79" s="9" t="s">
        <v>41</v>
      </c>
      <c r="K79" s="9" t="s">
        <v>26</v>
      </c>
      <c r="L79" s="9" t="s">
        <v>181</v>
      </c>
      <c r="M79" s="9">
        <v>5411</v>
      </c>
      <c r="N79" s="9" t="s">
        <v>181</v>
      </c>
      <c r="O79" s="9" t="s">
        <v>4256</v>
      </c>
      <c r="P79" s="9" t="s">
        <v>4020</v>
      </c>
      <c r="Q79" s="9" t="s">
        <v>4021</v>
      </c>
    </row>
    <row r="80" spans="1:17" ht="15" customHeight="1">
      <c r="A80" s="8">
        <v>79</v>
      </c>
      <c r="B80" s="8" t="s">
        <v>4014</v>
      </c>
      <c r="C80" s="8" t="s">
        <v>4257</v>
      </c>
      <c r="D80" s="8" t="s">
        <v>4258</v>
      </c>
      <c r="E80" s="8" t="s">
        <v>21</v>
      </c>
      <c r="F80" s="8" t="s">
        <v>22</v>
      </c>
      <c r="G80" s="8">
        <v>186</v>
      </c>
      <c r="H80" s="8" t="s">
        <v>23</v>
      </c>
      <c r="I80" s="8" t="s">
        <v>254</v>
      </c>
      <c r="J80" s="8" t="s">
        <v>41</v>
      </c>
      <c r="K80" s="8" t="s">
        <v>26</v>
      </c>
      <c r="L80" s="8" t="s">
        <v>255</v>
      </c>
      <c r="M80" s="8">
        <v>5812</v>
      </c>
      <c r="N80" s="8" t="s">
        <v>255</v>
      </c>
      <c r="O80" s="8" t="s">
        <v>4259</v>
      </c>
      <c r="P80" s="8" t="s">
        <v>4020</v>
      </c>
      <c r="Q80" s="8" t="s">
        <v>4021</v>
      </c>
    </row>
    <row r="81" spans="1:17" ht="15" customHeight="1">
      <c r="A81" s="9">
        <v>80</v>
      </c>
      <c r="B81" s="9" t="s">
        <v>4014</v>
      </c>
      <c r="C81" s="9" t="s">
        <v>4260</v>
      </c>
      <c r="D81" s="9" t="s">
        <v>4261</v>
      </c>
      <c r="E81" s="9" t="s">
        <v>21</v>
      </c>
      <c r="F81" s="9" t="s">
        <v>22</v>
      </c>
      <c r="G81" s="9">
        <v>694</v>
      </c>
      <c r="H81" s="9" t="s">
        <v>23</v>
      </c>
      <c r="I81" s="9" t="s">
        <v>102</v>
      </c>
      <c r="J81" s="9" t="s">
        <v>41</v>
      </c>
      <c r="K81" s="9" t="s">
        <v>26</v>
      </c>
      <c r="L81" s="9" t="s">
        <v>103</v>
      </c>
      <c r="M81" s="9">
        <v>5411</v>
      </c>
      <c r="N81" s="9" t="s">
        <v>103</v>
      </c>
      <c r="O81" s="9" t="s">
        <v>4262</v>
      </c>
      <c r="P81" s="9" t="s">
        <v>4020</v>
      </c>
      <c r="Q81" s="9" t="s">
        <v>4021</v>
      </c>
    </row>
    <row r="82" spans="1:17" ht="15" customHeight="1">
      <c r="A82" s="8">
        <v>81</v>
      </c>
      <c r="B82" s="8" t="s">
        <v>4014</v>
      </c>
      <c r="C82" s="8" t="s">
        <v>4263</v>
      </c>
      <c r="D82" s="8" t="s">
        <v>4264</v>
      </c>
      <c r="E82" s="8" t="s">
        <v>21</v>
      </c>
      <c r="F82" s="8" t="s">
        <v>22</v>
      </c>
      <c r="G82" s="8">
        <v>315</v>
      </c>
      <c r="H82" s="8" t="s">
        <v>23</v>
      </c>
      <c r="I82" s="8" t="s">
        <v>351</v>
      </c>
      <c r="J82" s="8" t="s">
        <v>36</v>
      </c>
      <c r="K82" s="8" t="s">
        <v>26</v>
      </c>
      <c r="L82" s="8" t="s">
        <v>352</v>
      </c>
      <c r="M82" s="8">
        <v>4813</v>
      </c>
      <c r="N82" s="8" t="s">
        <v>352</v>
      </c>
      <c r="O82" s="8" t="s">
        <v>4265</v>
      </c>
      <c r="P82" s="8" t="s">
        <v>4020</v>
      </c>
      <c r="Q82" s="8" t="s">
        <v>4021</v>
      </c>
    </row>
    <row r="83" spans="1:17" ht="15" customHeight="1">
      <c r="A83" s="9">
        <v>82</v>
      </c>
      <c r="B83" s="9" t="s">
        <v>4014</v>
      </c>
      <c r="C83" s="9" t="s">
        <v>4266</v>
      </c>
      <c r="D83" s="9" t="s">
        <v>4267</v>
      </c>
      <c r="E83" s="9" t="s">
        <v>94</v>
      </c>
      <c r="F83" s="9" t="s">
        <v>22</v>
      </c>
      <c r="G83" s="9">
        <v>4800</v>
      </c>
      <c r="H83" s="9" t="s">
        <v>23</v>
      </c>
      <c r="I83" s="9" t="s">
        <v>4052</v>
      </c>
      <c r="J83" s="9" t="s">
        <v>96</v>
      </c>
      <c r="K83" s="9" t="s">
        <v>97</v>
      </c>
      <c r="L83" s="9" t="s">
        <v>4053</v>
      </c>
      <c r="M83" s="9"/>
      <c r="N83" s="9" t="s">
        <v>4053</v>
      </c>
      <c r="O83" s="9" t="s">
        <v>4268</v>
      </c>
      <c r="P83" s="9" t="s">
        <v>4020</v>
      </c>
      <c r="Q83" s="9" t="s">
        <v>4021</v>
      </c>
    </row>
    <row r="84" spans="1:17" ht="15" customHeight="1">
      <c r="A84" s="8">
        <v>83</v>
      </c>
      <c r="B84" s="8" t="s">
        <v>4014</v>
      </c>
      <c r="C84" s="8" t="s">
        <v>4269</v>
      </c>
      <c r="D84" s="8" t="s">
        <v>4270</v>
      </c>
      <c r="E84" s="8" t="s">
        <v>21</v>
      </c>
      <c r="F84" s="8" t="s">
        <v>22</v>
      </c>
      <c r="G84" s="8">
        <v>186</v>
      </c>
      <c r="H84" s="8" t="s">
        <v>23</v>
      </c>
      <c r="I84" s="8" t="s">
        <v>74</v>
      </c>
      <c r="J84" s="8" t="s">
        <v>41</v>
      </c>
      <c r="K84" s="8" t="s">
        <v>26</v>
      </c>
      <c r="L84" s="8" t="s">
        <v>75</v>
      </c>
      <c r="M84" s="8">
        <v>5812</v>
      </c>
      <c r="N84" s="8" t="s">
        <v>75</v>
      </c>
      <c r="O84" s="8" t="s">
        <v>4271</v>
      </c>
      <c r="P84" s="8" t="s">
        <v>4020</v>
      </c>
      <c r="Q84" s="8" t="s">
        <v>4021</v>
      </c>
    </row>
    <row r="85" spans="1:17" ht="15" customHeight="1">
      <c r="A85" s="9">
        <v>84</v>
      </c>
      <c r="B85" s="9" t="s">
        <v>4014</v>
      </c>
      <c r="C85" s="9" t="s">
        <v>4272</v>
      </c>
      <c r="D85" s="9" t="s">
        <v>4273</v>
      </c>
      <c r="E85" s="9" t="s">
        <v>21</v>
      </c>
      <c r="F85" s="9" t="s">
        <v>22</v>
      </c>
      <c r="G85" s="9">
        <v>973</v>
      </c>
      <c r="H85" s="9" t="s">
        <v>23</v>
      </c>
      <c r="I85" s="9" t="s">
        <v>56</v>
      </c>
      <c r="J85" s="9" t="s">
        <v>41</v>
      </c>
      <c r="K85" s="9" t="s">
        <v>26</v>
      </c>
      <c r="L85" s="9" t="s">
        <v>57</v>
      </c>
      <c r="M85" s="9">
        <v>5999</v>
      </c>
      <c r="N85" s="9" t="s">
        <v>57</v>
      </c>
      <c r="O85" s="9" t="s">
        <v>4274</v>
      </c>
      <c r="P85" s="9" t="s">
        <v>4020</v>
      </c>
      <c r="Q85" s="9" t="s">
        <v>4021</v>
      </c>
    </row>
    <row r="86" spans="1:17" ht="15" customHeight="1">
      <c r="A86" s="8">
        <v>85</v>
      </c>
      <c r="B86" s="8" t="s">
        <v>4014</v>
      </c>
      <c r="C86" s="8" t="s">
        <v>4275</v>
      </c>
      <c r="D86" s="8" t="s">
        <v>4276</v>
      </c>
      <c r="E86" s="8" t="s">
        <v>21</v>
      </c>
      <c r="F86" s="8" t="s">
        <v>22</v>
      </c>
      <c r="G86" s="8">
        <v>16000</v>
      </c>
      <c r="H86" s="8" t="s">
        <v>23</v>
      </c>
      <c r="I86" s="8" t="s">
        <v>4017</v>
      </c>
      <c r="J86" s="8" t="s">
        <v>36</v>
      </c>
      <c r="K86" s="8" t="s">
        <v>26</v>
      </c>
      <c r="L86" s="8" t="s">
        <v>4018</v>
      </c>
      <c r="M86" s="8">
        <v>6012</v>
      </c>
      <c r="N86" s="8" t="s">
        <v>4018</v>
      </c>
      <c r="O86" s="8" t="s">
        <v>4277</v>
      </c>
      <c r="P86" s="8" t="s">
        <v>4020</v>
      </c>
      <c r="Q86" s="8" t="s">
        <v>4021</v>
      </c>
    </row>
    <row r="87" spans="1:17" ht="15" customHeight="1">
      <c r="A87" s="9">
        <v>86</v>
      </c>
      <c r="B87" s="9" t="s">
        <v>4014</v>
      </c>
      <c r="C87" s="9" t="s">
        <v>4278</v>
      </c>
      <c r="D87" s="9" t="s">
        <v>4279</v>
      </c>
      <c r="E87" s="9" t="s">
        <v>21</v>
      </c>
      <c r="F87" s="9" t="s">
        <v>22</v>
      </c>
      <c r="G87" s="9">
        <v>317</v>
      </c>
      <c r="H87" s="9" t="s">
        <v>23</v>
      </c>
      <c r="I87" s="9" t="s">
        <v>351</v>
      </c>
      <c r="J87" s="9" t="s">
        <v>36</v>
      </c>
      <c r="K87" s="9" t="s">
        <v>26</v>
      </c>
      <c r="L87" s="9" t="s">
        <v>352</v>
      </c>
      <c r="M87" s="9">
        <v>4813</v>
      </c>
      <c r="N87" s="9" t="s">
        <v>352</v>
      </c>
      <c r="O87" s="9" t="s">
        <v>4280</v>
      </c>
      <c r="P87" s="9" t="s">
        <v>4020</v>
      </c>
      <c r="Q87" s="9" t="s">
        <v>4021</v>
      </c>
    </row>
    <row r="88" spans="1:17" ht="15" customHeight="1">
      <c r="A88" s="8">
        <v>87</v>
      </c>
      <c r="B88" s="8" t="s">
        <v>4014</v>
      </c>
      <c r="C88" s="8" t="s">
        <v>4281</v>
      </c>
      <c r="D88" s="8" t="s">
        <v>4282</v>
      </c>
      <c r="E88" s="8" t="s">
        <v>21</v>
      </c>
      <c r="F88" s="8" t="s">
        <v>22</v>
      </c>
      <c r="G88" s="8">
        <v>319</v>
      </c>
      <c r="H88" s="8" t="s">
        <v>23</v>
      </c>
      <c r="I88" s="8" t="s">
        <v>115</v>
      </c>
      <c r="J88" s="8" t="s">
        <v>41</v>
      </c>
      <c r="K88" s="8" t="s">
        <v>26</v>
      </c>
      <c r="L88" s="8" t="s">
        <v>116</v>
      </c>
      <c r="M88" s="8">
        <v>5812</v>
      </c>
      <c r="N88" s="8" t="s">
        <v>116</v>
      </c>
      <c r="O88" s="8" t="s">
        <v>4283</v>
      </c>
      <c r="P88" s="8" t="s">
        <v>4020</v>
      </c>
      <c r="Q88" s="8" t="s">
        <v>4021</v>
      </c>
    </row>
    <row r="89" spans="1:17" ht="15" customHeight="1">
      <c r="A89" s="9">
        <v>88</v>
      </c>
      <c r="B89" s="9" t="s">
        <v>4014</v>
      </c>
      <c r="C89" s="9" t="s">
        <v>4284</v>
      </c>
      <c r="D89" s="9" t="s">
        <v>4285</v>
      </c>
      <c r="E89" s="9" t="s">
        <v>21</v>
      </c>
      <c r="F89" s="9" t="s">
        <v>22</v>
      </c>
      <c r="G89" s="9">
        <v>886</v>
      </c>
      <c r="H89" s="9" t="s">
        <v>23</v>
      </c>
      <c r="I89" s="9" t="s">
        <v>56</v>
      </c>
      <c r="J89" s="9" t="s">
        <v>41</v>
      </c>
      <c r="K89" s="9" t="s">
        <v>26</v>
      </c>
      <c r="L89" s="9" t="s">
        <v>57</v>
      </c>
      <c r="M89" s="9">
        <v>5999</v>
      </c>
      <c r="N89" s="9" t="s">
        <v>57</v>
      </c>
      <c r="O89" s="9" t="s">
        <v>4286</v>
      </c>
      <c r="P89" s="9" t="s">
        <v>4020</v>
      </c>
      <c r="Q89" s="9" t="s">
        <v>4021</v>
      </c>
    </row>
    <row r="90" spans="1:17" ht="15" customHeight="1">
      <c r="A90" s="8">
        <v>89</v>
      </c>
      <c r="B90" s="8" t="s">
        <v>4014</v>
      </c>
      <c r="C90" s="8" t="s">
        <v>4287</v>
      </c>
      <c r="D90" s="8" t="s">
        <v>4288</v>
      </c>
      <c r="E90" s="8" t="s">
        <v>21</v>
      </c>
      <c r="F90" s="8" t="s">
        <v>22</v>
      </c>
      <c r="G90" s="8">
        <v>431</v>
      </c>
      <c r="H90" s="8" t="s">
        <v>23</v>
      </c>
      <c r="I90" s="8" t="s">
        <v>102</v>
      </c>
      <c r="J90" s="8" t="s">
        <v>41</v>
      </c>
      <c r="K90" s="8" t="s">
        <v>26</v>
      </c>
      <c r="L90" s="8" t="s">
        <v>103</v>
      </c>
      <c r="M90" s="8">
        <v>5411</v>
      </c>
      <c r="N90" s="8" t="s">
        <v>103</v>
      </c>
      <c r="O90" s="8" t="s">
        <v>4289</v>
      </c>
      <c r="P90" s="8" t="s">
        <v>4020</v>
      </c>
      <c r="Q90" s="8" t="s">
        <v>4021</v>
      </c>
    </row>
    <row r="91" spans="1:17" ht="15" customHeight="1">
      <c r="A91" s="9">
        <v>90</v>
      </c>
      <c r="B91" s="9" t="s">
        <v>4014</v>
      </c>
      <c r="C91" s="9" t="s">
        <v>4290</v>
      </c>
      <c r="D91" s="9" t="s">
        <v>4291</v>
      </c>
      <c r="E91" s="9" t="s">
        <v>21</v>
      </c>
      <c r="F91" s="9" t="s">
        <v>22</v>
      </c>
      <c r="G91" s="9">
        <v>401</v>
      </c>
      <c r="H91" s="9" t="s">
        <v>23</v>
      </c>
      <c r="I91" s="9" t="s">
        <v>212</v>
      </c>
      <c r="J91" s="9" t="s">
        <v>25</v>
      </c>
      <c r="K91" s="9" t="s">
        <v>26</v>
      </c>
      <c r="L91" s="9" t="s">
        <v>213</v>
      </c>
      <c r="M91" s="9">
        <v>5999</v>
      </c>
      <c r="N91" s="9" t="s">
        <v>213</v>
      </c>
      <c r="O91" s="9" t="s">
        <v>4292</v>
      </c>
      <c r="P91" s="9" t="s">
        <v>4020</v>
      </c>
      <c r="Q91" s="9" t="s">
        <v>4021</v>
      </c>
    </row>
    <row r="92" spans="1:17" ht="15" customHeight="1">
      <c r="A92" s="8">
        <v>91</v>
      </c>
      <c r="B92" s="8" t="s">
        <v>4014</v>
      </c>
      <c r="C92" s="8" t="s">
        <v>4293</v>
      </c>
      <c r="D92" s="8" t="s">
        <v>4294</v>
      </c>
      <c r="E92" s="8" t="s">
        <v>21</v>
      </c>
      <c r="F92" s="8" t="s">
        <v>22</v>
      </c>
      <c r="G92" s="8">
        <v>431</v>
      </c>
      <c r="H92" s="8" t="s">
        <v>23</v>
      </c>
      <c r="I92" s="8" t="s">
        <v>82</v>
      </c>
      <c r="J92" s="8" t="s">
        <v>41</v>
      </c>
      <c r="K92" s="8" t="s">
        <v>26</v>
      </c>
      <c r="L92" s="8" t="s">
        <v>83</v>
      </c>
      <c r="M92" s="8">
        <v>5411</v>
      </c>
      <c r="N92" s="8" t="s">
        <v>83</v>
      </c>
      <c r="O92" s="8" t="s">
        <v>4295</v>
      </c>
      <c r="P92" s="8" t="s">
        <v>4020</v>
      </c>
      <c r="Q92" s="8" t="s">
        <v>4021</v>
      </c>
    </row>
    <row r="93" spans="1:17" ht="15" customHeight="1">
      <c r="A93" s="9">
        <v>92</v>
      </c>
      <c r="B93" s="9" t="s">
        <v>4014</v>
      </c>
      <c r="C93" s="9" t="s">
        <v>4296</v>
      </c>
      <c r="D93" s="9" t="s">
        <v>4297</v>
      </c>
      <c r="E93" s="9" t="s">
        <v>21</v>
      </c>
      <c r="F93" s="9" t="s">
        <v>22</v>
      </c>
      <c r="G93" s="9">
        <v>516</v>
      </c>
      <c r="H93" s="9" t="s">
        <v>23</v>
      </c>
      <c r="I93" s="9" t="s">
        <v>90</v>
      </c>
      <c r="J93" s="9" t="s">
        <v>36</v>
      </c>
      <c r="K93" s="9" t="s">
        <v>26</v>
      </c>
      <c r="L93" s="9" t="s">
        <v>91</v>
      </c>
      <c r="M93" s="9">
        <v>4900</v>
      </c>
      <c r="N93" s="9" t="s">
        <v>91</v>
      </c>
      <c r="O93" s="9" t="s">
        <v>4298</v>
      </c>
      <c r="P93" s="9" t="s">
        <v>4020</v>
      </c>
      <c r="Q93" s="9" t="s">
        <v>4021</v>
      </c>
    </row>
    <row r="94" spans="1:17" ht="15" customHeight="1">
      <c r="A94" s="8">
        <v>93</v>
      </c>
      <c r="B94" s="8" t="s">
        <v>4014</v>
      </c>
      <c r="C94" s="8" t="s">
        <v>4299</v>
      </c>
      <c r="D94" s="8" t="s">
        <v>4300</v>
      </c>
      <c r="E94" s="8" t="s">
        <v>21</v>
      </c>
      <c r="F94" s="8" t="s">
        <v>22</v>
      </c>
      <c r="G94" s="8">
        <v>432</v>
      </c>
      <c r="H94" s="8" t="s">
        <v>23</v>
      </c>
      <c r="I94" s="8" t="s">
        <v>102</v>
      </c>
      <c r="J94" s="8" t="s">
        <v>41</v>
      </c>
      <c r="K94" s="8" t="s">
        <v>26</v>
      </c>
      <c r="L94" s="8" t="s">
        <v>103</v>
      </c>
      <c r="M94" s="8">
        <v>5411</v>
      </c>
      <c r="N94" s="8" t="s">
        <v>103</v>
      </c>
      <c r="O94" s="8" t="s">
        <v>4301</v>
      </c>
      <c r="P94" s="8" t="s">
        <v>4020</v>
      </c>
      <c r="Q94" s="8" t="s">
        <v>4021</v>
      </c>
    </row>
    <row r="95" spans="1:17" ht="15" customHeight="1">
      <c r="A95" s="9">
        <v>94</v>
      </c>
      <c r="B95" s="9" t="s">
        <v>4014</v>
      </c>
      <c r="C95" s="9" t="s">
        <v>4302</v>
      </c>
      <c r="D95" s="9" t="s">
        <v>4303</v>
      </c>
      <c r="E95" s="9" t="s">
        <v>94</v>
      </c>
      <c r="F95" s="9" t="s">
        <v>22</v>
      </c>
      <c r="G95" s="9">
        <v>4800</v>
      </c>
      <c r="H95" s="9" t="s">
        <v>23</v>
      </c>
      <c r="I95" s="9" t="s">
        <v>4052</v>
      </c>
      <c r="J95" s="9" t="s">
        <v>96</v>
      </c>
      <c r="K95" s="9" t="s">
        <v>97</v>
      </c>
      <c r="L95" s="9" t="s">
        <v>4053</v>
      </c>
      <c r="M95" s="9"/>
      <c r="N95" s="9" t="s">
        <v>4053</v>
      </c>
      <c r="O95" s="9" t="s">
        <v>4304</v>
      </c>
      <c r="P95" s="9" t="s">
        <v>4020</v>
      </c>
      <c r="Q95" s="9" t="s">
        <v>4021</v>
      </c>
    </row>
    <row r="96" spans="1:17" ht="15" customHeight="1">
      <c r="A96" s="8">
        <v>95</v>
      </c>
      <c r="B96" s="8" t="s">
        <v>4014</v>
      </c>
      <c r="C96" s="8" t="s">
        <v>4305</v>
      </c>
      <c r="D96" s="8" t="s">
        <v>4306</v>
      </c>
      <c r="E96" s="8" t="s">
        <v>21</v>
      </c>
      <c r="F96" s="8" t="s">
        <v>22</v>
      </c>
      <c r="G96" s="8">
        <v>683</v>
      </c>
      <c r="H96" s="8" t="s">
        <v>23</v>
      </c>
      <c r="I96" s="8" t="s">
        <v>363</v>
      </c>
      <c r="J96" s="8" t="s">
        <v>41</v>
      </c>
      <c r="K96" s="8" t="s">
        <v>26</v>
      </c>
      <c r="L96" s="8" t="s">
        <v>364</v>
      </c>
      <c r="M96" s="8">
        <v>5999</v>
      </c>
      <c r="N96" s="8" t="s">
        <v>364</v>
      </c>
      <c r="O96" s="8" t="s">
        <v>4307</v>
      </c>
      <c r="P96" s="8" t="s">
        <v>4020</v>
      </c>
      <c r="Q96" s="8" t="s">
        <v>4021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31" style="5" customWidth="1"/>
    <col min="13" max="13" width="22" style="5" customWidth="1"/>
    <col min="14" max="14" width="31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4308</v>
      </c>
      <c r="T1" s="4"/>
      <c r="U1" s="4"/>
      <c r="V1" s="4"/>
      <c r="W1" s="4"/>
    </row>
    <row r="2" spans="1:23" ht="13.5" customHeight="1">
      <c r="A2" s="8">
        <v>1</v>
      </c>
      <c r="B2" s="8" t="s">
        <v>4309</v>
      </c>
      <c r="C2" s="8" t="s">
        <v>4310</v>
      </c>
      <c r="D2" s="8" t="s">
        <v>4311</v>
      </c>
      <c r="E2" s="8" t="s">
        <v>21</v>
      </c>
      <c r="F2" s="8" t="s">
        <v>22</v>
      </c>
      <c r="G2" s="8">
        <v>1500</v>
      </c>
      <c r="H2" s="8" t="s">
        <v>23</v>
      </c>
      <c r="I2" s="8" t="s">
        <v>4312</v>
      </c>
      <c r="J2" s="8" t="s">
        <v>36</v>
      </c>
      <c r="K2" s="8" t="s">
        <v>26</v>
      </c>
      <c r="L2" s="8" t="s">
        <v>4313</v>
      </c>
      <c r="M2" s="8">
        <v>6012</v>
      </c>
      <c r="N2" s="8" t="s">
        <v>4313</v>
      </c>
      <c r="O2" s="8" t="s">
        <v>4314</v>
      </c>
      <c r="P2" s="8" t="s">
        <v>2476</v>
      </c>
      <c r="Q2" s="8" t="s">
        <v>2477</v>
      </c>
      <c r="R2" s="7"/>
      <c r="S2" s="3" t="s">
        <v>4315</v>
      </c>
      <c r="T2" s="3"/>
      <c r="U2" s="3"/>
      <c r="V2" s="3"/>
      <c r="W2" s="3"/>
    </row>
    <row r="3" spans="1:23" ht="3.75" customHeight="1">
      <c r="A3" s="9">
        <v>2</v>
      </c>
      <c r="B3" s="9" t="s">
        <v>4309</v>
      </c>
      <c r="C3" s="9" t="s">
        <v>4316</v>
      </c>
      <c r="D3" s="9" t="s">
        <v>4317</v>
      </c>
      <c r="E3" s="9" t="s">
        <v>21</v>
      </c>
      <c r="F3" s="9" t="s">
        <v>22</v>
      </c>
      <c r="G3" s="9">
        <v>376</v>
      </c>
      <c r="H3" s="9" t="s">
        <v>23</v>
      </c>
      <c r="I3" s="9" t="s">
        <v>131</v>
      </c>
      <c r="J3" s="9" t="s">
        <v>41</v>
      </c>
      <c r="K3" s="9" t="s">
        <v>26</v>
      </c>
      <c r="L3" s="9" t="s">
        <v>132</v>
      </c>
      <c r="M3" s="9">
        <v>5411</v>
      </c>
      <c r="N3" s="9" t="s">
        <v>132</v>
      </c>
      <c r="O3" s="9" t="s">
        <v>4318</v>
      </c>
      <c r="P3" s="9" t="s">
        <v>2476</v>
      </c>
      <c r="Q3" s="9" t="s">
        <v>2477</v>
      </c>
      <c r="R3" s="7"/>
    </row>
    <row r="4" spans="1:23" ht="15" customHeight="1">
      <c r="A4" s="8">
        <v>3</v>
      </c>
      <c r="B4" s="8" t="s">
        <v>4309</v>
      </c>
      <c r="C4" s="8" t="s">
        <v>4319</v>
      </c>
      <c r="D4" s="8" t="s">
        <v>4320</v>
      </c>
      <c r="E4" s="8" t="s">
        <v>21</v>
      </c>
      <c r="F4" s="8" t="s">
        <v>22</v>
      </c>
      <c r="G4" s="8">
        <v>376</v>
      </c>
      <c r="H4" s="8" t="s">
        <v>23</v>
      </c>
      <c r="I4" s="8" t="s">
        <v>102</v>
      </c>
      <c r="J4" s="8" t="s">
        <v>41</v>
      </c>
      <c r="K4" s="8" t="s">
        <v>26</v>
      </c>
      <c r="L4" s="8" t="s">
        <v>103</v>
      </c>
      <c r="M4" s="8">
        <v>5411</v>
      </c>
      <c r="N4" s="8" t="s">
        <v>103</v>
      </c>
      <c r="O4" s="8" t="s">
        <v>4321</v>
      </c>
      <c r="P4" s="8" t="s">
        <v>2476</v>
      </c>
      <c r="Q4" s="8" t="s">
        <v>2477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4309</v>
      </c>
      <c r="C5" s="9" t="s">
        <v>4322</v>
      </c>
      <c r="D5" s="9" t="s">
        <v>4323</v>
      </c>
      <c r="E5" s="9" t="s">
        <v>21</v>
      </c>
      <c r="F5" s="9" t="s">
        <v>22</v>
      </c>
      <c r="G5" s="9">
        <v>435</v>
      </c>
      <c r="H5" s="9" t="s">
        <v>23</v>
      </c>
      <c r="I5" s="9" t="s">
        <v>61</v>
      </c>
      <c r="J5" s="9" t="s">
        <v>25</v>
      </c>
      <c r="K5" s="9" t="s">
        <v>26</v>
      </c>
      <c r="L5" s="9" t="s">
        <v>62</v>
      </c>
      <c r="M5" s="9">
        <v>5999</v>
      </c>
      <c r="N5" s="9" t="s">
        <v>62</v>
      </c>
      <c r="O5" s="9" t="s">
        <v>4324</v>
      </c>
      <c r="P5" s="9" t="s">
        <v>2476</v>
      </c>
      <c r="Q5" s="9" t="s">
        <v>2477</v>
      </c>
      <c r="R5" s="7"/>
      <c r="S5" s="10" t="s">
        <v>48</v>
      </c>
      <c r="T5" s="11">
        <v>22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4309</v>
      </c>
      <c r="C6" s="8" t="s">
        <v>4325</v>
      </c>
      <c r="D6" s="8" t="s">
        <v>4326</v>
      </c>
      <c r="E6" s="8" t="s">
        <v>21</v>
      </c>
      <c r="F6" s="8" t="s">
        <v>22</v>
      </c>
      <c r="G6" s="8">
        <v>362</v>
      </c>
      <c r="H6" s="8" t="s">
        <v>23</v>
      </c>
      <c r="I6" s="8" t="s">
        <v>86</v>
      </c>
      <c r="J6" s="8" t="s">
        <v>36</v>
      </c>
      <c r="K6" s="8" t="s">
        <v>26</v>
      </c>
      <c r="L6" s="8" t="s">
        <v>87</v>
      </c>
      <c r="M6" s="8">
        <v>4813</v>
      </c>
      <c r="N6" s="8" t="s">
        <v>87</v>
      </c>
      <c r="O6" s="8" t="s">
        <v>4327</v>
      </c>
      <c r="P6" s="8" t="s">
        <v>2476</v>
      </c>
      <c r="Q6" s="8" t="s">
        <v>2477</v>
      </c>
      <c r="R6" s="7"/>
    </row>
    <row r="7" spans="1:23" ht="15" customHeight="1">
      <c r="A7" s="9">
        <v>6</v>
      </c>
      <c r="B7" s="9" t="s">
        <v>4309</v>
      </c>
      <c r="C7" s="9" t="s">
        <v>4328</v>
      </c>
      <c r="D7" s="9" t="s">
        <v>4329</v>
      </c>
      <c r="E7" s="9" t="s">
        <v>21</v>
      </c>
      <c r="F7" s="9" t="s">
        <v>22</v>
      </c>
      <c r="G7" s="9">
        <v>1235</v>
      </c>
      <c r="H7" s="9" t="s">
        <v>23</v>
      </c>
      <c r="I7" s="9" t="s">
        <v>56</v>
      </c>
      <c r="J7" s="9" t="s">
        <v>41</v>
      </c>
      <c r="K7" s="9" t="s">
        <v>26</v>
      </c>
      <c r="L7" s="9" t="s">
        <v>57</v>
      </c>
      <c r="M7" s="9">
        <v>5999</v>
      </c>
      <c r="N7" s="9" t="s">
        <v>57</v>
      </c>
      <c r="O7" s="9" t="s">
        <v>4330</v>
      </c>
      <c r="P7" s="9" t="s">
        <v>2476</v>
      </c>
      <c r="Q7" s="9" t="s">
        <v>2477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4309</v>
      </c>
      <c r="C8" s="8" t="s">
        <v>4331</v>
      </c>
      <c r="D8" s="8" t="s">
        <v>4332</v>
      </c>
      <c r="E8" s="8" t="s">
        <v>21</v>
      </c>
      <c r="F8" s="8" t="s">
        <v>22</v>
      </c>
      <c r="G8" s="8">
        <v>328</v>
      </c>
      <c r="H8" s="8" t="s">
        <v>23</v>
      </c>
      <c r="I8" s="8" t="s">
        <v>52</v>
      </c>
      <c r="J8" s="8" t="s">
        <v>41</v>
      </c>
      <c r="K8" s="8" t="s">
        <v>26</v>
      </c>
      <c r="L8" s="8" t="s">
        <v>53</v>
      </c>
      <c r="M8" s="8">
        <v>5812</v>
      </c>
      <c r="N8" s="8" t="s">
        <v>53</v>
      </c>
      <c r="O8" s="8" t="s">
        <v>4333</v>
      </c>
      <c r="P8" s="8" t="s">
        <v>2476</v>
      </c>
      <c r="Q8" s="8" t="s">
        <v>2477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4309</v>
      </c>
      <c r="C9" s="9" t="s">
        <v>4334</v>
      </c>
      <c r="D9" s="9" t="s">
        <v>4335</v>
      </c>
      <c r="E9" s="9" t="s">
        <v>94</v>
      </c>
      <c r="F9" s="9" t="s">
        <v>22</v>
      </c>
      <c r="G9" s="9">
        <v>4200</v>
      </c>
      <c r="H9" s="9" t="s">
        <v>23</v>
      </c>
      <c r="I9" s="9" t="s">
        <v>4336</v>
      </c>
      <c r="J9" s="9" t="s">
        <v>96</v>
      </c>
      <c r="K9" s="9" t="s">
        <v>97</v>
      </c>
      <c r="L9" s="9" t="s">
        <v>4337</v>
      </c>
      <c r="M9" s="9"/>
      <c r="N9" s="9" t="s">
        <v>4337</v>
      </c>
      <c r="O9" s="9" t="s">
        <v>4338</v>
      </c>
      <c r="P9" s="9" t="s">
        <v>2476</v>
      </c>
      <c r="Q9" s="9" t="s">
        <v>2477</v>
      </c>
      <c r="R9" s="7"/>
      <c r="S9" s="15">
        <v>45809</v>
      </c>
      <c r="T9" s="16">
        <f t="shared" ref="T9:T17" si="0">IFERROR(SUMPRODUCT((LEFT($C$2:$C$95,7)=TEXT(S9,"YYYY-MM"))*($E$2:$E$95="KSAOB.Credit")*($K$2:$K$95="KSAOB.Deposit")*($G$2:$G$95)),0)</f>
        <v>4200</v>
      </c>
      <c r="U9" s="16">
        <f t="shared" ref="U9:U17" si="1">IFERROR(SUMPRODUCT((LEFT($C$2:$C$95,7)=TEXT(S9,"YYYY-MM"))*($E$2:$E$95="KSAOB.Debit")*($M$2:$M$95=6012)*($G$2:$G$95)),0)</f>
        <v>1500</v>
      </c>
      <c r="V9" s="16">
        <f t="shared" ref="V9:V17" si="2">IFERROR(SUMPRODUCT((LEFT($C$2:$C$95,7)=TEXT(S9,"YYYY-MM"))*($E$2:$E$95="KSAOB.Debit")*($M$2:$M$95&lt;&gt;6012)*($G$2:$G$95)),0)</f>
        <v>3990</v>
      </c>
      <c r="W9" s="17">
        <f t="shared" ref="W9:W17" si="3">T9-U9-V9</f>
        <v>-1290</v>
      </c>
    </row>
    <row r="10" spans="1:23" ht="15" customHeight="1">
      <c r="A10" s="8">
        <v>9</v>
      </c>
      <c r="B10" s="8" t="s">
        <v>4309</v>
      </c>
      <c r="C10" s="8" t="s">
        <v>4339</v>
      </c>
      <c r="D10" s="8" t="s">
        <v>4340</v>
      </c>
      <c r="E10" s="8" t="s">
        <v>21</v>
      </c>
      <c r="F10" s="8" t="s">
        <v>22</v>
      </c>
      <c r="G10" s="8">
        <v>377</v>
      </c>
      <c r="H10" s="8" t="s">
        <v>23</v>
      </c>
      <c r="I10" s="8" t="s">
        <v>244</v>
      </c>
      <c r="J10" s="8" t="s">
        <v>41</v>
      </c>
      <c r="K10" s="8" t="s">
        <v>26</v>
      </c>
      <c r="L10" s="8" t="s">
        <v>245</v>
      </c>
      <c r="M10" s="8">
        <v>5411</v>
      </c>
      <c r="N10" s="8" t="s">
        <v>245</v>
      </c>
      <c r="O10" s="8" t="s">
        <v>4341</v>
      </c>
      <c r="P10" s="8" t="s">
        <v>2476</v>
      </c>
      <c r="Q10" s="8" t="s">
        <v>2477</v>
      </c>
      <c r="R10" s="7"/>
      <c r="S10" s="18">
        <v>45839</v>
      </c>
      <c r="T10" s="19">
        <f t="shared" si="0"/>
        <v>4200</v>
      </c>
      <c r="U10" s="19">
        <f t="shared" si="1"/>
        <v>1500</v>
      </c>
      <c r="V10" s="19">
        <f t="shared" si="2"/>
        <v>3990</v>
      </c>
      <c r="W10" s="20">
        <f t="shared" si="3"/>
        <v>-1290</v>
      </c>
    </row>
    <row r="11" spans="1:23" ht="15" customHeight="1">
      <c r="A11" s="9">
        <v>10</v>
      </c>
      <c r="B11" s="9" t="s">
        <v>4309</v>
      </c>
      <c r="C11" s="9" t="s">
        <v>4342</v>
      </c>
      <c r="D11" s="9" t="s">
        <v>4343</v>
      </c>
      <c r="E11" s="9" t="s">
        <v>21</v>
      </c>
      <c r="F11" s="9" t="s">
        <v>22</v>
      </c>
      <c r="G11" s="9">
        <v>501</v>
      </c>
      <c r="H11" s="9" t="s">
        <v>23</v>
      </c>
      <c r="I11" s="9" t="s">
        <v>498</v>
      </c>
      <c r="J11" s="9" t="s">
        <v>36</v>
      </c>
      <c r="K11" s="9" t="s">
        <v>26</v>
      </c>
      <c r="L11" s="9" t="s">
        <v>499</v>
      </c>
      <c r="M11" s="9">
        <v>4900</v>
      </c>
      <c r="N11" s="9" t="s">
        <v>499</v>
      </c>
      <c r="O11" s="9" t="s">
        <v>4344</v>
      </c>
      <c r="P11" s="9" t="s">
        <v>2476</v>
      </c>
      <c r="Q11" s="9" t="s">
        <v>2477</v>
      </c>
      <c r="R11" s="7"/>
      <c r="S11" s="15">
        <v>45870</v>
      </c>
      <c r="T11" s="16">
        <f t="shared" si="0"/>
        <v>4200</v>
      </c>
      <c r="U11" s="16">
        <f t="shared" si="1"/>
        <v>1500</v>
      </c>
      <c r="V11" s="16">
        <f t="shared" si="2"/>
        <v>3990</v>
      </c>
      <c r="W11" s="17">
        <f t="shared" si="3"/>
        <v>-1290</v>
      </c>
    </row>
    <row r="12" spans="1:23" ht="15" customHeight="1">
      <c r="A12" s="8">
        <v>11</v>
      </c>
      <c r="B12" s="8" t="s">
        <v>4309</v>
      </c>
      <c r="C12" s="8" t="s">
        <v>4345</v>
      </c>
      <c r="D12" s="8" t="s">
        <v>4346</v>
      </c>
      <c r="E12" s="8" t="s">
        <v>21</v>
      </c>
      <c r="F12" s="8" t="s">
        <v>22</v>
      </c>
      <c r="G12" s="8">
        <v>1500</v>
      </c>
      <c r="H12" s="8" t="s">
        <v>23</v>
      </c>
      <c r="I12" s="8" t="s">
        <v>4312</v>
      </c>
      <c r="J12" s="8" t="s">
        <v>36</v>
      </c>
      <c r="K12" s="8" t="s">
        <v>26</v>
      </c>
      <c r="L12" s="8" t="s">
        <v>4313</v>
      </c>
      <c r="M12" s="8">
        <v>6012</v>
      </c>
      <c r="N12" s="8" t="s">
        <v>4313</v>
      </c>
      <c r="O12" s="8" t="s">
        <v>4347</v>
      </c>
      <c r="P12" s="8" t="s">
        <v>2476</v>
      </c>
      <c r="Q12" s="8" t="s">
        <v>2477</v>
      </c>
      <c r="R12" s="7"/>
      <c r="S12" s="18">
        <v>45901</v>
      </c>
      <c r="T12" s="19">
        <f t="shared" si="0"/>
        <v>4200</v>
      </c>
      <c r="U12" s="19">
        <f t="shared" si="1"/>
        <v>1500</v>
      </c>
      <c r="V12" s="19">
        <f t="shared" si="2"/>
        <v>3990</v>
      </c>
      <c r="W12" s="20">
        <f t="shared" si="3"/>
        <v>-1290</v>
      </c>
    </row>
    <row r="13" spans="1:23" ht="15" customHeight="1">
      <c r="A13" s="9">
        <v>12</v>
      </c>
      <c r="B13" s="9" t="s">
        <v>4309</v>
      </c>
      <c r="C13" s="9" t="s">
        <v>4348</v>
      </c>
      <c r="D13" s="9" t="s">
        <v>4349</v>
      </c>
      <c r="E13" s="9" t="s">
        <v>21</v>
      </c>
      <c r="F13" s="9" t="s">
        <v>22</v>
      </c>
      <c r="G13" s="9">
        <v>343</v>
      </c>
      <c r="H13" s="9" t="s">
        <v>23</v>
      </c>
      <c r="I13" s="9" t="s">
        <v>82</v>
      </c>
      <c r="J13" s="9" t="s">
        <v>41</v>
      </c>
      <c r="K13" s="9" t="s">
        <v>26</v>
      </c>
      <c r="L13" s="9" t="s">
        <v>83</v>
      </c>
      <c r="M13" s="9">
        <v>5411</v>
      </c>
      <c r="N13" s="9" t="s">
        <v>83</v>
      </c>
      <c r="O13" s="9" t="s">
        <v>4350</v>
      </c>
      <c r="P13" s="9" t="s">
        <v>2476</v>
      </c>
      <c r="Q13" s="9" t="s">
        <v>2477</v>
      </c>
      <c r="R13" s="7"/>
      <c r="S13" s="15">
        <v>45931</v>
      </c>
      <c r="T13" s="16">
        <f t="shared" si="0"/>
        <v>4200</v>
      </c>
      <c r="U13" s="16">
        <f t="shared" si="1"/>
        <v>1500</v>
      </c>
      <c r="V13" s="16">
        <f t="shared" si="2"/>
        <v>3990</v>
      </c>
      <c r="W13" s="17">
        <f t="shared" si="3"/>
        <v>-1290</v>
      </c>
    </row>
    <row r="14" spans="1:23" ht="15" customHeight="1">
      <c r="A14" s="8">
        <v>13</v>
      </c>
      <c r="B14" s="8" t="s">
        <v>4309</v>
      </c>
      <c r="C14" s="8" t="s">
        <v>4351</v>
      </c>
      <c r="D14" s="8" t="s">
        <v>4352</v>
      </c>
      <c r="E14" s="8" t="s">
        <v>21</v>
      </c>
      <c r="F14" s="8" t="s">
        <v>22</v>
      </c>
      <c r="G14" s="8">
        <v>166</v>
      </c>
      <c r="H14" s="8" t="s">
        <v>23</v>
      </c>
      <c r="I14" s="8" t="s">
        <v>217</v>
      </c>
      <c r="J14" s="8" t="s">
        <v>41</v>
      </c>
      <c r="K14" s="8" t="s">
        <v>26</v>
      </c>
      <c r="L14" s="8" t="s">
        <v>218</v>
      </c>
      <c r="M14" s="8">
        <v>5812</v>
      </c>
      <c r="N14" s="8" t="s">
        <v>218</v>
      </c>
      <c r="O14" s="8" t="s">
        <v>4353</v>
      </c>
      <c r="P14" s="8" t="s">
        <v>2476</v>
      </c>
      <c r="Q14" s="8" t="s">
        <v>2477</v>
      </c>
      <c r="R14" s="7"/>
      <c r="S14" s="18">
        <v>45962</v>
      </c>
      <c r="T14" s="19">
        <f t="shared" si="0"/>
        <v>4200</v>
      </c>
      <c r="U14" s="19">
        <f t="shared" si="1"/>
        <v>1500</v>
      </c>
      <c r="V14" s="19">
        <f t="shared" si="2"/>
        <v>3990</v>
      </c>
      <c r="W14" s="20">
        <f t="shared" si="3"/>
        <v>-1290</v>
      </c>
    </row>
    <row r="15" spans="1:23" ht="15" customHeight="1">
      <c r="A15" s="9">
        <v>14</v>
      </c>
      <c r="B15" s="9" t="s">
        <v>4309</v>
      </c>
      <c r="C15" s="9" t="s">
        <v>4354</v>
      </c>
      <c r="D15" s="9" t="s">
        <v>4355</v>
      </c>
      <c r="E15" s="9" t="s">
        <v>21</v>
      </c>
      <c r="F15" s="9" t="s">
        <v>22</v>
      </c>
      <c r="G15" s="9">
        <v>701</v>
      </c>
      <c r="H15" s="9" t="s">
        <v>23</v>
      </c>
      <c r="I15" s="9" t="s">
        <v>186</v>
      </c>
      <c r="J15" s="9" t="s">
        <v>41</v>
      </c>
      <c r="K15" s="9" t="s">
        <v>26</v>
      </c>
      <c r="L15" s="9" t="s">
        <v>187</v>
      </c>
      <c r="M15" s="9">
        <v>5999</v>
      </c>
      <c r="N15" s="9" t="s">
        <v>187</v>
      </c>
      <c r="O15" s="9" t="s">
        <v>4356</v>
      </c>
      <c r="P15" s="9" t="s">
        <v>2476</v>
      </c>
      <c r="Q15" s="9" t="s">
        <v>2477</v>
      </c>
      <c r="R15" s="7"/>
      <c r="S15" s="15">
        <v>45992</v>
      </c>
      <c r="T15" s="16">
        <f t="shared" si="0"/>
        <v>4200</v>
      </c>
      <c r="U15" s="16">
        <f t="shared" si="1"/>
        <v>1500</v>
      </c>
      <c r="V15" s="16">
        <f t="shared" si="2"/>
        <v>3990</v>
      </c>
      <c r="W15" s="17">
        <f t="shared" si="3"/>
        <v>-1290</v>
      </c>
    </row>
    <row r="16" spans="1:23" ht="15" customHeight="1">
      <c r="A16" s="8">
        <v>15</v>
      </c>
      <c r="B16" s="8" t="s">
        <v>4309</v>
      </c>
      <c r="C16" s="8" t="s">
        <v>4357</v>
      </c>
      <c r="D16" s="8" t="s">
        <v>4358</v>
      </c>
      <c r="E16" s="8" t="s">
        <v>21</v>
      </c>
      <c r="F16" s="8" t="s">
        <v>22</v>
      </c>
      <c r="G16" s="8">
        <v>454</v>
      </c>
      <c r="H16" s="8" t="s">
        <v>23</v>
      </c>
      <c r="I16" s="8" t="s">
        <v>212</v>
      </c>
      <c r="J16" s="8" t="s">
        <v>25</v>
      </c>
      <c r="K16" s="8" t="s">
        <v>26</v>
      </c>
      <c r="L16" s="8" t="s">
        <v>213</v>
      </c>
      <c r="M16" s="8">
        <v>5999</v>
      </c>
      <c r="N16" s="8" t="s">
        <v>213</v>
      </c>
      <c r="O16" s="8" t="s">
        <v>4359</v>
      </c>
      <c r="P16" s="8" t="s">
        <v>2476</v>
      </c>
      <c r="Q16" s="8" t="s">
        <v>2477</v>
      </c>
      <c r="R16" s="7"/>
      <c r="S16" s="18">
        <v>46023</v>
      </c>
      <c r="T16" s="19">
        <f t="shared" si="0"/>
        <v>4200</v>
      </c>
      <c r="U16" s="19">
        <f t="shared" si="1"/>
        <v>1500</v>
      </c>
      <c r="V16" s="19">
        <f t="shared" si="2"/>
        <v>3990</v>
      </c>
      <c r="W16" s="20">
        <f t="shared" si="3"/>
        <v>-1290</v>
      </c>
    </row>
    <row r="17" spans="1:23" ht="15" customHeight="1">
      <c r="A17" s="9">
        <v>16</v>
      </c>
      <c r="B17" s="9" t="s">
        <v>4309</v>
      </c>
      <c r="C17" s="9" t="s">
        <v>4360</v>
      </c>
      <c r="D17" s="9" t="s">
        <v>4361</v>
      </c>
      <c r="E17" s="9" t="s">
        <v>21</v>
      </c>
      <c r="F17" s="9" t="s">
        <v>22</v>
      </c>
      <c r="G17" s="9">
        <v>344</v>
      </c>
      <c r="H17" s="9" t="s">
        <v>23</v>
      </c>
      <c r="I17" s="9" t="s">
        <v>379</v>
      </c>
      <c r="J17" s="9" t="s">
        <v>41</v>
      </c>
      <c r="K17" s="9" t="s">
        <v>26</v>
      </c>
      <c r="L17" s="9" t="s">
        <v>380</v>
      </c>
      <c r="M17" s="9">
        <v>5411</v>
      </c>
      <c r="N17" s="9" t="s">
        <v>380</v>
      </c>
      <c r="O17" s="9" t="s">
        <v>4362</v>
      </c>
      <c r="P17" s="9" t="s">
        <v>2476</v>
      </c>
      <c r="Q17" s="9" t="s">
        <v>2477</v>
      </c>
      <c r="R17" s="7"/>
      <c r="S17" s="15">
        <v>46054</v>
      </c>
      <c r="T17" s="16">
        <f t="shared" si="0"/>
        <v>4200</v>
      </c>
      <c r="U17" s="16">
        <f t="shared" si="1"/>
        <v>18000</v>
      </c>
      <c r="V17" s="16">
        <f t="shared" si="2"/>
        <v>3990</v>
      </c>
      <c r="W17" s="17">
        <f t="shared" si="3"/>
        <v>-17790</v>
      </c>
    </row>
    <row r="18" spans="1:23" ht="15" customHeight="1">
      <c r="A18" s="8">
        <v>17</v>
      </c>
      <c r="B18" s="8" t="s">
        <v>4309</v>
      </c>
      <c r="C18" s="8" t="s">
        <v>4363</v>
      </c>
      <c r="D18" s="8" t="s">
        <v>4364</v>
      </c>
      <c r="E18" s="8" t="s">
        <v>21</v>
      </c>
      <c r="F18" s="8" t="s">
        <v>22</v>
      </c>
      <c r="G18" s="8">
        <v>167</v>
      </c>
      <c r="H18" s="8" t="s">
        <v>23</v>
      </c>
      <c r="I18" s="8" t="s">
        <v>40</v>
      </c>
      <c r="J18" s="8" t="s">
        <v>41</v>
      </c>
      <c r="K18" s="8" t="s">
        <v>26</v>
      </c>
      <c r="L18" s="8" t="s">
        <v>42</v>
      </c>
      <c r="M18" s="8">
        <v>5812</v>
      </c>
      <c r="N18" s="8" t="s">
        <v>42</v>
      </c>
      <c r="O18" s="8" t="s">
        <v>4365</v>
      </c>
      <c r="P18" s="8" t="s">
        <v>2476</v>
      </c>
      <c r="Q18" s="8" t="s">
        <v>2477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4309</v>
      </c>
      <c r="C19" s="9" t="s">
        <v>4366</v>
      </c>
      <c r="D19" s="9" t="s">
        <v>4367</v>
      </c>
      <c r="E19" s="9" t="s">
        <v>21</v>
      </c>
      <c r="F19" s="9" t="s">
        <v>22</v>
      </c>
      <c r="G19" s="9">
        <v>184</v>
      </c>
      <c r="H19" s="9" t="s">
        <v>23</v>
      </c>
      <c r="I19" s="9" t="s">
        <v>56</v>
      </c>
      <c r="J19" s="9" t="s">
        <v>41</v>
      </c>
      <c r="K19" s="9" t="s">
        <v>26</v>
      </c>
      <c r="L19" s="9" t="s">
        <v>57</v>
      </c>
      <c r="M19" s="9">
        <v>5999</v>
      </c>
      <c r="N19" s="9" t="s">
        <v>57</v>
      </c>
      <c r="O19" s="9" t="s">
        <v>4368</v>
      </c>
      <c r="P19" s="9" t="s">
        <v>2476</v>
      </c>
      <c r="Q19" s="9" t="s">
        <v>2477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4309</v>
      </c>
      <c r="C20" s="8" t="s">
        <v>4369</v>
      </c>
      <c r="D20" s="8" t="s">
        <v>4370</v>
      </c>
      <c r="E20" s="8" t="s">
        <v>21</v>
      </c>
      <c r="F20" s="8" t="s">
        <v>22</v>
      </c>
      <c r="G20" s="8">
        <v>422</v>
      </c>
      <c r="H20" s="8" t="s">
        <v>23</v>
      </c>
      <c r="I20" s="8" t="s">
        <v>593</v>
      </c>
      <c r="J20" s="8" t="s">
        <v>331</v>
      </c>
      <c r="K20" s="8" t="s">
        <v>26</v>
      </c>
      <c r="L20" s="8" t="s">
        <v>594</v>
      </c>
      <c r="M20" s="8">
        <v>6011</v>
      </c>
      <c r="N20" s="8" t="s">
        <v>594</v>
      </c>
      <c r="O20" s="8" t="s">
        <v>4371</v>
      </c>
      <c r="P20" s="8" t="s">
        <v>2476</v>
      </c>
      <c r="Q20" s="8" t="s">
        <v>2477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4309</v>
      </c>
      <c r="C21" s="9" t="s">
        <v>4372</v>
      </c>
      <c r="D21" s="9" t="s">
        <v>4373</v>
      </c>
      <c r="E21" s="9" t="s">
        <v>21</v>
      </c>
      <c r="F21" s="9" t="s">
        <v>22</v>
      </c>
      <c r="G21" s="9">
        <v>356</v>
      </c>
      <c r="H21" s="9" t="s">
        <v>23</v>
      </c>
      <c r="I21" s="9" t="s">
        <v>174</v>
      </c>
      <c r="J21" s="9" t="s">
        <v>36</v>
      </c>
      <c r="K21" s="9" t="s">
        <v>26</v>
      </c>
      <c r="L21" s="9" t="s">
        <v>175</v>
      </c>
      <c r="M21" s="9">
        <v>4813</v>
      </c>
      <c r="N21" s="9" t="s">
        <v>175</v>
      </c>
      <c r="O21" s="9" t="s">
        <v>4374</v>
      </c>
      <c r="P21" s="9" t="s">
        <v>2476</v>
      </c>
      <c r="Q21" s="9" t="s">
        <v>2477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4309</v>
      </c>
      <c r="C22" s="8" t="s">
        <v>4375</v>
      </c>
      <c r="D22" s="8" t="s">
        <v>4376</v>
      </c>
      <c r="E22" s="8" t="s">
        <v>21</v>
      </c>
      <c r="F22" s="8" t="s">
        <v>22</v>
      </c>
      <c r="G22" s="8">
        <v>343</v>
      </c>
      <c r="H22" s="8" t="s">
        <v>23</v>
      </c>
      <c r="I22" s="8" t="s">
        <v>82</v>
      </c>
      <c r="J22" s="8" t="s">
        <v>41</v>
      </c>
      <c r="K22" s="8" t="s">
        <v>26</v>
      </c>
      <c r="L22" s="8" t="s">
        <v>83</v>
      </c>
      <c r="M22" s="8">
        <v>5411</v>
      </c>
      <c r="N22" s="8" t="s">
        <v>83</v>
      </c>
      <c r="O22" s="8" t="s">
        <v>4377</v>
      </c>
      <c r="P22" s="8" t="s">
        <v>2476</v>
      </c>
      <c r="Q22" s="8" t="s">
        <v>2477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4309</v>
      </c>
      <c r="C23" s="9" t="s">
        <v>4378</v>
      </c>
      <c r="D23" s="9" t="s">
        <v>4379</v>
      </c>
      <c r="E23" s="9" t="s">
        <v>94</v>
      </c>
      <c r="F23" s="9" t="s">
        <v>22</v>
      </c>
      <c r="G23" s="9">
        <v>4200</v>
      </c>
      <c r="H23" s="9" t="s">
        <v>23</v>
      </c>
      <c r="I23" s="9" t="s">
        <v>4336</v>
      </c>
      <c r="J23" s="9" t="s">
        <v>96</v>
      </c>
      <c r="K23" s="9" t="s">
        <v>97</v>
      </c>
      <c r="L23" s="9" t="s">
        <v>4337</v>
      </c>
      <c r="M23" s="9"/>
      <c r="N23" s="9" t="s">
        <v>4337</v>
      </c>
      <c r="O23" s="9" t="s">
        <v>4380</v>
      </c>
      <c r="P23" s="9" t="s">
        <v>2476</v>
      </c>
      <c r="Q23" s="9" t="s">
        <v>2477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4309</v>
      </c>
      <c r="C24" s="8" t="s">
        <v>4381</v>
      </c>
      <c r="D24" s="8" t="s">
        <v>4382</v>
      </c>
      <c r="E24" s="8" t="s">
        <v>21</v>
      </c>
      <c r="F24" s="8" t="s">
        <v>22</v>
      </c>
      <c r="G24" s="8">
        <v>510</v>
      </c>
      <c r="H24" s="8" t="s">
        <v>23</v>
      </c>
      <c r="I24" s="8" t="s">
        <v>90</v>
      </c>
      <c r="J24" s="8" t="s">
        <v>36</v>
      </c>
      <c r="K24" s="8" t="s">
        <v>26</v>
      </c>
      <c r="L24" s="8" t="s">
        <v>91</v>
      </c>
      <c r="M24" s="8">
        <v>4900</v>
      </c>
      <c r="N24" s="8" t="s">
        <v>91</v>
      </c>
      <c r="O24" s="8" t="s">
        <v>4383</v>
      </c>
      <c r="P24" s="8" t="s">
        <v>2476</v>
      </c>
      <c r="Q24" s="8" t="s">
        <v>2477</v>
      </c>
      <c r="R24" s="7"/>
      <c r="S24" s="22" t="s">
        <v>133</v>
      </c>
      <c r="T24" s="23">
        <f>IFERROR(AVERAGEIF(T9:T17,"&gt;"&amp;0),0)</f>
        <v>4200</v>
      </c>
      <c r="U24" s="23">
        <f>IFERROR(AVERAGEIF(U9:U17,"&gt;"&amp;0),0)</f>
        <v>3333.3333333333335</v>
      </c>
      <c r="V24" s="23">
        <f>IFERROR(AVERAGEIF(V9:V17,"&gt;"&amp;0),0)</f>
        <v>3990</v>
      </c>
      <c r="W24" s="24">
        <f>T24-U24-V24</f>
        <v>-3123.3333333333335</v>
      </c>
    </row>
    <row r="25" spans="1:23" ht="3.75" customHeight="1">
      <c r="A25" s="9">
        <v>24</v>
      </c>
      <c r="B25" s="9" t="s">
        <v>4309</v>
      </c>
      <c r="C25" s="9" t="s">
        <v>4384</v>
      </c>
      <c r="D25" s="9" t="s">
        <v>4385</v>
      </c>
      <c r="E25" s="9" t="s">
        <v>21</v>
      </c>
      <c r="F25" s="9" t="s">
        <v>22</v>
      </c>
      <c r="G25" s="9">
        <v>1500</v>
      </c>
      <c r="H25" s="9" t="s">
        <v>23</v>
      </c>
      <c r="I25" s="9" t="s">
        <v>4312</v>
      </c>
      <c r="J25" s="9" t="s">
        <v>36</v>
      </c>
      <c r="K25" s="9" t="s">
        <v>26</v>
      </c>
      <c r="L25" s="9" t="s">
        <v>4313</v>
      </c>
      <c r="M25" s="9">
        <v>6012</v>
      </c>
      <c r="N25" s="9" t="s">
        <v>4313</v>
      </c>
      <c r="O25" s="9" t="s">
        <v>4386</v>
      </c>
      <c r="P25" s="9" t="s">
        <v>2476</v>
      </c>
      <c r="Q25" s="9" t="s">
        <v>2477</v>
      </c>
      <c r="R25" s="7"/>
    </row>
    <row r="26" spans="1:23" ht="15" customHeight="1">
      <c r="A26" s="8">
        <v>25</v>
      </c>
      <c r="B26" s="8" t="s">
        <v>4309</v>
      </c>
      <c r="C26" s="8" t="s">
        <v>4387</v>
      </c>
      <c r="D26" s="8" t="s">
        <v>4388</v>
      </c>
      <c r="E26" s="8" t="s">
        <v>21</v>
      </c>
      <c r="F26" s="8" t="s">
        <v>22</v>
      </c>
      <c r="G26" s="8">
        <v>328</v>
      </c>
      <c r="H26" s="8" t="s">
        <v>23</v>
      </c>
      <c r="I26" s="8" t="s">
        <v>340</v>
      </c>
      <c r="J26" s="8" t="s">
        <v>41</v>
      </c>
      <c r="K26" s="8" t="s">
        <v>26</v>
      </c>
      <c r="L26" s="8" t="s">
        <v>341</v>
      </c>
      <c r="M26" s="8">
        <v>5812</v>
      </c>
      <c r="N26" s="8" t="s">
        <v>341</v>
      </c>
      <c r="O26" s="8" t="s">
        <v>4389</v>
      </c>
      <c r="P26" s="8" t="s">
        <v>2476</v>
      </c>
      <c r="Q26" s="8" t="s">
        <v>2477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4309</v>
      </c>
      <c r="C27" s="9" t="s">
        <v>4390</v>
      </c>
      <c r="D27" s="9" t="s">
        <v>4391</v>
      </c>
      <c r="E27" s="9" t="s">
        <v>21</v>
      </c>
      <c r="F27" s="9" t="s">
        <v>22</v>
      </c>
      <c r="G27" s="9">
        <v>273</v>
      </c>
      <c r="H27" s="9" t="s">
        <v>23</v>
      </c>
      <c r="I27" s="9" t="s">
        <v>351</v>
      </c>
      <c r="J27" s="9" t="s">
        <v>36</v>
      </c>
      <c r="K27" s="9" t="s">
        <v>26</v>
      </c>
      <c r="L27" s="9" t="s">
        <v>352</v>
      </c>
      <c r="M27" s="9">
        <v>4813</v>
      </c>
      <c r="N27" s="9" t="s">
        <v>352</v>
      </c>
      <c r="O27" s="9" t="s">
        <v>4392</v>
      </c>
      <c r="P27" s="9" t="s">
        <v>2476</v>
      </c>
      <c r="Q27" s="9" t="s">
        <v>2477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4309</v>
      </c>
      <c r="C28" s="8" t="s">
        <v>4393</v>
      </c>
      <c r="D28" s="8" t="s">
        <v>4394</v>
      </c>
      <c r="E28" s="8" t="s">
        <v>21</v>
      </c>
      <c r="F28" s="8" t="s">
        <v>22</v>
      </c>
      <c r="G28" s="8">
        <v>498</v>
      </c>
      <c r="H28" s="8" t="s">
        <v>23</v>
      </c>
      <c r="I28" s="8" t="s">
        <v>56</v>
      </c>
      <c r="J28" s="8" t="s">
        <v>41</v>
      </c>
      <c r="K28" s="8" t="s">
        <v>26</v>
      </c>
      <c r="L28" s="8" t="s">
        <v>57</v>
      </c>
      <c r="M28" s="8">
        <v>5999</v>
      </c>
      <c r="N28" s="8" t="s">
        <v>57</v>
      </c>
      <c r="O28" s="8" t="s">
        <v>4395</v>
      </c>
      <c r="P28" s="8" t="s">
        <v>2476</v>
      </c>
      <c r="Q28" s="8" t="s">
        <v>2477</v>
      </c>
      <c r="R28" s="7"/>
      <c r="S28" s="25" t="s">
        <v>154</v>
      </c>
      <c r="T28" s="26">
        <f>IFERROR(MEDIAN(T9:T17),0)</f>
        <v>4200</v>
      </c>
      <c r="U28" s="27" t="s">
        <v>155</v>
      </c>
      <c r="V28" s="28" t="s">
        <v>155</v>
      </c>
      <c r="W28" s="29" t="s">
        <v>1183</v>
      </c>
    </row>
    <row r="29" spans="1:23" ht="15.75" customHeight="1">
      <c r="A29" s="9">
        <v>28</v>
      </c>
      <c r="B29" s="9" t="s">
        <v>4309</v>
      </c>
      <c r="C29" s="9" t="s">
        <v>4396</v>
      </c>
      <c r="D29" s="9" t="s">
        <v>4397</v>
      </c>
      <c r="E29" s="9" t="s">
        <v>21</v>
      </c>
      <c r="F29" s="9" t="s">
        <v>22</v>
      </c>
      <c r="G29" s="9">
        <v>636</v>
      </c>
      <c r="H29" s="9" t="s">
        <v>23</v>
      </c>
      <c r="I29" s="9" t="s">
        <v>379</v>
      </c>
      <c r="J29" s="9" t="s">
        <v>41</v>
      </c>
      <c r="K29" s="9" t="s">
        <v>26</v>
      </c>
      <c r="L29" s="9" t="s">
        <v>380</v>
      </c>
      <c r="M29" s="9">
        <v>5411</v>
      </c>
      <c r="N29" s="9" t="s">
        <v>380</v>
      </c>
      <c r="O29" s="9" t="s">
        <v>4398</v>
      </c>
      <c r="P29" s="9" t="s">
        <v>2476</v>
      </c>
      <c r="Q29" s="9" t="s">
        <v>2477</v>
      </c>
      <c r="R29" s="7"/>
      <c r="S29" s="30" t="s">
        <v>161</v>
      </c>
      <c r="T29" s="31">
        <f>T28*1.3</f>
        <v>5460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4309</v>
      </c>
      <c r="C30" s="8" t="s">
        <v>4399</v>
      </c>
      <c r="D30" s="8" t="s">
        <v>4400</v>
      </c>
      <c r="E30" s="8" t="s">
        <v>21</v>
      </c>
      <c r="F30" s="8" t="s">
        <v>22</v>
      </c>
      <c r="G30" s="8">
        <v>396</v>
      </c>
      <c r="H30" s="8" t="s">
        <v>23</v>
      </c>
      <c r="I30" s="8" t="s">
        <v>391</v>
      </c>
      <c r="J30" s="8" t="s">
        <v>331</v>
      </c>
      <c r="K30" s="8" t="s">
        <v>26</v>
      </c>
      <c r="L30" s="8" t="s">
        <v>392</v>
      </c>
      <c r="M30" s="8">
        <v>6011</v>
      </c>
      <c r="N30" s="8" t="s">
        <v>392</v>
      </c>
      <c r="O30" s="8" t="s">
        <v>4401</v>
      </c>
      <c r="P30" s="8" t="s">
        <v>2476</v>
      </c>
      <c r="Q30" s="8" t="s">
        <v>2477</v>
      </c>
      <c r="R30" s="7"/>
      <c r="S30" s="25" t="s">
        <v>166</v>
      </c>
      <c r="T30" s="26">
        <f>IFERROR(MEDIAN(MIN(T15,T29),MIN(T16,T29),MIN(T17,T29)),0)</f>
        <v>4200</v>
      </c>
      <c r="U30" s="27" t="s">
        <v>155</v>
      </c>
      <c r="V30" s="28" t="s">
        <v>155</v>
      </c>
      <c r="W30" s="29" t="s">
        <v>1190</v>
      </c>
    </row>
    <row r="31" spans="1:23" ht="15.75" customHeight="1">
      <c r="A31" s="9">
        <v>30</v>
      </c>
      <c r="B31" s="9" t="s">
        <v>4309</v>
      </c>
      <c r="C31" s="9" t="s">
        <v>4402</v>
      </c>
      <c r="D31" s="9" t="s">
        <v>4403</v>
      </c>
      <c r="E31" s="9" t="s">
        <v>21</v>
      </c>
      <c r="F31" s="9" t="s">
        <v>22</v>
      </c>
      <c r="G31" s="9">
        <v>635</v>
      </c>
      <c r="H31" s="9" t="s">
        <v>23</v>
      </c>
      <c r="I31" s="9" t="s">
        <v>379</v>
      </c>
      <c r="J31" s="9" t="s">
        <v>41</v>
      </c>
      <c r="K31" s="9" t="s">
        <v>26</v>
      </c>
      <c r="L31" s="9" t="s">
        <v>380</v>
      </c>
      <c r="M31" s="9">
        <v>5411</v>
      </c>
      <c r="N31" s="9" t="s">
        <v>380</v>
      </c>
      <c r="O31" s="9" t="s">
        <v>4404</v>
      </c>
      <c r="P31" s="9" t="s">
        <v>2476</v>
      </c>
      <c r="Q31" s="9" t="s">
        <v>2477</v>
      </c>
      <c r="R31" s="7"/>
      <c r="S31" s="30" t="s">
        <v>170</v>
      </c>
      <c r="T31" s="31">
        <f>T17</f>
        <v>4200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4309</v>
      </c>
      <c r="C32" s="8" t="s">
        <v>4405</v>
      </c>
      <c r="D32" s="8" t="s">
        <v>4406</v>
      </c>
      <c r="E32" s="8" t="s">
        <v>94</v>
      </c>
      <c r="F32" s="8" t="s">
        <v>22</v>
      </c>
      <c r="G32" s="8">
        <v>4200</v>
      </c>
      <c r="H32" s="8" t="s">
        <v>23</v>
      </c>
      <c r="I32" s="8" t="s">
        <v>4336</v>
      </c>
      <c r="J32" s="8" t="s">
        <v>96</v>
      </c>
      <c r="K32" s="8" t="s">
        <v>97</v>
      </c>
      <c r="L32" s="8" t="s">
        <v>4337</v>
      </c>
      <c r="M32" s="8"/>
      <c r="N32" s="8" t="s">
        <v>4337</v>
      </c>
      <c r="O32" s="8" t="s">
        <v>4407</v>
      </c>
      <c r="P32" s="8" t="s">
        <v>2476</v>
      </c>
      <c r="Q32" s="8" t="s">
        <v>2477</v>
      </c>
      <c r="R32" s="7"/>
      <c r="S32" s="25" t="s">
        <v>176</v>
      </c>
      <c r="T32" s="26">
        <f>U17</f>
        <v>18000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4309</v>
      </c>
      <c r="C33" s="9" t="s">
        <v>4408</v>
      </c>
      <c r="D33" s="9" t="s">
        <v>4409</v>
      </c>
      <c r="E33" s="9" t="s">
        <v>21</v>
      </c>
      <c r="F33" s="9" t="s">
        <v>22</v>
      </c>
      <c r="G33" s="9">
        <v>773</v>
      </c>
      <c r="H33" s="9" t="s">
        <v>23</v>
      </c>
      <c r="I33" s="9" t="s">
        <v>186</v>
      </c>
      <c r="J33" s="9" t="s">
        <v>41</v>
      </c>
      <c r="K33" s="9" t="s">
        <v>26</v>
      </c>
      <c r="L33" s="9" t="s">
        <v>187</v>
      </c>
      <c r="M33" s="9">
        <v>5999</v>
      </c>
      <c r="N33" s="9" t="s">
        <v>187</v>
      </c>
      <c r="O33" s="9" t="s">
        <v>4410</v>
      </c>
      <c r="P33" s="9" t="s">
        <v>2476</v>
      </c>
      <c r="Q33" s="9" t="s">
        <v>2477</v>
      </c>
      <c r="R33" s="7"/>
      <c r="S33" s="30" t="s">
        <v>182</v>
      </c>
      <c r="T33" s="31">
        <f>T24</f>
        <v>4200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4309</v>
      </c>
      <c r="C34" s="8" t="s">
        <v>4411</v>
      </c>
      <c r="D34" s="8" t="s">
        <v>4412</v>
      </c>
      <c r="E34" s="8" t="s">
        <v>21</v>
      </c>
      <c r="F34" s="8" t="s">
        <v>22</v>
      </c>
      <c r="G34" s="8">
        <v>451</v>
      </c>
      <c r="H34" s="8" t="s">
        <v>23</v>
      </c>
      <c r="I34" s="8" t="s">
        <v>198</v>
      </c>
      <c r="J34" s="8" t="s">
        <v>36</v>
      </c>
      <c r="K34" s="8" t="s">
        <v>26</v>
      </c>
      <c r="L34" s="8" t="s">
        <v>199</v>
      </c>
      <c r="M34" s="8">
        <v>4900</v>
      </c>
      <c r="N34" s="8" t="s">
        <v>199</v>
      </c>
      <c r="O34" s="8" t="s">
        <v>4413</v>
      </c>
      <c r="P34" s="8" t="s">
        <v>2476</v>
      </c>
      <c r="Q34" s="8" t="s">
        <v>2477</v>
      </c>
      <c r="R34" s="7"/>
      <c r="S34" s="25" t="s">
        <v>188</v>
      </c>
      <c r="T34" s="26">
        <f>V24</f>
        <v>3990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4309</v>
      </c>
      <c r="C35" s="9" t="s">
        <v>4414</v>
      </c>
      <c r="D35" s="9" t="s">
        <v>4415</v>
      </c>
      <c r="E35" s="9" t="s">
        <v>21</v>
      </c>
      <c r="F35" s="9" t="s">
        <v>22</v>
      </c>
      <c r="G35" s="9">
        <v>1500</v>
      </c>
      <c r="H35" s="9" t="s">
        <v>23</v>
      </c>
      <c r="I35" s="9" t="s">
        <v>4312</v>
      </c>
      <c r="J35" s="9" t="s">
        <v>36</v>
      </c>
      <c r="K35" s="9" t="s">
        <v>26</v>
      </c>
      <c r="L35" s="9" t="s">
        <v>4313</v>
      </c>
      <c r="M35" s="9">
        <v>6012</v>
      </c>
      <c r="N35" s="9" t="s">
        <v>4313</v>
      </c>
      <c r="O35" s="9" t="s">
        <v>4416</v>
      </c>
      <c r="P35" s="9" t="s">
        <v>2476</v>
      </c>
      <c r="Q35" s="9" t="s">
        <v>2477</v>
      </c>
      <c r="R35" s="7"/>
      <c r="S35" s="30" t="s">
        <v>193</v>
      </c>
      <c r="T35" s="35">
        <f>IFERROR((T33-T34)/T33,0)</f>
        <v>0.05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4309</v>
      </c>
      <c r="C36" s="8" t="s">
        <v>4417</v>
      </c>
      <c r="D36" s="8" t="s">
        <v>4418</v>
      </c>
      <c r="E36" s="8" t="s">
        <v>21</v>
      </c>
      <c r="F36" s="8" t="s">
        <v>22</v>
      </c>
      <c r="G36" s="8">
        <v>1786</v>
      </c>
      <c r="H36" s="8" t="s">
        <v>23</v>
      </c>
      <c r="I36" s="8" t="s">
        <v>56</v>
      </c>
      <c r="J36" s="8" t="s">
        <v>41</v>
      </c>
      <c r="K36" s="8" t="s">
        <v>26</v>
      </c>
      <c r="L36" s="8" t="s">
        <v>57</v>
      </c>
      <c r="M36" s="8">
        <v>5999</v>
      </c>
      <c r="N36" s="8" t="s">
        <v>57</v>
      </c>
      <c r="O36" s="8" t="s">
        <v>4419</v>
      </c>
      <c r="P36" s="8" t="s">
        <v>2476</v>
      </c>
      <c r="Q36" s="8" t="s">
        <v>2477</v>
      </c>
      <c r="R36" s="7"/>
      <c r="S36" s="25" t="s">
        <v>200</v>
      </c>
      <c r="T36" s="37">
        <f>T33-T34</f>
        <v>210</v>
      </c>
      <c r="U36" s="27" t="s">
        <v>201</v>
      </c>
      <c r="V36" s="38" t="str">
        <f>IF(T36&gt;0,"✅ Positive","❌ Negative")</f>
        <v>✅ Positive</v>
      </c>
      <c r="W36" s="29" t="s">
        <v>202</v>
      </c>
    </row>
    <row r="37" spans="1:23" ht="15.75" customHeight="1">
      <c r="A37" s="9">
        <v>36</v>
      </c>
      <c r="B37" s="9" t="s">
        <v>4309</v>
      </c>
      <c r="C37" s="9" t="s">
        <v>4420</v>
      </c>
      <c r="D37" s="9" t="s">
        <v>4421</v>
      </c>
      <c r="E37" s="9" t="s">
        <v>21</v>
      </c>
      <c r="F37" s="9" t="s">
        <v>22</v>
      </c>
      <c r="G37" s="9">
        <v>170</v>
      </c>
      <c r="H37" s="9" t="s">
        <v>23</v>
      </c>
      <c r="I37" s="9" t="s">
        <v>574</v>
      </c>
      <c r="J37" s="9" t="s">
        <v>41</v>
      </c>
      <c r="K37" s="9" t="s">
        <v>26</v>
      </c>
      <c r="L37" s="9" t="s">
        <v>575</v>
      </c>
      <c r="M37" s="9">
        <v>5812</v>
      </c>
      <c r="N37" s="9" t="s">
        <v>575</v>
      </c>
      <c r="O37" s="9" t="s">
        <v>4422</v>
      </c>
      <c r="P37" s="9" t="s">
        <v>2476</v>
      </c>
      <c r="Q37" s="9" t="s">
        <v>2477</v>
      </c>
      <c r="R37" s="7"/>
      <c r="S37" s="30" t="s">
        <v>205</v>
      </c>
      <c r="T37" s="35">
        <f>IFERROR(U24/T30,0)</f>
        <v>0.79365079365079372</v>
      </c>
      <c r="U37" s="32" t="s">
        <v>206</v>
      </c>
      <c r="V37" s="36" t="str">
        <f>IF(T37&lt;=0.35,"✅ Meets","⚠️ Exceeds")</f>
        <v>⚠️ Exceeds</v>
      </c>
      <c r="W37" s="34" t="s">
        <v>207</v>
      </c>
    </row>
    <row r="38" spans="1:23" ht="3.75" customHeight="1">
      <c r="A38" s="8">
        <v>37</v>
      </c>
      <c r="B38" s="8" t="s">
        <v>4309</v>
      </c>
      <c r="C38" s="8" t="s">
        <v>4423</v>
      </c>
      <c r="D38" s="8" t="s">
        <v>4424</v>
      </c>
      <c r="E38" s="8" t="s">
        <v>21</v>
      </c>
      <c r="F38" s="8" t="s">
        <v>22</v>
      </c>
      <c r="G38" s="8">
        <v>329</v>
      </c>
      <c r="H38" s="8" t="s">
        <v>23</v>
      </c>
      <c r="I38" s="8" t="s">
        <v>86</v>
      </c>
      <c r="J38" s="8" t="s">
        <v>36</v>
      </c>
      <c r="K38" s="8" t="s">
        <v>26</v>
      </c>
      <c r="L38" s="8" t="s">
        <v>87</v>
      </c>
      <c r="M38" s="8">
        <v>4813</v>
      </c>
      <c r="N38" s="8" t="s">
        <v>87</v>
      </c>
      <c r="O38" s="8" t="s">
        <v>4425</v>
      </c>
      <c r="P38" s="8" t="s">
        <v>2476</v>
      </c>
      <c r="Q38" s="8" t="s">
        <v>2477</v>
      </c>
      <c r="R38" s="7"/>
    </row>
    <row r="39" spans="1:23" ht="15" customHeight="1">
      <c r="A39" s="9">
        <v>38</v>
      </c>
      <c r="B39" s="9" t="s">
        <v>4309</v>
      </c>
      <c r="C39" s="9" t="s">
        <v>4426</v>
      </c>
      <c r="D39" s="9" t="s">
        <v>4427</v>
      </c>
      <c r="E39" s="9" t="s">
        <v>21</v>
      </c>
      <c r="F39" s="9" t="s">
        <v>22</v>
      </c>
      <c r="G39" s="9">
        <v>465</v>
      </c>
      <c r="H39" s="9" t="s">
        <v>23</v>
      </c>
      <c r="I39" s="9" t="s">
        <v>90</v>
      </c>
      <c r="J39" s="9" t="s">
        <v>36</v>
      </c>
      <c r="K39" s="9" t="s">
        <v>26</v>
      </c>
      <c r="L39" s="9" t="s">
        <v>91</v>
      </c>
      <c r="M39" s="9">
        <v>4900</v>
      </c>
      <c r="N39" s="9" t="s">
        <v>91</v>
      </c>
      <c r="O39" s="9" t="s">
        <v>4428</v>
      </c>
      <c r="P39" s="9" t="s">
        <v>2476</v>
      </c>
      <c r="Q39" s="9" t="s">
        <v>2477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4309</v>
      </c>
      <c r="C40" s="8" t="s">
        <v>4429</v>
      </c>
      <c r="D40" s="8" t="s">
        <v>4430</v>
      </c>
      <c r="E40" s="8" t="s">
        <v>21</v>
      </c>
      <c r="F40" s="8" t="s">
        <v>22</v>
      </c>
      <c r="G40" s="8">
        <v>534</v>
      </c>
      <c r="H40" s="8" t="s">
        <v>23</v>
      </c>
      <c r="I40" s="8" t="s">
        <v>379</v>
      </c>
      <c r="J40" s="8" t="s">
        <v>41</v>
      </c>
      <c r="K40" s="8" t="s">
        <v>26</v>
      </c>
      <c r="L40" s="8" t="s">
        <v>380</v>
      </c>
      <c r="M40" s="8">
        <v>5411</v>
      </c>
      <c r="N40" s="8" t="s">
        <v>380</v>
      </c>
      <c r="O40" s="8" t="s">
        <v>4431</v>
      </c>
      <c r="P40" s="8" t="s">
        <v>2476</v>
      </c>
      <c r="Q40" s="8" t="s">
        <v>2477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4309</v>
      </c>
      <c r="C41" s="9" t="s">
        <v>4432</v>
      </c>
      <c r="D41" s="9" t="s">
        <v>4433</v>
      </c>
      <c r="E41" s="9" t="s">
        <v>94</v>
      </c>
      <c r="F41" s="9" t="s">
        <v>22</v>
      </c>
      <c r="G41" s="9">
        <v>4200</v>
      </c>
      <c r="H41" s="9" t="s">
        <v>23</v>
      </c>
      <c r="I41" s="9" t="s">
        <v>4336</v>
      </c>
      <c r="J41" s="9" t="s">
        <v>96</v>
      </c>
      <c r="K41" s="9" t="s">
        <v>97</v>
      </c>
      <c r="L41" s="9" t="s">
        <v>4337</v>
      </c>
      <c r="M41" s="9"/>
      <c r="N41" s="9" t="s">
        <v>4337</v>
      </c>
      <c r="O41" s="9" t="s">
        <v>4434</v>
      </c>
      <c r="P41" s="9" t="s">
        <v>2476</v>
      </c>
      <c r="Q41" s="9" t="s">
        <v>2477</v>
      </c>
      <c r="R41" s="7"/>
      <c r="S41" s="39" t="s">
        <v>226</v>
      </c>
      <c r="T41" s="40">
        <f>T5</f>
        <v>22</v>
      </c>
      <c r="U41" s="41">
        <f>IF(T41&lt;18,0,IF(T41&lt;=25,30,IF(T41&lt;=35,80,IF(T41&lt;=50,150,IF(T41&lt;=60,100,0)))))</f>
        <v>30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4309</v>
      </c>
      <c r="C42" s="8" t="s">
        <v>4435</v>
      </c>
      <c r="D42" s="8" t="s">
        <v>4436</v>
      </c>
      <c r="E42" s="8" t="s">
        <v>21</v>
      </c>
      <c r="F42" s="8" t="s">
        <v>22</v>
      </c>
      <c r="G42" s="8">
        <v>535</v>
      </c>
      <c r="H42" s="8" t="s">
        <v>23</v>
      </c>
      <c r="I42" s="8" t="s">
        <v>379</v>
      </c>
      <c r="J42" s="8" t="s">
        <v>41</v>
      </c>
      <c r="K42" s="8" t="s">
        <v>26</v>
      </c>
      <c r="L42" s="8" t="s">
        <v>380</v>
      </c>
      <c r="M42" s="8">
        <v>5411</v>
      </c>
      <c r="N42" s="8" t="s">
        <v>380</v>
      </c>
      <c r="O42" s="8" t="s">
        <v>4437</v>
      </c>
      <c r="P42" s="8" t="s">
        <v>2476</v>
      </c>
      <c r="Q42" s="8" t="s">
        <v>2477</v>
      </c>
      <c r="R42" s="7"/>
      <c r="S42" s="43" t="s">
        <v>230</v>
      </c>
      <c r="T42" s="44">
        <f>T30</f>
        <v>4200</v>
      </c>
      <c r="U42" s="41">
        <f>IF(T42&lt;=5000,0,IF(T42&lt;=10000,50,IF(T42&lt;=15000,100,150)))</f>
        <v>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4309</v>
      </c>
      <c r="C43" s="9" t="s">
        <v>4438</v>
      </c>
      <c r="D43" s="9" t="s">
        <v>4439</v>
      </c>
      <c r="E43" s="9" t="s">
        <v>21</v>
      </c>
      <c r="F43" s="9" t="s">
        <v>22</v>
      </c>
      <c r="G43" s="9">
        <v>171</v>
      </c>
      <c r="H43" s="9" t="s">
        <v>23</v>
      </c>
      <c r="I43" s="9" t="s">
        <v>40</v>
      </c>
      <c r="J43" s="9" t="s">
        <v>41</v>
      </c>
      <c r="K43" s="9" t="s">
        <v>26</v>
      </c>
      <c r="L43" s="9" t="s">
        <v>42</v>
      </c>
      <c r="M43" s="9">
        <v>5812</v>
      </c>
      <c r="N43" s="9" t="s">
        <v>42</v>
      </c>
      <c r="O43" s="9" t="s">
        <v>4440</v>
      </c>
      <c r="P43" s="9" t="s">
        <v>2476</v>
      </c>
      <c r="Q43" s="9" t="s">
        <v>2477</v>
      </c>
      <c r="R43" s="7"/>
      <c r="S43" s="39" t="s">
        <v>236</v>
      </c>
      <c r="T43" s="45">
        <f>T32</f>
        <v>18000</v>
      </c>
      <c r="U43" s="41">
        <f>IF(T43=0,150,IF(T43&lt;=1500,150,IF(T43&lt;=3000,130,IF(T43&lt;=4500,110,IF(T43&lt;=9000,80,IF(T43&lt;=15000,40,0))))))</f>
        <v>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4309</v>
      </c>
      <c r="C44" s="8" t="s">
        <v>4441</v>
      </c>
      <c r="D44" s="8" t="s">
        <v>4442</v>
      </c>
      <c r="E44" s="8" t="s">
        <v>21</v>
      </c>
      <c r="F44" s="8" t="s">
        <v>22</v>
      </c>
      <c r="G44" s="8">
        <v>1500</v>
      </c>
      <c r="H44" s="8" t="s">
        <v>23</v>
      </c>
      <c r="I44" s="8" t="s">
        <v>4312</v>
      </c>
      <c r="J44" s="8" t="s">
        <v>36</v>
      </c>
      <c r="K44" s="8" t="s">
        <v>26</v>
      </c>
      <c r="L44" s="8" t="s">
        <v>4313</v>
      </c>
      <c r="M44" s="8">
        <v>6012</v>
      </c>
      <c r="N44" s="8" t="s">
        <v>4313</v>
      </c>
      <c r="O44" s="8" t="s">
        <v>4443</v>
      </c>
      <c r="P44" s="8" t="s">
        <v>2476</v>
      </c>
      <c r="Q44" s="8" t="s">
        <v>2477</v>
      </c>
      <c r="R44" s="7"/>
      <c r="S44" s="43" t="s">
        <v>240</v>
      </c>
      <c r="T44" s="46">
        <f>T35</f>
        <v>0.05</v>
      </c>
      <c r="U44" s="41">
        <f>IF(T44&lt;=0,0,IF(T44&lt;=0.1,50,IF(T44&lt;=0.2,100,IF(T44&lt;=0.3,130,150))))</f>
        <v>50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4309</v>
      </c>
      <c r="C45" s="9" t="s">
        <v>4444</v>
      </c>
      <c r="D45" s="9" t="s">
        <v>4445</v>
      </c>
      <c r="E45" s="9" t="s">
        <v>21</v>
      </c>
      <c r="F45" s="9" t="s">
        <v>22</v>
      </c>
      <c r="G45" s="9">
        <v>575</v>
      </c>
      <c r="H45" s="9" t="s">
        <v>23</v>
      </c>
      <c r="I45" s="9" t="s">
        <v>102</v>
      </c>
      <c r="J45" s="9" t="s">
        <v>41</v>
      </c>
      <c r="K45" s="9" t="s">
        <v>26</v>
      </c>
      <c r="L45" s="9" t="s">
        <v>103</v>
      </c>
      <c r="M45" s="9">
        <v>5411</v>
      </c>
      <c r="N45" s="9" t="s">
        <v>103</v>
      </c>
      <c r="O45" s="9" t="s">
        <v>4446</v>
      </c>
      <c r="P45" s="9" t="s">
        <v>2476</v>
      </c>
      <c r="Q45" s="9" t="s">
        <v>2477</v>
      </c>
      <c r="R45" s="7"/>
      <c r="S45" s="39" t="s">
        <v>246</v>
      </c>
      <c r="T45" s="45">
        <f>T31</f>
        <v>4200</v>
      </c>
      <c r="U45" s="41">
        <f>IF(T45&lt;=5000,30,IF(T45&lt;=15000,90,150))</f>
        <v>30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4309</v>
      </c>
      <c r="C46" s="8" t="s">
        <v>4447</v>
      </c>
      <c r="D46" s="8" t="s">
        <v>4448</v>
      </c>
      <c r="E46" s="8" t="s">
        <v>21</v>
      </c>
      <c r="F46" s="8" t="s">
        <v>22</v>
      </c>
      <c r="G46" s="8">
        <v>506</v>
      </c>
      <c r="H46" s="8" t="s">
        <v>23</v>
      </c>
      <c r="I46" s="8" t="s">
        <v>498</v>
      </c>
      <c r="J46" s="8" t="s">
        <v>36</v>
      </c>
      <c r="K46" s="8" t="s">
        <v>26</v>
      </c>
      <c r="L46" s="8" t="s">
        <v>499</v>
      </c>
      <c r="M46" s="8">
        <v>4900</v>
      </c>
      <c r="N46" s="8" t="s">
        <v>499</v>
      </c>
      <c r="O46" s="8" t="s">
        <v>4449</v>
      </c>
      <c r="P46" s="8" t="s">
        <v>2476</v>
      </c>
      <c r="Q46" s="8" t="s">
        <v>2477</v>
      </c>
      <c r="R46" s="7"/>
      <c r="S46" s="43" t="s">
        <v>250</v>
      </c>
      <c r="T46" s="47">
        <f>T36</f>
        <v>210</v>
      </c>
      <c r="U46" s="41">
        <f>IF(T46&lt;0,0,IF(T46&lt;=1000,50,IF(T46&lt;=3000,100,150)))</f>
        <v>50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4309</v>
      </c>
      <c r="C47" s="9" t="s">
        <v>4450</v>
      </c>
      <c r="D47" s="9" t="s">
        <v>4451</v>
      </c>
      <c r="E47" s="9" t="s">
        <v>21</v>
      </c>
      <c r="F47" s="9" t="s">
        <v>22</v>
      </c>
      <c r="G47" s="9">
        <v>317</v>
      </c>
      <c r="H47" s="9" t="s">
        <v>23</v>
      </c>
      <c r="I47" s="9" t="s">
        <v>174</v>
      </c>
      <c r="J47" s="9" t="s">
        <v>36</v>
      </c>
      <c r="K47" s="9" t="s">
        <v>26</v>
      </c>
      <c r="L47" s="9" t="s">
        <v>175</v>
      </c>
      <c r="M47" s="9">
        <v>4813</v>
      </c>
      <c r="N47" s="9" t="s">
        <v>175</v>
      </c>
      <c r="O47" s="9" t="s">
        <v>4452</v>
      </c>
      <c r="P47" s="9" t="s">
        <v>2476</v>
      </c>
      <c r="Q47" s="9" t="s">
        <v>2477</v>
      </c>
      <c r="R47" s="7"/>
      <c r="S47" s="39" t="s">
        <v>256</v>
      </c>
      <c r="T47" s="48">
        <f>T37</f>
        <v>0.79365079365079372</v>
      </c>
      <c r="U47" s="41">
        <f>IF(T47&lt;=0.1,100,IF(T47&lt;=0.25,70,IF(T47&lt;=0.4,40,IF(T47&lt;=0.6,20,0))))</f>
        <v>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4309</v>
      </c>
      <c r="C48" s="8" t="s">
        <v>4453</v>
      </c>
      <c r="D48" s="8" t="s">
        <v>4454</v>
      </c>
      <c r="E48" s="8" t="s">
        <v>21</v>
      </c>
      <c r="F48" s="8" t="s">
        <v>22</v>
      </c>
      <c r="G48" s="8">
        <v>423</v>
      </c>
      <c r="H48" s="8" t="s">
        <v>23</v>
      </c>
      <c r="I48" s="8" t="s">
        <v>593</v>
      </c>
      <c r="J48" s="8" t="s">
        <v>331</v>
      </c>
      <c r="K48" s="8" t="s">
        <v>26</v>
      </c>
      <c r="L48" s="8" t="s">
        <v>594</v>
      </c>
      <c r="M48" s="8">
        <v>6011</v>
      </c>
      <c r="N48" s="8" t="s">
        <v>594</v>
      </c>
      <c r="O48" s="8" t="s">
        <v>4455</v>
      </c>
      <c r="P48" s="8" t="s">
        <v>2476</v>
      </c>
      <c r="Q48" s="8" t="s">
        <v>2477</v>
      </c>
      <c r="R48" s="7"/>
    </row>
    <row r="49" spans="1:23" ht="27.75" customHeight="1">
      <c r="A49" s="9">
        <v>48</v>
      </c>
      <c r="B49" s="9" t="s">
        <v>4309</v>
      </c>
      <c r="C49" s="9" t="s">
        <v>4456</v>
      </c>
      <c r="D49" s="9" t="s">
        <v>4457</v>
      </c>
      <c r="E49" s="9" t="s">
        <v>21</v>
      </c>
      <c r="F49" s="9" t="s">
        <v>22</v>
      </c>
      <c r="G49" s="9">
        <v>997</v>
      </c>
      <c r="H49" s="9" t="s">
        <v>23</v>
      </c>
      <c r="I49" s="9" t="s">
        <v>56</v>
      </c>
      <c r="J49" s="9" t="s">
        <v>41</v>
      </c>
      <c r="K49" s="9" t="s">
        <v>26</v>
      </c>
      <c r="L49" s="9" t="s">
        <v>57</v>
      </c>
      <c r="M49" s="9">
        <v>5999</v>
      </c>
      <c r="N49" s="9" t="s">
        <v>57</v>
      </c>
      <c r="O49" s="9" t="s">
        <v>4458</v>
      </c>
      <c r="P49" s="9" t="s">
        <v>2476</v>
      </c>
      <c r="Q49" s="9" t="s">
        <v>2477</v>
      </c>
      <c r="R49" s="7"/>
      <c r="S49" s="49" t="s">
        <v>264</v>
      </c>
      <c r="T49" s="50">
        <f>U41+U42+U43+U44+U45+U46+U47</f>
        <v>160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4309</v>
      </c>
      <c r="C50" s="8" t="s">
        <v>4459</v>
      </c>
      <c r="D50" s="8" t="s">
        <v>4460</v>
      </c>
      <c r="E50" s="8" t="s">
        <v>21</v>
      </c>
      <c r="F50" s="8" t="s">
        <v>22</v>
      </c>
      <c r="G50" s="8">
        <v>289</v>
      </c>
      <c r="H50" s="8" t="s">
        <v>23</v>
      </c>
      <c r="I50" s="8" t="s">
        <v>52</v>
      </c>
      <c r="J50" s="8" t="s">
        <v>41</v>
      </c>
      <c r="K50" s="8" t="s">
        <v>26</v>
      </c>
      <c r="L50" s="8" t="s">
        <v>53</v>
      </c>
      <c r="M50" s="8">
        <v>5812</v>
      </c>
      <c r="N50" s="8" t="s">
        <v>53</v>
      </c>
      <c r="O50" s="8" t="s">
        <v>4461</v>
      </c>
      <c r="P50" s="8" t="s">
        <v>2476</v>
      </c>
      <c r="Q50" s="8" t="s">
        <v>2477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C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4309</v>
      </c>
      <c r="C51" s="9" t="s">
        <v>4462</v>
      </c>
      <c r="D51" s="9" t="s">
        <v>4463</v>
      </c>
      <c r="E51" s="9" t="s">
        <v>21</v>
      </c>
      <c r="F51" s="9" t="s">
        <v>22</v>
      </c>
      <c r="G51" s="9">
        <v>308</v>
      </c>
      <c r="H51" s="9" t="s">
        <v>23</v>
      </c>
      <c r="I51" s="9" t="s">
        <v>111</v>
      </c>
      <c r="J51" s="9" t="s">
        <v>41</v>
      </c>
      <c r="K51" s="9" t="s">
        <v>26</v>
      </c>
      <c r="L51" s="9" t="s">
        <v>112</v>
      </c>
      <c r="M51" s="9">
        <v>5541</v>
      </c>
      <c r="N51" s="9" t="s">
        <v>112</v>
      </c>
      <c r="O51" s="9" t="s">
        <v>4464</v>
      </c>
      <c r="P51" s="9" t="s">
        <v>2476</v>
      </c>
      <c r="Q51" s="9" t="s">
        <v>2477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Extremely Poor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4309</v>
      </c>
      <c r="C52" s="8" t="s">
        <v>4465</v>
      </c>
      <c r="D52" s="8" t="s">
        <v>4466</v>
      </c>
      <c r="E52" s="8" t="s">
        <v>94</v>
      </c>
      <c r="F52" s="8" t="s">
        <v>22</v>
      </c>
      <c r="G52" s="8">
        <v>4200</v>
      </c>
      <c r="H52" s="8" t="s">
        <v>23</v>
      </c>
      <c r="I52" s="8" t="s">
        <v>4336</v>
      </c>
      <c r="J52" s="8" t="s">
        <v>96</v>
      </c>
      <c r="K52" s="8" t="s">
        <v>97</v>
      </c>
      <c r="L52" s="8" t="s">
        <v>4337</v>
      </c>
      <c r="M52" s="8"/>
      <c r="N52" s="8" t="s">
        <v>4337</v>
      </c>
      <c r="O52" s="8" t="s">
        <v>4467</v>
      </c>
      <c r="P52" s="8" t="s">
        <v>2476</v>
      </c>
      <c r="Q52" s="8" t="s">
        <v>2477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Declined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4309</v>
      </c>
      <c r="C53" s="9" t="s">
        <v>4468</v>
      </c>
      <c r="D53" s="9" t="s">
        <v>4469</v>
      </c>
      <c r="E53" s="9" t="s">
        <v>21</v>
      </c>
      <c r="F53" s="9" t="s">
        <v>22</v>
      </c>
      <c r="G53" s="9">
        <v>575</v>
      </c>
      <c r="H53" s="9" t="s">
        <v>23</v>
      </c>
      <c r="I53" s="9" t="s">
        <v>102</v>
      </c>
      <c r="J53" s="9" t="s">
        <v>41</v>
      </c>
      <c r="K53" s="9" t="s">
        <v>26</v>
      </c>
      <c r="L53" s="9" t="s">
        <v>103</v>
      </c>
      <c r="M53" s="9">
        <v>5411</v>
      </c>
      <c r="N53" s="9" t="s">
        <v>103</v>
      </c>
      <c r="O53" s="9" t="s">
        <v>4470</v>
      </c>
      <c r="P53" s="9" t="s">
        <v>2476</v>
      </c>
      <c r="Q53" s="9" t="s">
        <v>2477</v>
      </c>
      <c r="R53" s="7"/>
    </row>
    <row r="54" spans="1:23" ht="15.75" customHeight="1">
      <c r="A54" s="8">
        <v>53</v>
      </c>
      <c r="B54" s="8" t="s">
        <v>4309</v>
      </c>
      <c r="C54" s="8" t="s">
        <v>4471</v>
      </c>
      <c r="D54" s="8" t="s">
        <v>4472</v>
      </c>
      <c r="E54" s="8" t="s">
        <v>21</v>
      </c>
      <c r="F54" s="8" t="s">
        <v>22</v>
      </c>
      <c r="G54" s="8">
        <v>340</v>
      </c>
      <c r="H54" s="8" t="s">
        <v>23</v>
      </c>
      <c r="I54" s="8" t="s">
        <v>52</v>
      </c>
      <c r="J54" s="8" t="s">
        <v>41</v>
      </c>
      <c r="K54" s="8" t="s">
        <v>26</v>
      </c>
      <c r="L54" s="8" t="s">
        <v>53</v>
      </c>
      <c r="M54" s="8">
        <v>5812</v>
      </c>
      <c r="N54" s="8" t="s">
        <v>53</v>
      </c>
      <c r="O54" s="8" t="s">
        <v>4473</v>
      </c>
      <c r="P54" s="8" t="s">
        <v>2476</v>
      </c>
      <c r="Q54" s="8" t="s">
        <v>2477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4309</v>
      </c>
      <c r="C55" s="9" t="s">
        <v>4474</v>
      </c>
      <c r="D55" s="9" t="s">
        <v>4475</v>
      </c>
      <c r="E55" s="9" t="s">
        <v>21</v>
      </c>
      <c r="F55" s="9" t="s">
        <v>22</v>
      </c>
      <c r="G55" s="9">
        <v>1500</v>
      </c>
      <c r="H55" s="9" t="s">
        <v>23</v>
      </c>
      <c r="I55" s="9" t="s">
        <v>4312</v>
      </c>
      <c r="J55" s="9" t="s">
        <v>36</v>
      </c>
      <c r="K55" s="9" t="s">
        <v>26</v>
      </c>
      <c r="L55" s="9" t="s">
        <v>4313</v>
      </c>
      <c r="M55" s="9">
        <v>6012</v>
      </c>
      <c r="N55" s="9" t="s">
        <v>4313</v>
      </c>
      <c r="O55" s="9" t="s">
        <v>4476</v>
      </c>
      <c r="P55" s="9" t="s">
        <v>2476</v>
      </c>
      <c r="Q55" s="9" t="s">
        <v>2477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4309</v>
      </c>
      <c r="C56" s="8" t="s">
        <v>4477</v>
      </c>
      <c r="D56" s="8" t="s">
        <v>4478</v>
      </c>
      <c r="E56" s="8" t="s">
        <v>21</v>
      </c>
      <c r="F56" s="8" t="s">
        <v>22</v>
      </c>
      <c r="G56" s="8">
        <v>368</v>
      </c>
      <c r="H56" s="8" t="s">
        <v>23</v>
      </c>
      <c r="I56" s="8" t="s">
        <v>593</v>
      </c>
      <c r="J56" s="8" t="s">
        <v>331</v>
      </c>
      <c r="K56" s="8" t="s">
        <v>26</v>
      </c>
      <c r="L56" s="8" t="s">
        <v>594</v>
      </c>
      <c r="M56" s="8">
        <v>6011</v>
      </c>
      <c r="N56" s="8" t="s">
        <v>594</v>
      </c>
      <c r="O56" s="8" t="s">
        <v>4479</v>
      </c>
      <c r="P56" s="8" t="s">
        <v>2476</v>
      </c>
      <c r="Q56" s="8" t="s">
        <v>2477</v>
      </c>
      <c r="R56" s="7"/>
      <c r="S56" s="61" t="s">
        <v>294</v>
      </c>
      <c r="T56" s="62">
        <f>IFERROR(U24/T24,0)</f>
        <v>0.79365079365079372</v>
      </c>
      <c r="U56" s="27" t="s">
        <v>206</v>
      </c>
      <c r="V56" s="38" t="str">
        <f>IF(T56&lt;=0.35,"✅ Meets","⚠️ Exceeds")</f>
        <v>⚠️ Exceeds</v>
      </c>
      <c r="W56" s="29" t="s">
        <v>295</v>
      </c>
    </row>
    <row r="57" spans="1:23" ht="18" customHeight="1">
      <c r="A57" s="9">
        <v>56</v>
      </c>
      <c r="B57" s="9" t="s">
        <v>4309</v>
      </c>
      <c r="C57" s="9" t="s">
        <v>4480</v>
      </c>
      <c r="D57" s="9" t="s">
        <v>4481</v>
      </c>
      <c r="E57" s="9" t="s">
        <v>21</v>
      </c>
      <c r="F57" s="9" t="s">
        <v>22</v>
      </c>
      <c r="G57" s="9">
        <v>351</v>
      </c>
      <c r="H57" s="9" t="s">
        <v>23</v>
      </c>
      <c r="I57" s="9" t="s">
        <v>866</v>
      </c>
      <c r="J57" s="9" t="s">
        <v>25</v>
      </c>
      <c r="K57" s="9" t="s">
        <v>26</v>
      </c>
      <c r="L57" s="9" t="s">
        <v>867</v>
      </c>
      <c r="M57" s="9">
        <v>5999</v>
      </c>
      <c r="N57" s="9" t="s">
        <v>867</v>
      </c>
      <c r="O57" s="9" t="s">
        <v>4482</v>
      </c>
      <c r="P57" s="9" t="s">
        <v>2476</v>
      </c>
      <c r="Q57" s="9" t="s">
        <v>2477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A58" s="8">
        <v>57</v>
      </c>
      <c r="B58" s="8" t="s">
        <v>4309</v>
      </c>
      <c r="C58" s="8" t="s">
        <v>4483</v>
      </c>
      <c r="D58" s="8" t="s">
        <v>4484</v>
      </c>
      <c r="E58" s="8" t="s">
        <v>21</v>
      </c>
      <c r="F58" s="8" t="s">
        <v>22</v>
      </c>
      <c r="G58" s="8">
        <v>272</v>
      </c>
      <c r="H58" s="8" t="s">
        <v>23</v>
      </c>
      <c r="I58" s="8" t="s">
        <v>351</v>
      </c>
      <c r="J58" s="8" t="s">
        <v>36</v>
      </c>
      <c r="K58" s="8" t="s">
        <v>26</v>
      </c>
      <c r="L58" s="8" t="s">
        <v>352</v>
      </c>
      <c r="M58" s="8">
        <v>4813</v>
      </c>
      <c r="N58" s="8" t="s">
        <v>352</v>
      </c>
      <c r="O58" s="8" t="s">
        <v>4485</v>
      </c>
      <c r="P58" s="8" t="s">
        <v>2476</v>
      </c>
      <c r="Q58" s="8" t="s">
        <v>2477</v>
      </c>
      <c r="R58" s="7"/>
      <c r="S58" s="61" t="s">
        <v>303</v>
      </c>
      <c r="T58" s="62">
        <f>T35</f>
        <v>0.05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A59" s="9">
        <v>58</v>
      </c>
      <c r="B59" s="9" t="s">
        <v>4309</v>
      </c>
      <c r="C59" s="9" t="s">
        <v>4486</v>
      </c>
      <c r="D59" s="9" t="s">
        <v>4487</v>
      </c>
      <c r="E59" s="9" t="s">
        <v>21</v>
      </c>
      <c r="F59" s="9" t="s">
        <v>22</v>
      </c>
      <c r="G59" s="9">
        <v>497</v>
      </c>
      <c r="H59" s="9" t="s">
        <v>23</v>
      </c>
      <c r="I59" s="9" t="s">
        <v>198</v>
      </c>
      <c r="J59" s="9" t="s">
        <v>36</v>
      </c>
      <c r="K59" s="9" t="s">
        <v>26</v>
      </c>
      <c r="L59" s="9" t="s">
        <v>199</v>
      </c>
      <c r="M59" s="9">
        <v>4900</v>
      </c>
      <c r="N59" s="9" t="s">
        <v>199</v>
      </c>
      <c r="O59" s="9" t="s">
        <v>4488</v>
      </c>
      <c r="P59" s="9" t="s">
        <v>2476</v>
      </c>
      <c r="Q59" s="9" t="s">
        <v>2477</v>
      </c>
      <c r="R59" s="7"/>
      <c r="S59" s="68" t="s">
        <v>308</v>
      </c>
      <c r="T59" s="69">
        <f>T36</f>
        <v>210</v>
      </c>
      <c r="U59" s="32" t="s">
        <v>309</v>
      </c>
      <c r="V59" s="36" t="str">
        <f>IF(T59&gt;0,"✅ Positive","❌ Negative")</f>
        <v>✅ Positive</v>
      </c>
      <c r="W59" s="34" t="s">
        <v>310</v>
      </c>
    </row>
    <row r="60" spans="1:23" ht="18" customHeight="1">
      <c r="A60" s="8">
        <v>59</v>
      </c>
      <c r="B60" s="8" t="s">
        <v>4309</v>
      </c>
      <c r="C60" s="8" t="s">
        <v>4489</v>
      </c>
      <c r="D60" s="8" t="s">
        <v>4490</v>
      </c>
      <c r="E60" s="8" t="s">
        <v>21</v>
      </c>
      <c r="F60" s="8" t="s">
        <v>22</v>
      </c>
      <c r="G60" s="8">
        <v>1035</v>
      </c>
      <c r="H60" s="8" t="s">
        <v>23</v>
      </c>
      <c r="I60" s="8" t="s">
        <v>56</v>
      </c>
      <c r="J60" s="8" t="s">
        <v>41</v>
      </c>
      <c r="K60" s="8" t="s">
        <v>26</v>
      </c>
      <c r="L60" s="8" t="s">
        <v>57</v>
      </c>
      <c r="M60" s="8">
        <v>5999</v>
      </c>
      <c r="N60" s="8" t="s">
        <v>57</v>
      </c>
      <c r="O60" s="8" t="s">
        <v>4491</v>
      </c>
      <c r="P60" s="8" t="s">
        <v>2476</v>
      </c>
      <c r="Q60" s="8" t="s">
        <v>2477</v>
      </c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A61" s="9">
        <v>60</v>
      </c>
      <c r="B61" s="9" t="s">
        <v>4309</v>
      </c>
      <c r="C61" s="9" t="s">
        <v>4492</v>
      </c>
      <c r="D61" s="9" t="s">
        <v>4493</v>
      </c>
      <c r="E61" s="9" t="s">
        <v>21</v>
      </c>
      <c r="F61" s="9" t="s">
        <v>22</v>
      </c>
      <c r="G61" s="9">
        <v>375</v>
      </c>
      <c r="H61" s="9" t="s">
        <v>23</v>
      </c>
      <c r="I61" s="9" t="s">
        <v>180</v>
      </c>
      <c r="J61" s="9" t="s">
        <v>41</v>
      </c>
      <c r="K61" s="9" t="s">
        <v>26</v>
      </c>
      <c r="L61" s="9" t="s">
        <v>181</v>
      </c>
      <c r="M61" s="9">
        <v>5411</v>
      </c>
      <c r="N61" s="9" t="s">
        <v>181</v>
      </c>
      <c r="O61" s="9" t="s">
        <v>4494</v>
      </c>
      <c r="P61" s="9" t="s">
        <v>2476</v>
      </c>
      <c r="Q61" s="9" t="s">
        <v>2477</v>
      </c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A62" s="8">
        <v>61</v>
      </c>
      <c r="B62" s="8" t="s">
        <v>4309</v>
      </c>
      <c r="C62" s="8" t="s">
        <v>4495</v>
      </c>
      <c r="D62" s="8" t="s">
        <v>4496</v>
      </c>
      <c r="E62" s="8" t="s">
        <v>21</v>
      </c>
      <c r="F62" s="8" t="s">
        <v>22</v>
      </c>
      <c r="G62" s="8">
        <v>376</v>
      </c>
      <c r="H62" s="8" t="s">
        <v>23</v>
      </c>
      <c r="I62" s="8" t="s">
        <v>244</v>
      </c>
      <c r="J62" s="8" t="s">
        <v>41</v>
      </c>
      <c r="K62" s="8" t="s">
        <v>26</v>
      </c>
      <c r="L62" s="8" t="s">
        <v>245</v>
      </c>
      <c r="M62" s="8">
        <v>5411</v>
      </c>
      <c r="N62" s="8" t="s">
        <v>245</v>
      </c>
      <c r="O62" s="8" t="s">
        <v>4497</v>
      </c>
      <c r="P62" s="8" t="s">
        <v>2476</v>
      </c>
      <c r="Q62" s="8" t="s">
        <v>2477</v>
      </c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A63" s="9">
        <v>62</v>
      </c>
      <c r="B63" s="9" t="s">
        <v>4309</v>
      </c>
      <c r="C63" s="9" t="s">
        <v>4498</v>
      </c>
      <c r="D63" s="9" t="s">
        <v>4499</v>
      </c>
      <c r="E63" s="9" t="s">
        <v>94</v>
      </c>
      <c r="F63" s="9" t="s">
        <v>22</v>
      </c>
      <c r="G63" s="9">
        <v>4200</v>
      </c>
      <c r="H63" s="9" t="s">
        <v>23</v>
      </c>
      <c r="I63" s="9" t="s">
        <v>4336</v>
      </c>
      <c r="J63" s="9" t="s">
        <v>96</v>
      </c>
      <c r="K63" s="9" t="s">
        <v>97</v>
      </c>
      <c r="L63" s="9" t="s">
        <v>4337</v>
      </c>
      <c r="M63" s="9"/>
      <c r="N63" s="9" t="s">
        <v>4337</v>
      </c>
      <c r="O63" s="9" t="s">
        <v>4500</v>
      </c>
      <c r="P63" s="9" t="s">
        <v>2476</v>
      </c>
      <c r="Q63" s="9" t="s">
        <v>2477</v>
      </c>
      <c r="R63" s="7"/>
      <c r="S63" s="68" t="s">
        <v>333</v>
      </c>
      <c r="T63" s="74">
        <f>IFERROR((MIN(1,SUMPRODUCT((LEFT($C$2:$C$95,7)=TEXT(S9,"YYYY-MM"))*($E$2:$E$95="KSAOB.Credit")*($K$2:$K$95="KSAOB.Deposit")))+MIN(1,SUMPRODUCT((LEFT($C$2:$C$95,7)=TEXT(S10,"YYYY-MM"))*($E$2:$E$95="KSAOB.Credit")*($K$2:$K$95="KSAOB.Deposit")))+MIN(1,SUMPRODUCT((LEFT($C$2:$C$95,7)=TEXT(S11,"YYYY-MM"))*($E$2:$E$95="KSAOB.Credit")*($K$2:$K$95="KSAOB.Deposit")))+MIN(1,SUMPRODUCT((LEFT($C$2:$C$95,7)=TEXT(S12,"YYYY-MM"))*($E$2:$E$95="KSAOB.Credit")*($K$2:$K$95="KSAOB.Deposit")))+MIN(1,SUMPRODUCT((LEFT($C$2:$C$95,7)=TEXT(S13,"YYYY-MM"))*($E$2:$E$95="KSAOB.Credit")*($K$2:$K$95="KSAOB.Deposit")))+MIN(1,SUMPRODUCT((LEFT($C$2:$C$95,7)=TEXT(S14,"YYYY-MM"))*($E$2:$E$95="KSAOB.Credit")*($K$2:$K$95="KSAOB.Deposit")))+MIN(1,SUMPRODUCT((LEFT($C$2:$C$95,7)=TEXT(S15,"YYYY-MM"))*($E$2:$E$95="KSAOB.Credit")*($K$2:$K$95="KSAOB.Deposit")))+MIN(1,SUMPRODUCT((LEFT($C$2:$C$95,7)=TEXT(S16,"YYYY-MM"))*($E$2:$E$95="KSAOB.Credit")*($K$2:$K$95="KSAOB.Deposit")))+MIN(1,SUMPRODUCT((LEFT($C$2:$C$95,7)=TEXT(S17,"YYYY-MM"))*($E$2:$E$95="KSAOB.Credit")*($K$2:$K$95="KSAOB.Deposit"))))/9,0)</f>
        <v>1</v>
      </c>
      <c r="U63" s="32" t="s">
        <v>334</v>
      </c>
      <c r="V63" s="36" t="str">
        <f>IF(T63&gt;=0.9,"✅ Meets","⚠️ Below")</f>
        <v>✅ Meets</v>
      </c>
      <c r="W63" s="34" t="s">
        <v>1290</v>
      </c>
    </row>
    <row r="64" spans="1:23" ht="15" customHeight="1">
      <c r="A64" s="8">
        <v>63</v>
      </c>
      <c r="B64" s="8" t="s">
        <v>4309</v>
      </c>
      <c r="C64" s="8" t="s">
        <v>4501</v>
      </c>
      <c r="D64" s="8" t="s">
        <v>4502</v>
      </c>
      <c r="E64" s="8" t="s">
        <v>21</v>
      </c>
      <c r="F64" s="8" t="s">
        <v>22</v>
      </c>
      <c r="G64" s="8">
        <v>376</v>
      </c>
      <c r="H64" s="8" t="s">
        <v>23</v>
      </c>
      <c r="I64" s="8" t="s">
        <v>244</v>
      </c>
      <c r="J64" s="8" t="s">
        <v>41</v>
      </c>
      <c r="K64" s="8" t="s">
        <v>26</v>
      </c>
      <c r="L64" s="8" t="s">
        <v>245</v>
      </c>
      <c r="M64" s="8">
        <v>5411</v>
      </c>
      <c r="N64" s="8" t="s">
        <v>245</v>
      </c>
      <c r="O64" s="8" t="s">
        <v>4503</v>
      </c>
      <c r="P64" s="8" t="s">
        <v>2476</v>
      </c>
      <c r="Q64" s="8" t="s">
        <v>2477</v>
      </c>
      <c r="R64" s="7"/>
    </row>
    <row r="65" spans="1:17" ht="15" customHeight="1">
      <c r="A65" s="9">
        <v>64</v>
      </c>
      <c r="B65" s="9" t="s">
        <v>4309</v>
      </c>
      <c r="C65" s="9" t="s">
        <v>4504</v>
      </c>
      <c r="D65" s="9" t="s">
        <v>4505</v>
      </c>
      <c r="E65" s="9" t="s">
        <v>21</v>
      </c>
      <c r="F65" s="9" t="s">
        <v>22</v>
      </c>
      <c r="G65" s="9">
        <v>656</v>
      </c>
      <c r="H65" s="9" t="s">
        <v>23</v>
      </c>
      <c r="I65" s="9" t="s">
        <v>108</v>
      </c>
      <c r="J65" s="9" t="s">
        <v>41</v>
      </c>
      <c r="K65" s="9" t="s">
        <v>26</v>
      </c>
      <c r="L65" s="9" t="s">
        <v>57</v>
      </c>
      <c r="M65" s="9">
        <v>5999</v>
      </c>
      <c r="N65" s="9" t="s">
        <v>57</v>
      </c>
      <c r="O65" s="9" t="s">
        <v>4506</v>
      </c>
      <c r="P65" s="9" t="s">
        <v>2476</v>
      </c>
      <c r="Q65" s="9" t="s">
        <v>2477</v>
      </c>
    </row>
    <row r="66" spans="1:17" ht="15" customHeight="1">
      <c r="A66" s="8">
        <v>65</v>
      </c>
      <c r="B66" s="8" t="s">
        <v>4309</v>
      </c>
      <c r="C66" s="8" t="s">
        <v>4507</v>
      </c>
      <c r="D66" s="8" t="s">
        <v>4508</v>
      </c>
      <c r="E66" s="8" t="s">
        <v>21</v>
      </c>
      <c r="F66" s="8" t="s">
        <v>22</v>
      </c>
      <c r="G66" s="8">
        <v>1500</v>
      </c>
      <c r="H66" s="8" t="s">
        <v>23</v>
      </c>
      <c r="I66" s="8" t="s">
        <v>4312</v>
      </c>
      <c r="J66" s="8" t="s">
        <v>36</v>
      </c>
      <c r="K66" s="8" t="s">
        <v>26</v>
      </c>
      <c r="L66" s="8" t="s">
        <v>4313</v>
      </c>
      <c r="M66" s="8">
        <v>6012</v>
      </c>
      <c r="N66" s="8" t="s">
        <v>4313</v>
      </c>
      <c r="O66" s="8" t="s">
        <v>4509</v>
      </c>
      <c r="P66" s="8" t="s">
        <v>2476</v>
      </c>
      <c r="Q66" s="8" t="s">
        <v>2477</v>
      </c>
    </row>
    <row r="67" spans="1:17" ht="15" customHeight="1">
      <c r="A67" s="9">
        <v>66</v>
      </c>
      <c r="B67" s="9" t="s">
        <v>4309</v>
      </c>
      <c r="C67" s="9" t="s">
        <v>4510</v>
      </c>
      <c r="D67" s="9" t="s">
        <v>4511</v>
      </c>
      <c r="E67" s="9" t="s">
        <v>21</v>
      </c>
      <c r="F67" s="9" t="s">
        <v>22</v>
      </c>
      <c r="G67" s="9">
        <v>310</v>
      </c>
      <c r="H67" s="9" t="s">
        <v>23</v>
      </c>
      <c r="I67" s="9" t="s">
        <v>123</v>
      </c>
      <c r="J67" s="9" t="s">
        <v>41</v>
      </c>
      <c r="K67" s="9" t="s">
        <v>26</v>
      </c>
      <c r="L67" s="9" t="s">
        <v>124</v>
      </c>
      <c r="M67" s="9">
        <v>5541</v>
      </c>
      <c r="N67" s="9" t="s">
        <v>124</v>
      </c>
      <c r="O67" s="9" t="s">
        <v>4512</v>
      </c>
      <c r="P67" s="9" t="s">
        <v>2476</v>
      </c>
      <c r="Q67" s="9" t="s">
        <v>2477</v>
      </c>
    </row>
    <row r="68" spans="1:17" ht="15" customHeight="1">
      <c r="A68" s="8">
        <v>67</v>
      </c>
      <c r="B68" s="8" t="s">
        <v>4309</v>
      </c>
      <c r="C68" s="8" t="s">
        <v>4513</v>
      </c>
      <c r="D68" s="8" t="s">
        <v>4514</v>
      </c>
      <c r="E68" s="8" t="s">
        <v>21</v>
      </c>
      <c r="F68" s="8" t="s">
        <v>22</v>
      </c>
      <c r="G68" s="8">
        <v>514</v>
      </c>
      <c r="H68" s="8" t="s">
        <v>23</v>
      </c>
      <c r="I68" s="8" t="s">
        <v>498</v>
      </c>
      <c r="J68" s="8" t="s">
        <v>36</v>
      </c>
      <c r="K68" s="8" t="s">
        <v>26</v>
      </c>
      <c r="L68" s="8" t="s">
        <v>499</v>
      </c>
      <c r="M68" s="8">
        <v>4900</v>
      </c>
      <c r="N68" s="8" t="s">
        <v>499</v>
      </c>
      <c r="O68" s="8" t="s">
        <v>4515</v>
      </c>
      <c r="P68" s="8" t="s">
        <v>2476</v>
      </c>
      <c r="Q68" s="8" t="s">
        <v>2477</v>
      </c>
    </row>
    <row r="69" spans="1:17" ht="15" customHeight="1">
      <c r="A69" s="9">
        <v>68</v>
      </c>
      <c r="B69" s="9" t="s">
        <v>4309</v>
      </c>
      <c r="C69" s="9" t="s">
        <v>4516</v>
      </c>
      <c r="D69" s="9" t="s">
        <v>4517</v>
      </c>
      <c r="E69" s="9" t="s">
        <v>21</v>
      </c>
      <c r="F69" s="9" t="s">
        <v>22</v>
      </c>
      <c r="G69" s="9">
        <v>354</v>
      </c>
      <c r="H69" s="9" t="s">
        <v>23</v>
      </c>
      <c r="I69" s="9" t="s">
        <v>138</v>
      </c>
      <c r="J69" s="9" t="s">
        <v>41</v>
      </c>
      <c r="K69" s="9" t="s">
        <v>26</v>
      </c>
      <c r="L69" s="9" t="s">
        <v>139</v>
      </c>
      <c r="M69" s="9">
        <v>5812</v>
      </c>
      <c r="N69" s="9" t="s">
        <v>139</v>
      </c>
      <c r="O69" s="9" t="s">
        <v>4518</v>
      </c>
      <c r="P69" s="9" t="s">
        <v>2476</v>
      </c>
      <c r="Q69" s="9" t="s">
        <v>2477</v>
      </c>
    </row>
    <row r="70" spans="1:17" ht="15" customHeight="1">
      <c r="A70" s="8">
        <v>69</v>
      </c>
      <c r="B70" s="8" t="s">
        <v>4309</v>
      </c>
      <c r="C70" s="8" t="s">
        <v>4519</v>
      </c>
      <c r="D70" s="8" t="s">
        <v>4520</v>
      </c>
      <c r="E70" s="8" t="s">
        <v>21</v>
      </c>
      <c r="F70" s="8" t="s">
        <v>22</v>
      </c>
      <c r="G70" s="8">
        <v>183</v>
      </c>
      <c r="H70" s="8" t="s">
        <v>23</v>
      </c>
      <c r="I70" s="8" t="s">
        <v>56</v>
      </c>
      <c r="J70" s="8" t="s">
        <v>41</v>
      </c>
      <c r="K70" s="8" t="s">
        <v>26</v>
      </c>
      <c r="L70" s="8" t="s">
        <v>57</v>
      </c>
      <c r="M70" s="8">
        <v>5999</v>
      </c>
      <c r="N70" s="8" t="s">
        <v>57</v>
      </c>
      <c r="O70" s="8" t="s">
        <v>4521</v>
      </c>
      <c r="P70" s="8" t="s">
        <v>2476</v>
      </c>
      <c r="Q70" s="8" t="s">
        <v>2477</v>
      </c>
    </row>
    <row r="71" spans="1:17" ht="15" customHeight="1">
      <c r="A71" s="9">
        <v>70</v>
      </c>
      <c r="B71" s="9" t="s">
        <v>4309</v>
      </c>
      <c r="C71" s="9" t="s">
        <v>4522</v>
      </c>
      <c r="D71" s="9" t="s">
        <v>4523</v>
      </c>
      <c r="E71" s="9" t="s">
        <v>21</v>
      </c>
      <c r="F71" s="9" t="s">
        <v>22</v>
      </c>
      <c r="G71" s="9">
        <v>421</v>
      </c>
      <c r="H71" s="9" t="s">
        <v>23</v>
      </c>
      <c r="I71" s="9" t="s">
        <v>82</v>
      </c>
      <c r="J71" s="9" t="s">
        <v>41</v>
      </c>
      <c r="K71" s="9" t="s">
        <v>26</v>
      </c>
      <c r="L71" s="9" t="s">
        <v>83</v>
      </c>
      <c r="M71" s="9">
        <v>5411</v>
      </c>
      <c r="N71" s="9" t="s">
        <v>83</v>
      </c>
      <c r="O71" s="9" t="s">
        <v>4524</v>
      </c>
      <c r="P71" s="9" t="s">
        <v>2476</v>
      </c>
      <c r="Q71" s="9" t="s">
        <v>2477</v>
      </c>
    </row>
    <row r="72" spans="1:17" ht="15" customHeight="1">
      <c r="A72" s="8">
        <v>71</v>
      </c>
      <c r="B72" s="8" t="s">
        <v>4309</v>
      </c>
      <c r="C72" s="8" t="s">
        <v>4525</v>
      </c>
      <c r="D72" s="8" t="s">
        <v>4526</v>
      </c>
      <c r="E72" s="8" t="s">
        <v>21</v>
      </c>
      <c r="F72" s="8" t="s">
        <v>22</v>
      </c>
      <c r="G72" s="8">
        <v>298</v>
      </c>
      <c r="H72" s="8" t="s">
        <v>23</v>
      </c>
      <c r="I72" s="8" t="s">
        <v>174</v>
      </c>
      <c r="J72" s="8" t="s">
        <v>36</v>
      </c>
      <c r="K72" s="8" t="s">
        <v>26</v>
      </c>
      <c r="L72" s="8" t="s">
        <v>175</v>
      </c>
      <c r="M72" s="8">
        <v>4813</v>
      </c>
      <c r="N72" s="8" t="s">
        <v>175</v>
      </c>
      <c r="O72" s="8" t="s">
        <v>4527</v>
      </c>
      <c r="P72" s="8" t="s">
        <v>2476</v>
      </c>
      <c r="Q72" s="8" t="s">
        <v>2477</v>
      </c>
    </row>
    <row r="73" spans="1:17" ht="15" customHeight="1">
      <c r="A73" s="9">
        <v>72</v>
      </c>
      <c r="B73" s="9" t="s">
        <v>4309</v>
      </c>
      <c r="C73" s="9" t="s">
        <v>4528</v>
      </c>
      <c r="D73" s="9" t="s">
        <v>4529</v>
      </c>
      <c r="E73" s="9" t="s">
        <v>21</v>
      </c>
      <c r="F73" s="9" t="s">
        <v>22</v>
      </c>
      <c r="G73" s="9">
        <v>412</v>
      </c>
      <c r="H73" s="9" t="s">
        <v>23</v>
      </c>
      <c r="I73" s="9" t="s">
        <v>560</v>
      </c>
      <c r="J73" s="9" t="s">
        <v>331</v>
      </c>
      <c r="K73" s="9" t="s">
        <v>26</v>
      </c>
      <c r="L73" s="9" t="s">
        <v>561</v>
      </c>
      <c r="M73" s="9">
        <v>6011</v>
      </c>
      <c r="N73" s="9" t="s">
        <v>561</v>
      </c>
      <c r="O73" s="9" t="s">
        <v>4530</v>
      </c>
      <c r="P73" s="9" t="s">
        <v>2476</v>
      </c>
      <c r="Q73" s="9" t="s">
        <v>2477</v>
      </c>
    </row>
    <row r="74" spans="1:17" ht="15" customHeight="1">
      <c r="A74" s="8">
        <v>73</v>
      </c>
      <c r="B74" s="8" t="s">
        <v>4309</v>
      </c>
      <c r="C74" s="8" t="s">
        <v>4531</v>
      </c>
      <c r="D74" s="8" t="s">
        <v>4532</v>
      </c>
      <c r="E74" s="8" t="s">
        <v>21</v>
      </c>
      <c r="F74" s="8" t="s">
        <v>22</v>
      </c>
      <c r="G74" s="8">
        <v>421</v>
      </c>
      <c r="H74" s="8" t="s">
        <v>23</v>
      </c>
      <c r="I74" s="8" t="s">
        <v>379</v>
      </c>
      <c r="J74" s="8" t="s">
        <v>41</v>
      </c>
      <c r="K74" s="8" t="s">
        <v>26</v>
      </c>
      <c r="L74" s="8" t="s">
        <v>380</v>
      </c>
      <c r="M74" s="8">
        <v>5411</v>
      </c>
      <c r="N74" s="8" t="s">
        <v>380</v>
      </c>
      <c r="O74" s="8" t="s">
        <v>4533</v>
      </c>
      <c r="P74" s="8" t="s">
        <v>2476</v>
      </c>
      <c r="Q74" s="8" t="s">
        <v>2477</v>
      </c>
    </row>
    <row r="75" spans="1:17" ht="15" customHeight="1">
      <c r="A75" s="9">
        <v>74</v>
      </c>
      <c r="B75" s="9" t="s">
        <v>4309</v>
      </c>
      <c r="C75" s="9" t="s">
        <v>4534</v>
      </c>
      <c r="D75" s="9" t="s">
        <v>4535</v>
      </c>
      <c r="E75" s="9" t="s">
        <v>94</v>
      </c>
      <c r="F75" s="9" t="s">
        <v>22</v>
      </c>
      <c r="G75" s="9">
        <v>4200</v>
      </c>
      <c r="H75" s="9" t="s">
        <v>23</v>
      </c>
      <c r="I75" s="9" t="s">
        <v>4336</v>
      </c>
      <c r="J75" s="9" t="s">
        <v>96</v>
      </c>
      <c r="K75" s="9" t="s">
        <v>97</v>
      </c>
      <c r="L75" s="9" t="s">
        <v>4337</v>
      </c>
      <c r="M75" s="9"/>
      <c r="N75" s="9" t="s">
        <v>4337</v>
      </c>
      <c r="O75" s="9" t="s">
        <v>4536</v>
      </c>
      <c r="P75" s="9" t="s">
        <v>2476</v>
      </c>
      <c r="Q75" s="9" t="s">
        <v>2477</v>
      </c>
    </row>
    <row r="76" spans="1:17" ht="15" customHeight="1">
      <c r="A76" s="8">
        <v>75</v>
      </c>
      <c r="B76" s="8" t="s">
        <v>4309</v>
      </c>
      <c r="C76" s="8" t="s">
        <v>4537</v>
      </c>
      <c r="D76" s="8" t="s">
        <v>4538</v>
      </c>
      <c r="E76" s="8" t="s">
        <v>21</v>
      </c>
      <c r="F76" s="8" t="s">
        <v>22</v>
      </c>
      <c r="G76" s="8">
        <v>421</v>
      </c>
      <c r="H76" s="8" t="s">
        <v>23</v>
      </c>
      <c r="I76" s="8" t="s">
        <v>102</v>
      </c>
      <c r="J76" s="8" t="s">
        <v>41</v>
      </c>
      <c r="K76" s="8" t="s">
        <v>26</v>
      </c>
      <c r="L76" s="8" t="s">
        <v>103</v>
      </c>
      <c r="M76" s="8">
        <v>5411</v>
      </c>
      <c r="N76" s="8" t="s">
        <v>103</v>
      </c>
      <c r="O76" s="8" t="s">
        <v>4539</v>
      </c>
      <c r="P76" s="8" t="s">
        <v>2476</v>
      </c>
      <c r="Q76" s="8" t="s">
        <v>2477</v>
      </c>
    </row>
    <row r="77" spans="1:17" ht="15" customHeight="1">
      <c r="A77" s="9">
        <v>76</v>
      </c>
      <c r="B77" s="9" t="s">
        <v>4309</v>
      </c>
      <c r="C77" s="9" t="s">
        <v>4540</v>
      </c>
      <c r="D77" s="9" t="s">
        <v>4541</v>
      </c>
      <c r="E77" s="9" t="s">
        <v>21</v>
      </c>
      <c r="F77" s="9" t="s">
        <v>22</v>
      </c>
      <c r="G77" s="9">
        <v>1500</v>
      </c>
      <c r="H77" s="9" t="s">
        <v>23</v>
      </c>
      <c r="I77" s="9" t="s">
        <v>4312</v>
      </c>
      <c r="J77" s="9" t="s">
        <v>36</v>
      </c>
      <c r="K77" s="9" t="s">
        <v>26</v>
      </c>
      <c r="L77" s="9" t="s">
        <v>4313</v>
      </c>
      <c r="M77" s="9">
        <v>6012</v>
      </c>
      <c r="N77" s="9" t="s">
        <v>4313</v>
      </c>
      <c r="O77" s="9" t="s">
        <v>4542</v>
      </c>
      <c r="P77" s="9" t="s">
        <v>2476</v>
      </c>
      <c r="Q77" s="9" t="s">
        <v>2477</v>
      </c>
    </row>
    <row r="78" spans="1:17" ht="15" customHeight="1">
      <c r="A78" s="8">
        <v>77</v>
      </c>
      <c r="B78" s="8" t="s">
        <v>4309</v>
      </c>
      <c r="C78" s="8" t="s">
        <v>4543</v>
      </c>
      <c r="D78" s="8" t="s">
        <v>4544</v>
      </c>
      <c r="E78" s="8" t="s">
        <v>21</v>
      </c>
      <c r="F78" s="8" t="s">
        <v>22</v>
      </c>
      <c r="G78" s="8">
        <v>378</v>
      </c>
      <c r="H78" s="8" t="s">
        <v>23</v>
      </c>
      <c r="I78" s="8" t="s">
        <v>180</v>
      </c>
      <c r="J78" s="8" t="s">
        <v>41</v>
      </c>
      <c r="K78" s="8" t="s">
        <v>26</v>
      </c>
      <c r="L78" s="8" t="s">
        <v>181</v>
      </c>
      <c r="M78" s="8">
        <v>5411</v>
      </c>
      <c r="N78" s="8" t="s">
        <v>181</v>
      </c>
      <c r="O78" s="8" t="s">
        <v>4545</v>
      </c>
      <c r="P78" s="8" t="s">
        <v>2476</v>
      </c>
      <c r="Q78" s="8" t="s">
        <v>2477</v>
      </c>
    </row>
    <row r="79" spans="1:17" ht="15" customHeight="1">
      <c r="A79" s="9">
        <v>78</v>
      </c>
      <c r="B79" s="9" t="s">
        <v>4309</v>
      </c>
      <c r="C79" s="9" t="s">
        <v>4546</v>
      </c>
      <c r="D79" s="9" t="s">
        <v>4547</v>
      </c>
      <c r="E79" s="9" t="s">
        <v>21</v>
      </c>
      <c r="F79" s="9" t="s">
        <v>22</v>
      </c>
      <c r="G79" s="9">
        <v>430</v>
      </c>
      <c r="H79" s="9" t="s">
        <v>23</v>
      </c>
      <c r="I79" s="9" t="s">
        <v>498</v>
      </c>
      <c r="J79" s="9" t="s">
        <v>36</v>
      </c>
      <c r="K79" s="9" t="s">
        <v>26</v>
      </c>
      <c r="L79" s="9" t="s">
        <v>499</v>
      </c>
      <c r="M79" s="9">
        <v>4900</v>
      </c>
      <c r="N79" s="9" t="s">
        <v>499</v>
      </c>
      <c r="O79" s="9" t="s">
        <v>4548</v>
      </c>
      <c r="P79" s="9" t="s">
        <v>2476</v>
      </c>
      <c r="Q79" s="9" t="s">
        <v>2477</v>
      </c>
    </row>
    <row r="80" spans="1:17" ht="15" customHeight="1">
      <c r="A80" s="8">
        <v>79</v>
      </c>
      <c r="B80" s="8" t="s">
        <v>4309</v>
      </c>
      <c r="C80" s="8" t="s">
        <v>4549</v>
      </c>
      <c r="D80" s="8" t="s">
        <v>4550</v>
      </c>
      <c r="E80" s="8" t="s">
        <v>21</v>
      </c>
      <c r="F80" s="8" t="s">
        <v>22</v>
      </c>
      <c r="G80" s="8">
        <v>378</v>
      </c>
      <c r="H80" s="8" t="s">
        <v>23</v>
      </c>
      <c r="I80" s="8" t="s">
        <v>131</v>
      </c>
      <c r="J80" s="8" t="s">
        <v>41</v>
      </c>
      <c r="K80" s="8" t="s">
        <v>26</v>
      </c>
      <c r="L80" s="8" t="s">
        <v>132</v>
      </c>
      <c r="M80" s="8">
        <v>5411</v>
      </c>
      <c r="N80" s="8" t="s">
        <v>132</v>
      </c>
      <c r="O80" s="8" t="s">
        <v>4551</v>
      </c>
      <c r="P80" s="8" t="s">
        <v>2476</v>
      </c>
      <c r="Q80" s="8" t="s">
        <v>2477</v>
      </c>
    </row>
    <row r="81" spans="1:17" ht="15" customHeight="1">
      <c r="A81" s="9">
        <v>80</v>
      </c>
      <c r="B81" s="9" t="s">
        <v>4309</v>
      </c>
      <c r="C81" s="9" t="s">
        <v>4552</v>
      </c>
      <c r="D81" s="9" t="s">
        <v>4553</v>
      </c>
      <c r="E81" s="9" t="s">
        <v>21</v>
      </c>
      <c r="F81" s="9" t="s">
        <v>22</v>
      </c>
      <c r="G81" s="9">
        <v>310</v>
      </c>
      <c r="H81" s="9" t="s">
        <v>23</v>
      </c>
      <c r="I81" s="9" t="s">
        <v>70</v>
      </c>
      <c r="J81" s="9" t="s">
        <v>41</v>
      </c>
      <c r="K81" s="9" t="s">
        <v>26</v>
      </c>
      <c r="L81" s="9" t="s">
        <v>71</v>
      </c>
      <c r="M81" s="9">
        <v>5541</v>
      </c>
      <c r="N81" s="9" t="s">
        <v>71</v>
      </c>
      <c r="O81" s="9" t="s">
        <v>4554</v>
      </c>
      <c r="P81" s="9" t="s">
        <v>2476</v>
      </c>
      <c r="Q81" s="9" t="s">
        <v>2477</v>
      </c>
    </row>
    <row r="82" spans="1:17" ht="15" customHeight="1">
      <c r="A82" s="8">
        <v>81</v>
      </c>
      <c r="B82" s="8" t="s">
        <v>4309</v>
      </c>
      <c r="C82" s="8" t="s">
        <v>4555</v>
      </c>
      <c r="D82" s="8" t="s">
        <v>4556</v>
      </c>
      <c r="E82" s="8" t="s">
        <v>21</v>
      </c>
      <c r="F82" s="8" t="s">
        <v>22</v>
      </c>
      <c r="G82" s="8">
        <v>379</v>
      </c>
      <c r="H82" s="8" t="s">
        <v>23</v>
      </c>
      <c r="I82" s="8" t="s">
        <v>244</v>
      </c>
      <c r="J82" s="8" t="s">
        <v>41</v>
      </c>
      <c r="K82" s="8" t="s">
        <v>26</v>
      </c>
      <c r="L82" s="8" t="s">
        <v>245</v>
      </c>
      <c r="M82" s="8">
        <v>5411</v>
      </c>
      <c r="N82" s="8" t="s">
        <v>245</v>
      </c>
      <c r="O82" s="8" t="s">
        <v>4557</v>
      </c>
      <c r="P82" s="8" t="s">
        <v>2476</v>
      </c>
      <c r="Q82" s="8" t="s">
        <v>2477</v>
      </c>
    </row>
    <row r="83" spans="1:17" ht="15" customHeight="1">
      <c r="A83" s="9">
        <v>82</v>
      </c>
      <c r="B83" s="9" t="s">
        <v>4309</v>
      </c>
      <c r="C83" s="9" t="s">
        <v>4558</v>
      </c>
      <c r="D83" s="9" t="s">
        <v>4559</v>
      </c>
      <c r="E83" s="9" t="s">
        <v>21</v>
      </c>
      <c r="F83" s="9" t="s">
        <v>22</v>
      </c>
      <c r="G83" s="9">
        <v>277</v>
      </c>
      <c r="H83" s="9" t="s">
        <v>23</v>
      </c>
      <c r="I83" s="9" t="s">
        <v>174</v>
      </c>
      <c r="J83" s="9" t="s">
        <v>36</v>
      </c>
      <c r="K83" s="9" t="s">
        <v>26</v>
      </c>
      <c r="L83" s="9" t="s">
        <v>175</v>
      </c>
      <c r="M83" s="9">
        <v>4813</v>
      </c>
      <c r="N83" s="9" t="s">
        <v>175</v>
      </c>
      <c r="O83" s="9" t="s">
        <v>4560</v>
      </c>
      <c r="P83" s="9" t="s">
        <v>2476</v>
      </c>
      <c r="Q83" s="9" t="s">
        <v>2477</v>
      </c>
    </row>
    <row r="84" spans="1:17" ht="15" customHeight="1">
      <c r="A84" s="8">
        <v>83</v>
      </c>
      <c r="B84" s="8" t="s">
        <v>4309</v>
      </c>
      <c r="C84" s="8" t="s">
        <v>4561</v>
      </c>
      <c r="D84" s="8" t="s">
        <v>4562</v>
      </c>
      <c r="E84" s="8" t="s">
        <v>21</v>
      </c>
      <c r="F84" s="8" t="s">
        <v>22</v>
      </c>
      <c r="G84" s="8">
        <v>1541</v>
      </c>
      <c r="H84" s="8" t="s">
        <v>23</v>
      </c>
      <c r="I84" s="8" t="s">
        <v>56</v>
      </c>
      <c r="J84" s="8" t="s">
        <v>41</v>
      </c>
      <c r="K84" s="8" t="s">
        <v>26</v>
      </c>
      <c r="L84" s="8" t="s">
        <v>57</v>
      </c>
      <c r="M84" s="8">
        <v>5999</v>
      </c>
      <c r="N84" s="8" t="s">
        <v>57</v>
      </c>
      <c r="O84" s="8" t="s">
        <v>4563</v>
      </c>
      <c r="P84" s="8" t="s">
        <v>2476</v>
      </c>
      <c r="Q84" s="8" t="s">
        <v>2477</v>
      </c>
    </row>
    <row r="85" spans="1:17" ht="15" customHeight="1">
      <c r="A85" s="9">
        <v>84</v>
      </c>
      <c r="B85" s="9" t="s">
        <v>4309</v>
      </c>
      <c r="C85" s="9" t="s">
        <v>4564</v>
      </c>
      <c r="D85" s="9" t="s">
        <v>4565</v>
      </c>
      <c r="E85" s="9" t="s">
        <v>94</v>
      </c>
      <c r="F85" s="9" t="s">
        <v>22</v>
      </c>
      <c r="G85" s="9">
        <v>4200</v>
      </c>
      <c r="H85" s="9" t="s">
        <v>23</v>
      </c>
      <c r="I85" s="9" t="s">
        <v>4336</v>
      </c>
      <c r="J85" s="9" t="s">
        <v>96</v>
      </c>
      <c r="K85" s="9" t="s">
        <v>97</v>
      </c>
      <c r="L85" s="9" t="s">
        <v>4337</v>
      </c>
      <c r="M85" s="9"/>
      <c r="N85" s="9" t="s">
        <v>4337</v>
      </c>
      <c r="O85" s="9" t="s">
        <v>4566</v>
      </c>
      <c r="P85" s="9" t="s">
        <v>2476</v>
      </c>
      <c r="Q85" s="9" t="s">
        <v>2477</v>
      </c>
    </row>
    <row r="86" spans="1:17" ht="15" customHeight="1">
      <c r="A86" s="8">
        <v>85</v>
      </c>
      <c r="B86" s="8" t="s">
        <v>4309</v>
      </c>
      <c r="C86" s="8" t="s">
        <v>4567</v>
      </c>
      <c r="D86" s="8" t="s">
        <v>4568</v>
      </c>
      <c r="E86" s="8" t="s">
        <v>21</v>
      </c>
      <c r="F86" s="8" t="s">
        <v>22</v>
      </c>
      <c r="G86" s="8">
        <v>297</v>
      </c>
      <c r="H86" s="8" t="s">
        <v>23</v>
      </c>
      <c r="I86" s="8" t="s">
        <v>52</v>
      </c>
      <c r="J86" s="8" t="s">
        <v>41</v>
      </c>
      <c r="K86" s="8" t="s">
        <v>26</v>
      </c>
      <c r="L86" s="8" t="s">
        <v>53</v>
      </c>
      <c r="M86" s="8">
        <v>5812</v>
      </c>
      <c r="N86" s="8" t="s">
        <v>53</v>
      </c>
      <c r="O86" s="8" t="s">
        <v>4569</v>
      </c>
      <c r="P86" s="8" t="s">
        <v>2476</v>
      </c>
      <c r="Q86" s="8" t="s">
        <v>2477</v>
      </c>
    </row>
    <row r="87" spans="1:17" ht="15" customHeight="1">
      <c r="A87" s="9">
        <v>86</v>
      </c>
      <c r="B87" s="9" t="s">
        <v>4309</v>
      </c>
      <c r="C87" s="9" t="s">
        <v>4570</v>
      </c>
      <c r="D87" s="9" t="s">
        <v>4571</v>
      </c>
      <c r="E87" s="9" t="s">
        <v>21</v>
      </c>
      <c r="F87" s="9" t="s">
        <v>22</v>
      </c>
      <c r="G87" s="9">
        <v>18000</v>
      </c>
      <c r="H87" s="9" t="s">
        <v>23</v>
      </c>
      <c r="I87" s="9" t="s">
        <v>4312</v>
      </c>
      <c r="J87" s="9" t="s">
        <v>36</v>
      </c>
      <c r="K87" s="9" t="s">
        <v>26</v>
      </c>
      <c r="L87" s="9" t="s">
        <v>4313</v>
      </c>
      <c r="M87" s="9">
        <v>6012</v>
      </c>
      <c r="N87" s="9" t="s">
        <v>4313</v>
      </c>
      <c r="O87" s="9" t="s">
        <v>4572</v>
      </c>
      <c r="P87" s="9" t="s">
        <v>2476</v>
      </c>
      <c r="Q87" s="9" t="s">
        <v>2477</v>
      </c>
    </row>
    <row r="88" spans="1:17" ht="15" customHeight="1">
      <c r="A88" s="8">
        <v>87</v>
      </c>
      <c r="B88" s="8" t="s">
        <v>4309</v>
      </c>
      <c r="C88" s="8" t="s">
        <v>4573</v>
      </c>
      <c r="D88" s="8" t="s">
        <v>4574</v>
      </c>
      <c r="E88" s="8" t="s">
        <v>21</v>
      </c>
      <c r="F88" s="8" t="s">
        <v>22</v>
      </c>
      <c r="G88" s="8">
        <v>283</v>
      </c>
      <c r="H88" s="8" t="s">
        <v>23</v>
      </c>
      <c r="I88" s="8" t="s">
        <v>138</v>
      </c>
      <c r="J88" s="8" t="s">
        <v>41</v>
      </c>
      <c r="K88" s="8" t="s">
        <v>26</v>
      </c>
      <c r="L88" s="8" t="s">
        <v>139</v>
      </c>
      <c r="M88" s="8">
        <v>5812</v>
      </c>
      <c r="N88" s="8" t="s">
        <v>139</v>
      </c>
      <c r="O88" s="8" t="s">
        <v>4575</v>
      </c>
      <c r="P88" s="8" t="s">
        <v>2476</v>
      </c>
      <c r="Q88" s="8" t="s">
        <v>2477</v>
      </c>
    </row>
    <row r="89" spans="1:17" ht="15" customHeight="1">
      <c r="A89" s="9">
        <v>88</v>
      </c>
      <c r="B89" s="9" t="s">
        <v>4309</v>
      </c>
      <c r="C89" s="9" t="s">
        <v>4576</v>
      </c>
      <c r="D89" s="9" t="s">
        <v>4577</v>
      </c>
      <c r="E89" s="9" t="s">
        <v>21</v>
      </c>
      <c r="F89" s="9" t="s">
        <v>22</v>
      </c>
      <c r="G89" s="9">
        <v>355</v>
      </c>
      <c r="H89" s="9" t="s">
        <v>23</v>
      </c>
      <c r="I89" s="9" t="s">
        <v>174</v>
      </c>
      <c r="J89" s="9" t="s">
        <v>36</v>
      </c>
      <c r="K89" s="9" t="s">
        <v>26</v>
      </c>
      <c r="L89" s="9" t="s">
        <v>175</v>
      </c>
      <c r="M89" s="9">
        <v>4813</v>
      </c>
      <c r="N89" s="9" t="s">
        <v>175</v>
      </c>
      <c r="O89" s="9" t="s">
        <v>4578</v>
      </c>
      <c r="P89" s="9" t="s">
        <v>2476</v>
      </c>
      <c r="Q89" s="9" t="s">
        <v>2477</v>
      </c>
    </row>
    <row r="90" spans="1:17" ht="15" customHeight="1">
      <c r="A90" s="8">
        <v>89</v>
      </c>
      <c r="B90" s="8" t="s">
        <v>4309</v>
      </c>
      <c r="C90" s="8" t="s">
        <v>4579</v>
      </c>
      <c r="D90" s="8" t="s">
        <v>4580</v>
      </c>
      <c r="E90" s="8" t="s">
        <v>21</v>
      </c>
      <c r="F90" s="8" t="s">
        <v>22</v>
      </c>
      <c r="G90" s="8">
        <v>604</v>
      </c>
      <c r="H90" s="8" t="s">
        <v>23</v>
      </c>
      <c r="I90" s="8" t="s">
        <v>244</v>
      </c>
      <c r="J90" s="8" t="s">
        <v>41</v>
      </c>
      <c r="K90" s="8" t="s">
        <v>26</v>
      </c>
      <c r="L90" s="8" t="s">
        <v>245</v>
      </c>
      <c r="M90" s="8">
        <v>5411</v>
      </c>
      <c r="N90" s="8" t="s">
        <v>245</v>
      </c>
      <c r="O90" s="8" t="s">
        <v>4581</v>
      </c>
      <c r="P90" s="8" t="s">
        <v>2476</v>
      </c>
      <c r="Q90" s="8" t="s">
        <v>2477</v>
      </c>
    </row>
    <row r="91" spans="1:17" ht="15" customHeight="1">
      <c r="A91" s="9">
        <v>90</v>
      </c>
      <c r="B91" s="9" t="s">
        <v>4309</v>
      </c>
      <c r="C91" s="9" t="s">
        <v>4582</v>
      </c>
      <c r="D91" s="9" t="s">
        <v>4583</v>
      </c>
      <c r="E91" s="9" t="s">
        <v>21</v>
      </c>
      <c r="F91" s="9" t="s">
        <v>22</v>
      </c>
      <c r="G91" s="9">
        <v>776</v>
      </c>
      <c r="H91" s="9" t="s">
        <v>23</v>
      </c>
      <c r="I91" s="9" t="s">
        <v>186</v>
      </c>
      <c r="J91" s="9" t="s">
        <v>41</v>
      </c>
      <c r="K91" s="9" t="s">
        <v>26</v>
      </c>
      <c r="L91" s="9" t="s">
        <v>187</v>
      </c>
      <c r="M91" s="9">
        <v>5999</v>
      </c>
      <c r="N91" s="9" t="s">
        <v>187</v>
      </c>
      <c r="O91" s="9" t="s">
        <v>4584</v>
      </c>
      <c r="P91" s="9" t="s">
        <v>2476</v>
      </c>
      <c r="Q91" s="9" t="s">
        <v>2477</v>
      </c>
    </row>
    <row r="92" spans="1:17" ht="15" customHeight="1">
      <c r="A92" s="8">
        <v>91</v>
      </c>
      <c r="B92" s="8" t="s">
        <v>4309</v>
      </c>
      <c r="C92" s="8" t="s">
        <v>4585</v>
      </c>
      <c r="D92" s="8" t="s">
        <v>4586</v>
      </c>
      <c r="E92" s="8" t="s">
        <v>21</v>
      </c>
      <c r="F92" s="8" t="s">
        <v>22</v>
      </c>
      <c r="G92" s="8">
        <v>925</v>
      </c>
      <c r="H92" s="8" t="s">
        <v>23</v>
      </c>
      <c r="I92" s="8" t="s">
        <v>56</v>
      </c>
      <c r="J92" s="8" t="s">
        <v>41</v>
      </c>
      <c r="K92" s="8" t="s">
        <v>26</v>
      </c>
      <c r="L92" s="8" t="s">
        <v>57</v>
      </c>
      <c r="M92" s="8">
        <v>5999</v>
      </c>
      <c r="N92" s="8" t="s">
        <v>57</v>
      </c>
      <c r="O92" s="8" t="s">
        <v>4587</v>
      </c>
      <c r="P92" s="8" t="s">
        <v>2476</v>
      </c>
      <c r="Q92" s="8" t="s">
        <v>2477</v>
      </c>
    </row>
    <row r="93" spans="1:17" ht="15" customHeight="1">
      <c r="A93" s="9">
        <v>92</v>
      </c>
      <c r="B93" s="9" t="s">
        <v>4309</v>
      </c>
      <c r="C93" s="9" t="s">
        <v>4588</v>
      </c>
      <c r="D93" s="9" t="s">
        <v>4589</v>
      </c>
      <c r="E93" s="9" t="s">
        <v>21</v>
      </c>
      <c r="F93" s="9" t="s">
        <v>22</v>
      </c>
      <c r="G93" s="9">
        <v>603</v>
      </c>
      <c r="H93" s="9" t="s">
        <v>23</v>
      </c>
      <c r="I93" s="9" t="s">
        <v>180</v>
      </c>
      <c r="J93" s="9" t="s">
        <v>41</v>
      </c>
      <c r="K93" s="9" t="s">
        <v>26</v>
      </c>
      <c r="L93" s="9" t="s">
        <v>181</v>
      </c>
      <c r="M93" s="9">
        <v>5411</v>
      </c>
      <c r="N93" s="9" t="s">
        <v>181</v>
      </c>
      <c r="O93" s="9" t="s">
        <v>4590</v>
      </c>
      <c r="P93" s="9" t="s">
        <v>2476</v>
      </c>
      <c r="Q93" s="9" t="s">
        <v>2477</v>
      </c>
    </row>
    <row r="94" spans="1:17" ht="15" customHeight="1">
      <c r="A94" s="8">
        <v>93</v>
      </c>
      <c r="B94" s="8" t="s">
        <v>4309</v>
      </c>
      <c r="C94" s="8" t="s">
        <v>4591</v>
      </c>
      <c r="D94" s="8" t="s">
        <v>4592</v>
      </c>
      <c r="E94" s="8" t="s">
        <v>21</v>
      </c>
      <c r="F94" s="8" t="s">
        <v>22</v>
      </c>
      <c r="G94" s="8">
        <v>444</v>
      </c>
      <c r="H94" s="8" t="s">
        <v>23</v>
      </c>
      <c r="I94" s="8" t="s">
        <v>498</v>
      </c>
      <c r="J94" s="8" t="s">
        <v>36</v>
      </c>
      <c r="K94" s="8" t="s">
        <v>26</v>
      </c>
      <c r="L94" s="8" t="s">
        <v>499</v>
      </c>
      <c r="M94" s="8">
        <v>4900</v>
      </c>
      <c r="N94" s="8" t="s">
        <v>499</v>
      </c>
      <c r="O94" s="8" t="s">
        <v>4593</v>
      </c>
      <c r="P94" s="8" t="s">
        <v>2476</v>
      </c>
      <c r="Q94" s="8" t="s">
        <v>2477</v>
      </c>
    </row>
    <row r="95" spans="1:17" ht="15" customHeight="1">
      <c r="A95" s="9">
        <v>94</v>
      </c>
      <c r="B95" s="9" t="s">
        <v>4309</v>
      </c>
      <c r="C95" s="9" t="s">
        <v>4594</v>
      </c>
      <c r="D95" s="9" t="s">
        <v>4595</v>
      </c>
      <c r="E95" s="9" t="s">
        <v>94</v>
      </c>
      <c r="F95" s="9" t="s">
        <v>22</v>
      </c>
      <c r="G95" s="9">
        <v>4200</v>
      </c>
      <c r="H95" s="9" t="s">
        <v>23</v>
      </c>
      <c r="I95" s="9" t="s">
        <v>4336</v>
      </c>
      <c r="J95" s="9" t="s">
        <v>96</v>
      </c>
      <c r="K95" s="9" t="s">
        <v>97</v>
      </c>
      <c r="L95" s="9" t="s">
        <v>4337</v>
      </c>
      <c r="M95" s="9"/>
      <c r="N95" s="9" t="s">
        <v>4337</v>
      </c>
      <c r="O95" s="9" t="s">
        <v>4596</v>
      </c>
      <c r="P95" s="9" t="s">
        <v>2476</v>
      </c>
      <c r="Q95" s="9" t="s">
        <v>2477</v>
      </c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3" style="5" customWidth="1"/>
    <col min="2" max="2" width="11" style="5" customWidth="1"/>
    <col min="3" max="4" width="21" style="5" customWidth="1"/>
    <col min="5" max="5" width="22" style="5" customWidth="1"/>
    <col min="6" max="7" width="8" style="5" customWidth="1"/>
    <col min="8" max="8" width="10" style="5" customWidth="1"/>
    <col min="9" max="9" width="40" style="5" customWidth="1"/>
    <col min="10" max="10" width="25" style="5" customWidth="1"/>
    <col min="11" max="11" width="20" style="5" customWidth="1"/>
    <col min="12" max="12" width="33" style="5" customWidth="1"/>
    <col min="13" max="13" width="22" style="5" customWidth="1"/>
    <col min="14" max="14" width="33" style="5" customWidth="1"/>
    <col min="15" max="15" width="26" style="5" customWidth="1"/>
    <col min="16" max="16" width="23" style="5" customWidth="1"/>
    <col min="17" max="17" width="32" style="5" customWidth="1"/>
    <col min="18" max="18" width="2" style="5" customWidth="1"/>
    <col min="19" max="19" width="44" style="5" customWidth="1"/>
    <col min="20" max="20" width="20" style="5" customWidth="1"/>
    <col min="21" max="21" width="14" style="5" customWidth="1"/>
    <col min="22" max="22" width="16" style="5" customWidth="1"/>
    <col min="23" max="23" width="50" style="5" customWidth="1"/>
  </cols>
  <sheetData>
    <row r="1" spans="1:23" ht="25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/>
      <c r="S1" s="4" t="s">
        <v>4597</v>
      </c>
      <c r="T1" s="4"/>
      <c r="U1" s="4"/>
      <c r="V1" s="4"/>
      <c r="W1" s="4"/>
    </row>
    <row r="2" spans="1:23" ht="13.5" customHeight="1">
      <c r="A2" s="8">
        <v>1</v>
      </c>
      <c r="B2" s="8" t="s">
        <v>4598</v>
      </c>
      <c r="C2" s="8" t="s">
        <v>4599</v>
      </c>
      <c r="D2" s="8" t="s">
        <v>4600</v>
      </c>
      <c r="E2" s="8" t="s">
        <v>21</v>
      </c>
      <c r="F2" s="8" t="s">
        <v>22</v>
      </c>
      <c r="G2" s="8">
        <v>1500</v>
      </c>
      <c r="H2" s="8" t="s">
        <v>23</v>
      </c>
      <c r="I2" s="8" t="s">
        <v>4601</v>
      </c>
      <c r="J2" s="8" t="s">
        <v>36</v>
      </c>
      <c r="K2" s="8" t="s">
        <v>26</v>
      </c>
      <c r="L2" s="8" t="s">
        <v>4602</v>
      </c>
      <c r="M2" s="8">
        <v>6012</v>
      </c>
      <c r="N2" s="8" t="s">
        <v>4602</v>
      </c>
      <c r="O2" s="8" t="s">
        <v>4603</v>
      </c>
      <c r="P2" s="8" t="s">
        <v>4604</v>
      </c>
      <c r="Q2" s="8" t="s">
        <v>4605</v>
      </c>
      <c r="R2" s="7"/>
      <c r="S2" s="3" t="s">
        <v>4606</v>
      </c>
      <c r="T2" s="3"/>
      <c r="U2" s="3"/>
      <c r="V2" s="3"/>
      <c r="W2" s="3"/>
    </row>
    <row r="3" spans="1:23" ht="3.75" customHeight="1">
      <c r="A3" s="9">
        <v>2</v>
      </c>
      <c r="B3" s="9" t="s">
        <v>4598</v>
      </c>
      <c r="C3" s="9" t="s">
        <v>4607</v>
      </c>
      <c r="D3" s="9" t="s">
        <v>4608</v>
      </c>
      <c r="E3" s="9" t="s">
        <v>21</v>
      </c>
      <c r="F3" s="9" t="s">
        <v>22</v>
      </c>
      <c r="G3" s="9">
        <v>396</v>
      </c>
      <c r="H3" s="9" t="s">
        <v>23</v>
      </c>
      <c r="I3" s="9" t="s">
        <v>498</v>
      </c>
      <c r="J3" s="9" t="s">
        <v>36</v>
      </c>
      <c r="K3" s="9" t="s">
        <v>26</v>
      </c>
      <c r="L3" s="9" t="s">
        <v>499</v>
      </c>
      <c r="M3" s="9">
        <v>4900</v>
      </c>
      <c r="N3" s="9" t="s">
        <v>499</v>
      </c>
      <c r="O3" s="9" t="s">
        <v>4609</v>
      </c>
      <c r="P3" s="9" t="s">
        <v>4604</v>
      </c>
      <c r="Q3" s="9" t="s">
        <v>4605</v>
      </c>
      <c r="R3" s="7"/>
    </row>
    <row r="4" spans="1:23" ht="15" customHeight="1">
      <c r="A4" s="8">
        <v>3</v>
      </c>
      <c r="B4" s="8" t="s">
        <v>4598</v>
      </c>
      <c r="C4" s="8" t="s">
        <v>4610</v>
      </c>
      <c r="D4" s="8" t="s">
        <v>4611</v>
      </c>
      <c r="E4" s="8" t="s">
        <v>21</v>
      </c>
      <c r="F4" s="8" t="s">
        <v>22</v>
      </c>
      <c r="G4" s="8">
        <v>409</v>
      </c>
      <c r="H4" s="8" t="s">
        <v>23</v>
      </c>
      <c r="I4" s="8" t="s">
        <v>61</v>
      </c>
      <c r="J4" s="8" t="s">
        <v>25</v>
      </c>
      <c r="K4" s="8" t="s">
        <v>26</v>
      </c>
      <c r="L4" s="8" t="s">
        <v>62</v>
      </c>
      <c r="M4" s="8">
        <v>5999</v>
      </c>
      <c r="N4" s="8" t="s">
        <v>62</v>
      </c>
      <c r="O4" s="8" t="s">
        <v>4612</v>
      </c>
      <c r="P4" s="8" t="s">
        <v>4604</v>
      </c>
      <c r="Q4" s="8" t="s">
        <v>4605</v>
      </c>
      <c r="R4" s="7"/>
      <c r="S4" s="3" t="s">
        <v>43</v>
      </c>
      <c r="T4" s="3"/>
      <c r="U4" s="3"/>
      <c r="V4" s="3"/>
      <c r="W4" s="3"/>
    </row>
    <row r="5" spans="1:23" ht="18" customHeight="1">
      <c r="A5" s="9">
        <v>4</v>
      </c>
      <c r="B5" s="9" t="s">
        <v>4598</v>
      </c>
      <c r="C5" s="9" t="s">
        <v>4613</v>
      </c>
      <c r="D5" s="9" t="s">
        <v>4614</v>
      </c>
      <c r="E5" s="9" t="s">
        <v>21</v>
      </c>
      <c r="F5" s="9" t="s">
        <v>22</v>
      </c>
      <c r="G5" s="9">
        <v>299</v>
      </c>
      <c r="H5" s="9" t="s">
        <v>23</v>
      </c>
      <c r="I5" s="9" t="s">
        <v>391</v>
      </c>
      <c r="J5" s="9" t="s">
        <v>331</v>
      </c>
      <c r="K5" s="9" t="s">
        <v>26</v>
      </c>
      <c r="L5" s="9" t="s">
        <v>392</v>
      </c>
      <c r="M5" s="9">
        <v>6011</v>
      </c>
      <c r="N5" s="9" t="s">
        <v>392</v>
      </c>
      <c r="O5" s="9" t="s">
        <v>4615</v>
      </c>
      <c r="P5" s="9" t="s">
        <v>4604</v>
      </c>
      <c r="Q5" s="9" t="s">
        <v>4605</v>
      </c>
      <c r="R5" s="7"/>
      <c r="S5" s="10" t="s">
        <v>48</v>
      </c>
      <c r="T5" s="11">
        <v>19</v>
      </c>
      <c r="U5" s="12"/>
      <c r="V5" s="12"/>
      <c r="W5" s="13" t="s">
        <v>49</v>
      </c>
    </row>
    <row r="6" spans="1:23" ht="3.75" customHeight="1">
      <c r="A6" s="8">
        <v>5</v>
      </c>
      <c r="B6" s="8" t="s">
        <v>4598</v>
      </c>
      <c r="C6" s="8" t="s">
        <v>4616</v>
      </c>
      <c r="D6" s="8" t="s">
        <v>4617</v>
      </c>
      <c r="E6" s="8" t="s">
        <v>21</v>
      </c>
      <c r="F6" s="8" t="s">
        <v>22</v>
      </c>
      <c r="G6" s="8">
        <v>299</v>
      </c>
      <c r="H6" s="8" t="s">
        <v>23</v>
      </c>
      <c r="I6" s="8" t="s">
        <v>330</v>
      </c>
      <c r="J6" s="8" t="s">
        <v>331</v>
      </c>
      <c r="K6" s="8" t="s">
        <v>26</v>
      </c>
      <c r="L6" s="8" t="s">
        <v>332</v>
      </c>
      <c r="M6" s="8">
        <v>6011</v>
      </c>
      <c r="N6" s="8" t="s">
        <v>332</v>
      </c>
      <c r="O6" s="8" t="s">
        <v>4618</v>
      </c>
      <c r="P6" s="8" t="s">
        <v>4604</v>
      </c>
      <c r="Q6" s="8" t="s">
        <v>4605</v>
      </c>
      <c r="R6" s="7"/>
    </row>
    <row r="7" spans="1:23" ht="15" customHeight="1">
      <c r="A7" s="9">
        <v>6</v>
      </c>
      <c r="B7" s="9" t="s">
        <v>4598</v>
      </c>
      <c r="C7" s="9" t="s">
        <v>4619</v>
      </c>
      <c r="D7" s="9" t="s">
        <v>4620</v>
      </c>
      <c r="E7" s="9" t="s">
        <v>21</v>
      </c>
      <c r="F7" s="9" t="s">
        <v>22</v>
      </c>
      <c r="G7" s="9">
        <v>571</v>
      </c>
      <c r="H7" s="9" t="s">
        <v>23</v>
      </c>
      <c r="I7" s="9" t="s">
        <v>56</v>
      </c>
      <c r="J7" s="9" t="s">
        <v>41</v>
      </c>
      <c r="K7" s="9" t="s">
        <v>26</v>
      </c>
      <c r="L7" s="9" t="s">
        <v>57</v>
      </c>
      <c r="M7" s="9">
        <v>5999</v>
      </c>
      <c r="N7" s="9" t="s">
        <v>57</v>
      </c>
      <c r="O7" s="9" t="s">
        <v>4621</v>
      </c>
      <c r="P7" s="9" t="s">
        <v>4604</v>
      </c>
      <c r="Q7" s="9" t="s">
        <v>4605</v>
      </c>
      <c r="R7" s="7"/>
      <c r="S7" s="2" t="s">
        <v>58</v>
      </c>
      <c r="T7" s="2"/>
      <c r="U7" s="2"/>
      <c r="V7" s="2"/>
      <c r="W7" s="2"/>
    </row>
    <row r="8" spans="1:23" ht="31.5" customHeight="1">
      <c r="A8" s="8">
        <v>7</v>
      </c>
      <c r="B8" s="8" t="s">
        <v>4598</v>
      </c>
      <c r="C8" s="8" t="s">
        <v>4622</v>
      </c>
      <c r="D8" s="8" t="s">
        <v>4623</v>
      </c>
      <c r="E8" s="8" t="s">
        <v>21</v>
      </c>
      <c r="F8" s="8" t="s">
        <v>22</v>
      </c>
      <c r="G8" s="8">
        <v>331</v>
      </c>
      <c r="H8" s="8" t="s">
        <v>23</v>
      </c>
      <c r="I8" s="8" t="s">
        <v>340</v>
      </c>
      <c r="J8" s="8" t="s">
        <v>41</v>
      </c>
      <c r="K8" s="8" t="s">
        <v>26</v>
      </c>
      <c r="L8" s="8" t="s">
        <v>341</v>
      </c>
      <c r="M8" s="8">
        <v>5812</v>
      </c>
      <c r="N8" s="8" t="s">
        <v>341</v>
      </c>
      <c r="O8" s="8" t="s">
        <v>4624</v>
      </c>
      <c r="P8" s="8" t="s">
        <v>4604</v>
      </c>
      <c r="Q8" s="8" t="s">
        <v>4605</v>
      </c>
      <c r="R8" s="7"/>
      <c r="S8" s="14" t="s">
        <v>63</v>
      </c>
      <c r="T8" s="14" t="s">
        <v>64</v>
      </c>
      <c r="U8" s="14" t="s">
        <v>65</v>
      </c>
      <c r="V8" s="14" t="s">
        <v>66</v>
      </c>
      <c r="W8" s="14" t="s">
        <v>67</v>
      </c>
    </row>
    <row r="9" spans="1:23" ht="15" customHeight="1">
      <c r="A9" s="9">
        <v>8</v>
      </c>
      <c r="B9" s="9" t="s">
        <v>4598</v>
      </c>
      <c r="C9" s="9" t="s">
        <v>4625</v>
      </c>
      <c r="D9" s="9" t="s">
        <v>4626</v>
      </c>
      <c r="E9" s="9" t="s">
        <v>21</v>
      </c>
      <c r="F9" s="9" t="s">
        <v>22</v>
      </c>
      <c r="G9" s="9">
        <v>511</v>
      </c>
      <c r="H9" s="9" t="s">
        <v>23</v>
      </c>
      <c r="I9" s="9" t="s">
        <v>244</v>
      </c>
      <c r="J9" s="9" t="s">
        <v>41</v>
      </c>
      <c r="K9" s="9" t="s">
        <v>26</v>
      </c>
      <c r="L9" s="9" t="s">
        <v>245</v>
      </c>
      <c r="M9" s="9">
        <v>5411</v>
      </c>
      <c r="N9" s="9" t="s">
        <v>245</v>
      </c>
      <c r="O9" s="9" t="s">
        <v>4627</v>
      </c>
      <c r="P9" s="9" t="s">
        <v>4604</v>
      </c>
      <c r="Q9" s="9" t="s">
        <v>4605</v>
      </c>
      <c r="R9" s="7"/>
      <c r="S9" s="15">
        <v>45901</v>
      </c>
      <c r="T9" s="16">
        <f t="shared" ref="T9:T14" si="0">IFERROR(SUMPRODUCT((LEFT($C$2:$C$57,7)=TEXT(S9,"YYYY-MM"))*($E$2:$E$57="KSAOB.Credit")*($K$2:$K$57="KSAOB.Deposit")*($G$2:$G$57)),0)</f>
        <v>3500</v>
      </c>
      <c r="U9" s="16">
        <f t="shared" ref="U9:U14" si="1">IFERROR(SUMPRODUCT((LEFT($C$2:$C$57,7)=TEXT(S9,"YYYY-MM"))*($E$2:$E$57="KSAOB.Debit")*($M$2:$M$57=6012)*($G$2:$G$57)),0)</f>
        <v>1500</v>
      </c>
      <c r="V9" s="16">
        <f t="shared" ref="V9:V14" si="2">IFERROR(SUMPRODUCT((LEFT($C$2:$C$57,7)=TEXT(S9,"YYYY-MM"))*($E$2:$E$57="KSAOB.Debit")*($M$2:$M$57&lt;&gt;6012)*($G$2:$G$57)),0)</f>
        <v>3640</v>
      </c>
      <c r="W9" s="17">
        <f t="shared" ref="W9:W14" si="3">T9-U9-V9</f>
        <v>-1640</v>
      </c>
    </row>
    <row r="10" spans="1:23" ht="15" customHeight="1">
      <c r="A10" s="8">
        <v>9</v>
      </c>
      <c r="B10" s="8" t="s">
        <v>4598</v>
      </c>
      <c r="C10" s="8" t="s">
        <v>4628</v>
      </c>
      <c r="D10" s="8" t="s">
        <v>4629</v>
      </c>
      <c r="E10" s="8" t="s">
        <v>94</v>
      </c>
      <c r="F10" s="8" t="s">
        <v>22</v>
      </c>
      <c r="G10" s="8">
        <v>3500</v>
      </c>
      <c r="H10" s="8" t="s">
        <v>23</v>
      </c>
      <c r="I10" s="8" t="s">
        <v>4630</v>
      </c>
      <c r="J10" s="8" t="s">
        <v>96</v>
      </c>
      <c r="K10" s="8" t="s">
        <v>97</v>
      </c>
      <c r="L10" s="8" t="s">
        <v>4631</v>
      </c>
      <c r="M10" s="8"/>
      <c r="N10" s="8" t="s">
        <v>4631</v>
      </c>
      <c r="O10" s="8" t="s">
        <v>4632</v>
      </c>
      <c r="P10" s="8" t="s">
        <v>4604</v>
      </c>
      <c r="Q10" s="8" t="s">
        <v>4605</v>
      </c>
      <c r="R10" s="7"/>
      <c r="S10" s="18">
        <v>45931</v>
      </c>
      <c r="T10" s="19">
        <f t="shared" si="0"/>
        <v>3500</v>
      </c>
      <c r="U10" s="19">
        <f t="shared" si="1"/>
        <v>1500</v>
      </c>
      <c r="V10" s="19">
        <f t="shared" si="2"/>
        <v>3640</v>
      </c>
      <c r="W10" s="20">
        <f t="shared" si="3"/>
        <v>-1640</v>
      </c>
    </row>
    <row r="11" spans="1:23" ht="15" customHeight="1">
      <c r="A11" s="9">
        <v>10</v>
      </c>
      <c r="B11" s="9" t="s">
        <v>4598</v>
      </c>
      <c r="C11" s="9" t="s">
        <v>4633</v>
      </c>
      <c r="D11" s="9" t="s">
        <v>4634</v>
      </c>
      <c r="E11" s="9" t="s">
        <v>21</v>
      </c>
      <c r="F11" s="9" t="s">
        <v>22</v>
      </c>
      <c r="G11" s="9">
        <v>511</v>
      </c>
      <c r="H11" s="9" t="s">
        <v>23</v>
      </c>
      <c r="I11" s="9" t="s">
        <v>180</v>
      </c>
      <c r="J11" s="9" t="s">
        <v>41</v>
      </c>
      <c r="K11" s="9" t="s">
        <v>26</v>
      </c>
      <c r="L11" s="9" t="s">
        <v>181</v>
      </c>
      <c r="M11" s="9">
        <v>5411</v>
      </c>
      <c r="N11" s="9" t="s">
        <v>181</v>
      </c>
      <c r="O11" s="9" t="s">
        <v>4635</v>
      </c>
      <c r="P11" s="9" t="s">
        <v>4604</v>
      </c>
      <c r="Q11" s="9" t="s">
        <v>4605</v>
      </c>
      <c r="R11" s="7"/>
      <c r="S11" s="15">
        <v>45962</v>
      </c>
      <c r="T11" s="16">
        <f t="shared" si="0"/>
        <v>3500</v>
      </c>
      <c r="U11" s="16">
        <f t="shared" si="1"/>
        <v>1500</v>
      </c>
      <c r="V11" s="16">
        <f t="shared" si="2"/>
        <v>3640</v>
      </c>
      <c r="W11" s="17">
        <f t="shared" si="3"/>
        <v>-1640</v>
      </c>
    </row>
    <row r="12" spans="1:23" ht="15" customHeight="1">
      <c r="A12" s="8">
        <v>11</v>
      </c>
      <c r="B12" s="8" t="s">
        <v>4598</v>
      </c>
      <c r="C12" s="8" t="s">
        <v>4636</v>
      </c>
      <c r="D12" s="8" t="s">
        <v>4637</v>
      </c>
      <c r="E12" s="8" t="s">
        <v>21</v>
      </c>
      <c r="F12" s="8" t="s">
        <v>22</v>
      </c>
      <c r="G12" s="8">
        <v>313</v>
      </c>
      <c r="H12" s="8" t="s">
        <v>23</v>
      </c>
      <c r="I12" s="8" t="s">
        <v>174</v>
      </c>
      <c r="J12" s="8" t="s">
        <v>36</v>
      </c>
      <c r="K12" s="8" t="s">
        <v>26</v>
      </c>
      <c r="L12" s="8" t="s">
        <v>175</v>
      </c>
      <c r="M12" s="8">
        <v>4813</v>
      </c>
      <c r="N12" s="8" t="s">
        <v>175</v>
      </c>
      <c r="O12" s="8" t="s">
        <v>4638</v>
      </c>
      <c r="P12" s="8" t="s">
        <v>4604</v>
      </c>
      <c r="Q12" s="8" t="s">
        <v>4605</v>
      </c>
      <c r="R12" s="7"/>
      <c r="S12" s="18">
        <v>45992</v>
      </c>
      <c r="T12" s="19">
        <f t="shared" si="0"/>
        <v>3500</v>
      </c>
      <c r="U12" s="19">
        <f t="shared" si="1"/>
        <v>1500</v>
      </c>
      <c r="V12" s="19">
        <f t="shared" si="2"/>
        <v>3640</v>
      </c>
      <c r="W12" s="20">
        <f t="shared" si="3"/>
        <v>-1640</v>
      </c>
    </row>
    <row r="13" spans="1:23" ht="15" customHeight="1">
      <c r="A13" s="9">
        <v>12</v>
      </c>
      <c r="B13" s="9" t="s">
        <v>4598</v>
      </c>
      <c r="C13" s="9" t="s">
        <v>4639</v>
      </c>
      <c r="D13" s="9" t="s">
        <v>4640</v>
      </c>
      <c r="E13" s="9" t="s">
        <v>21</v>
      </c>
      <c r="F13" s="9" t="s">
        <v>22</v>
      </c>
      <c r="G13" s="9">
        <v>1500</v>
      </c>
      <c r="H13" s="9" t="s">
        <v>23</v>
      </c>
      <c r="I13" s="9" t="s">
        <v>4601</v>
      </c>
      <c r="J13" s="9" t="s">
        <v>36</v>
      </c>
      <c r="K13" s="9" t="s">
        <v>26</v>
      </c>
      <c r="L13" s="9" t="s">
        <v>4602</v>
      </c>
      <c r="M13" s="9">
        <v>6012</v>
      </c>
      <c r="N13" s="9" t="s">
        <v>4602</v>
      </c>
      <c r="O13" s="9" t="s">
        <v>4641</v>
      </c>
      <c r="P13" s="9" t="s">
        <v>4604</v>
      </c>
      <c r="Q13" s="9" t="s">
        <v>4605</v>
      </c>
      <c r="R13" s="7"/>
      <c r="S13" s="15">
        <v>46023</v>
      </c>
      <c r="T13" s="16">
        <f t="shared" si="0"/>
        <v>3500</v>
      </c>
      <c r="U13" s="16">
        <f t="shared" si="1"/>
        <v>1500</v>
      </c>
      <c r="V13" s="16">
        <f t="shared" si="2"/>
        <v>3640</v>
      </c>
      <c r="W13" s="17">
        <f t="shared" si="3"/>
        <v>-1640</v>
      </c>
    </row>
    <row r="14" spans="1:23" ht="15" customHeight="1">
      <c r="A14" s="8">
        <v>13</v>
      </c>
      <c r="B14" s="8" t="s">
        <v>4598</v>
      </c>
      <c r="C14" s="8" t="s">
        <v>4642</v>
      </c>
      <c r="D14" s="8" t="s">
        <v>4643</v>
      </c>
      <c r="E14" s="8" t="s">
        <v>21</v>
      </c>
      <c r="F14" s="8" t="s">
        <v>22</v>
      </c>
      <c r="G14" s="8">
        <v>469</v>
      </c>
      <c r="H14" s="8" t="s">
        <v>23</v>
      </c>
      <c r="I14" s="8" t="s">
        <v>198</v>
      </c>
      <c r="J14" s="8" t="s">
        <v>36</v>
      </c>
      <c r="K14" s="8" t="s">
        <v>26</v>
      </c>
      <c r="L14" s="8" t="s">
        <v>199</v>
      </c>
      <c r="M14" s="8">
        <v>4900</v>
      </c>
      <c r="N14" s="8" t="s">
        <v>199</v>
      </c>
      <c r="O14" s="8" t="s">
        <v>4644</v>
      </c>
      <c r="P14" s="8" t="s">
        <v>4604</v>
      </c>
      <c r="Q14" s="8" t="s">
        <v>4605</v>
      </c>
      <c r="R14" s="7"/>
      <c r="S14" s="18">
        <v>46054</v>
      </c>
      <c r="T14" s="19">
        <f t="shared" si="0"/>
        <v>3500</v>
      </c>
      <c r="U14" s="19">
        <f t="shared" si="1"/>
        <v>20000</v>
      </c>
      <c r="V14" s="19">
        <f t="shared" si="2"/>
        <v>3640</v>
      </c>
      <c r="W14" s="20">
        <f t="shared" si="3"/>
        <v>-20140</v>
      </c>
    </row>
    <row r="15" spans="1:23" ht="15" customHeight="1">
      <c r="A15" s="9">
        <v>14</v>
      </c>
      <c r="B15" s="9" t="s">
        <v>4598</v>
      </c>
      <c r="C15" s="9" t="s">
        <v>4645</v>
      </c>
      <c r="D15" s="9" t="s">
        <v>4646</v>
      </c>
      <c r="E15" s="9" t="s">
        <v>21</v>
      </c>
      <c r="F15" s="9" t="s">
        <v>22</v>
      </c>
      <c r="G15" s="9">
        <v>327</v>
      </c>
      <c r="H15" s="9" t="s">
        <v>23</v>
      </c>
      <c r="I15" s="9" t="s">
        <v>86</v>
      </c>
      <c r="J15" s="9" t="s">
        <v>36</v>
      </c>
      <c r="K15" s="9" t="s">
        <v>26</v>
      </c>
      <c r="L15" s="9" t="s">
        <v>87</v>
      </c>
      <c r="M15" s="9">
        <v>4813</v>
      </c>
      <c r="N15" s="9" t="s">
        <v>87</v>
      </c>
      <c r="O15" s="9" t="s">
        <v>4647</v>
      </c>
      <c r="P15" s="9" t="s">
        <v>4604</v>
      </c>
      <c r="Q15" s="9" t="s">
        <v>4605</v>
      </c>
      <c r="R15" s="7"/>
      <c r="S15" s="21"/>
      <c r="T15" s="21"/>
      <c r="U15" s="21"/>
      <c r="V15" s="21"/>
      <c r="W15" s="21"/>
    </row>
    <row r="16" spans="1:23" ht="15" customHeight="1">
      <c r="A16" s="8">
        <v>15</v>
      </c>
      <c r="B16" s="8" t="s">
        <v>4598</v>
      </c>
      <c r="C16" s="8" t="s">
        <v>4648</v>
      </c>
      <c r="D16" s="8" t="s">
        <v>4649</v>
      </c>
      <c r="E16" s="8" t="s">
        <v>21</v>
      </c>
      <c r="F16" s="8" t="s">
        <v>22</v>
      </c>
      <c r="G16" s="8">
        <v>280</v>
      </c>
      <c r="H16" s="8" t="s">
        <v>23</v>
      </c>
      <c r="I16" s="8" t="s">
        <v>330</v>
      </c>
      <c r="J16" s="8" t="s">
        <v>331</v>
      </c>
      <c r="K16" s="8" t="s">
        <v>26</v>
      </c>
      <c r="L16" s="8" t="s">
        <v>332</v>
      </c>
      <c r="M16" s="8">
        <v>6011</v>
      </c>
      <c r="N16" s="8" t="s">
        <v>332</v>
      </c>
      <c r="O16" s="8" t="s">
        <v>4650</v>
      </c>
      <c r="P16" s="8" t="s">
        <v>4604</v>
      </c>
      <c r="Q16" s="8" t="s">
        <v>4605</v>
      </c>
      <c r="R16" s="7"/>
      <c r="S16" s="21"/>
      <c r="T16" s="21"/>
      <c r="U16" s="21"/>
      <c r="V16" s="21"/>
      <c r="W16" s="21"/>
    </row>
    <row r="17" spans="1:23" ht="15" customHeight="1">
      <c r="A17" s="9">
        <v>16</v>
      </c>
      <c r="B17" s="9" t="s">
        <v>4598</v>
      </c>
      <c r="C17" s="9" t="s">
        <v>4651</v>
      </c>
      <c r="D17" s="9" t="s">
        <v>4652</v>
      </c>
      <c r="E17" s="9" t="s">
        <v>21</v>
      </c>
      <c r="F17" s="9" t="s">
        <v>22</v>
      </c>
      <c r="G17" s="9">
        <v>1349</v>
      </c>
      <c r="H17" s="9" t="s">
        <v>23</v>
      </c>
      <c r="I17" s="9" t="s">
        <v>56</v>
      </c>
      <c r="J17" s="9" t="s">
        <v>41</v>
      </c>
      <c r="K17" s="9" t="s">
        <v>26</v>
      </c>
      <c r="L17" s="9" t="s">
        <v>57</v>
      </c>
      <c r="M17" s="9">
        <v>5999</v>
      </c>
      <c r="N17" s="9" t="s">
        <v>57</v>
      </c>
      <c r="O17" s="9" t="s">
        <v>4653</v>
      </c>
      <c r="P17" s="9" t="s">
        <v>4604</v>
      </c>
      <c r="Q17" s="9" t="s">
        <v>4605</v>
      </c>
      <c r="R17" s="7"/>
      <c r="S17" s="21"/>
      <c r="T17" s="21"/>
      <c r="U17" s="21"/>
      <c r="V17" s="21"/>
      <c r="W17" s="21"/>
    </row>
    <row r="18" spans="1:23" ht="15" customHeight="1">
      <c r="A18" s="8">
        <v>17</v>
      </c>
      <c r="B18" s="8" t="s">
        <v>4598</v>
      </c>
      <c r="C18" s="8" t="s">
        <v>4654</v>
      </c>
      <c r="D18" s="8" t="s">
        <v>4655</v>
      </c>
      <c r="E18" s="8" t="s">
        <v>21</v>
      </c>
      <c r="F18" s="8" t="s">
        <v>22</v>
      </c>
      <c r="G18" s="8">
        <v>934</v>
      </c>
      <c r="H18" s="8" t="s">
        <v>23</v>
      </c>
      <c r="I18" s="8" t="s">
        <v>82</v>
      </c>
      <c r="J18" s="8" t="s">
        <v>41</v>
      </c>
      <c r="K18" s="8" t="s">
        <v>26</v>
      </c>
      <c r="L18" s="8" t="s">
        <v>83</v>
      </c>
      <c r="M18" s="8">
        <v>5411</v>
      </c>
      <c r="N18" s="8" t="s">
        <v>83</v>
      </c>
      <c r="O18" s="8" t="s">
        <v>4656</v>
      </c>
      <c r="P18" s="8" t="s">
        <v>4604</v>
      </c>
      <c r="Q18" s="8" t="s">
        <v>4605</v>
      </c>
      <c r="R18" s="7"/>
      <c r="S18" s="21"/>
      <c r="T18" s="21"/>
      <c r="U18" s="21"/>
      <c r="V18" s="21"/>
      <c r="W18" s="21"/>
    </row>
    <row r="19" spans="1:23" ht="15" customHeight="1">
      <c r="A19" s="9">
        <v>18</v>
      </c>
      <c r="B19" s="9" t="s">
        <v>4598</v>
      </c>
      <c r="C19" s="9" t="s">
        <v>4657</v>
      </c>
      <c r="D19" s="9" t="s">
        <v>4658</v>
      </c>
      <c r="E19" s="9" t="s">
        <v>94</v>
      </c>
      <c r="F19" s="9" t="s">
        <v>22</v>
      </c>
      <c r="G19" s="9">
        <v>3500</v>
      </c>
      <c r="H19" s="9" t="s">
        <v>23</v>
      </c>
      <c r="I19" s="9" t="s">
        <v>4630</v>
      </c>
      <c r="J19" s="9" t="s">
        <v>96</v>
      </c>
      <c r="K19" s="9" t="s">
        <v>97</v>
      </c>
      <c r="L19" s="9" t="s">
        <v>4631</v>
      </c>
      <c r="M19" s="9"/>
      <c r="N19" s="9" t="s">
        <v>4631</v>
      </c>
      <c r="O19" s="9" t="s">
        <v>4659</v>
      </c>
      <c r="P19" s="9" t="s">
        <v>4604</v>
      </c>
      <c r="Q19" s="9" t="s">
        <v>4605</v>
      </c>
      <c r="R19" s="7"/>
      <c r="S19" s="21"/>
      <c r="T19" s="21"/>
      <c r="U19" s="21"/>
      <c r="V19" s="21"/>
      <c r="W19" s="21"/>
    </row>
    <row r="20" spans="1:23" ht="15" customHeight="1">
      <c r="A20" s="8">
        <v>19</v>
      </c>
      <c r="B20" s="8" t="s">
        <v>4598</v>
      </c>
      <c r="C20" s="8" t="s">
        <v>4660</v>
      </c>
      <c r="D20" s="8" t="s">
        <v>4661</v>
      </c>
      <c r="E20" s="8" t="s">
        <v>21</v>
      </c>
      <c r="F20" s="8" t="s">
        <v>22</v>
      </c>
      <c r="G20" s="8">
        <v>281</v>
      </c>
      <c r="H20" s="8" t="s">
        <v>23</v>
      </c>
      <c r="I20" s="8" t="s">
        <v>330</v>
      </c>
      <c r="J20" s="8" t="s">
        <v>331</v>
      </c>
      <c r="K20" s="8" t="s">
        <v>26</v>
      </c>
      <c r="L20" s="8" t="s">
        <v>332</v>
      </c>
      <c r="M20" s="8">
        <v>6011</v>
      </c>
      <c r="N20" s="8" t="s">
        <v>332</v>
      </c>
      <c r="O20" s="8" t="s">
        <v>4662</v>
      </c>
      <c r="P20" s="8" t="s">
        <v>4604</v>
      </c>
      <c r="Q20" s="8" t="s">
        <v>4605</v>
      </c>
      <c r="R20" s="7"/>
      <c r="S20" s="21"/>
      <c r="T20" s="21"/>
      <c r="U20" s="21"/>
      <c r="V20" s="21"/>
      <c r="W20" s="21"/>
    </row>
    <row r="21" spans="1:23" ht="15" customHeight="1">
      <c r="A21" s="9">
        <v>20</v>
      </c>
      <c r="B21" s="9" t="s">
        <v>4598</v>
      </c>
      <c r="C21" s="9" t="s">
        <v>4663</v>
      </c>
      <c r="D21" s="9" t="s">
        <v>4664</v>
      </c>
      <c r="E21" s="9" t="s">
        <v>21</v>
      </c>
      <c r="F21" s="9" t="s">
        <v>22</v>
      </c>
      <c r="G21" s="9">
        <v>1500</v>
      </c>
      <c r="H21" s="9" t="s">
        <v>23</v>
      </c>
      <c r="I21" s="9" t="s">
        <v>4601</v>
      </c>
      <c r="J21" s="9" t="s">
        <v>36</v>
      </c>
      <c r="K21" s="9" t="s">
        <v>26</v>
      </c>
      <c r="L21" s="9" t="s">
        <v>4602</v>
      </c>
      <c r="M21" s="9">
        <v>6012</v>
      </c>
      <c r="N21" s="9" t="s">
        <v>4602</v>
      </c>
      <c r="O21" s="9" t="s">
        <v>4665</v>
      </c>
      <c r="P21" s="9" t="s">
        <v>4604</v>
      </c>
      <c r="Q21" s="9" t="s">
        <v>4605</v>
      </c>
      <c r="R21" s="7"/>
      <c r="S21" s="21"/>
      <c r="T21" s="21"/>
      <c r="U21" s="21"/>
      <c r="V21" s="21"/>
      <c r="W21" s="21"/>
    </row>
    <row r="22" spans="1:23" ht="15" customHeight="1">
      <c r="A22" s="8">
        <v>21</v>
      </c>
      <c r="B22" s="8" t="s">
        <v>4598</v>
      </c>
      <c r="C22" s="8" t="s">
        <v>4666</v>
      </c>
      <c r="D22" s="8" t="s">
        <v>4667</v>
      </c>
      <c r="E22" s="8" t="s">
        <v>21</v>
      </c>
      <c r="F22" s="8" t="s">
        <v>22</v>
      </c>
      <c r="G22" s="8">
        <v>967</v>
      </c>
      <c r="H22" s="8" t="s">
        <v>23</v>
      </c>
      <c r="I22" s="8" t="s">
        <v>102</v>
      </c>
      <c r="J22" s="8" t="s">
        <v>41</v>
      </c>
      <c r="K22" s="8" t="s">
        <v>26</v>
      </c>
      <c r="L22" s="8" t="s">
        <v>103</v>
      </c>
      <c r="M22" s="8">
        <v>5411</v>
      </c>
      <c r="N22" s="8" t="s">
        <v>103</v>
      </c>
      <c r="O22" s="8" t="s">
        <v>4668</v>
      </c>
      <c r="P22" s="8" t="s">
        <v>4604</v>
      </c>
      <c r="Q22" s="8" t="s">
        <v>4605</v>
      </c>
      <c r="R22" s="7"/>
      <c r="S22" s="21"/>
      <c r="T22" s="21"/>
      <c r="U22" s="21"/>
      <c r="V22" s="21"/>
      <c r="W22" s="21"/>
    </row>
    <row r="23" spans="1:23" ht="15" customHeight="1">
      <c r="A23" s="9">
        <v>22</v>
      </c>
      <c r="B23" s="9" t="s">
        <v>4598</v>
      </c>
      <c r="C23" s="9" t="s">
        <v>4669</v>
      </c>
      <c r="D23" s="9" t="s">
        <v>4670</v>
      </c>
      <c r="E23" s="9" t="s">
        <v>21</v>
      </c>
      <c r="F23" s="9" t="s">
        <v>22</v>
      </c>
      <c r="G23" s="9">
        <v>451</v>
      </c>
      <c r="H23" s="9" t="s">
        <v>23</v>
      </c>
      <c r="I23" s="9" t="s">
        <v>198</v>
      </c>
      <c r="J23" s="9" t="s">
        <v>36</v>
      </c>
      <c r="K23" s="9" t="s">
        <v>26</v>
      </c>
      <c r="L23" s="9" t="s">
        <v>199</v>
      </c>
      <c r="M23" s="9">
        <v>4900</v>
      </c>
      <c r="N23" s="9" t="s">
        <v>199</v>
      </c>
      <c r="O23" s="9" t="s">
        <v>4671</v>
      </c>
      <c r="P23" s="9" t="s">
        <v>4604</v>
      </c>
      <c r="Q23" s="9" t="s">
        <v>4605</v>
      </c>
      <c r="R23" s="7"/>
      <c r="S23" s="21"/>
      <c r="T23" s="21"/>
      <c r="U23" s="21"/>
      <c r="V23" s="21"/>
      <c r="W23" s="21"/>
    </row>
    <row r="24" spans="1:23" ht="18" customHeight="1">
      <c r="A24" s="8">
        <v>23</v>
      </c>
      <c r="B24" s="8" t="s">
        <v>4598</v>
      </c>
      <c r="C24" s="8" t="s">
        <v>4672</v>
      </c>
      <c r="D24" s="8" t="s">
        <v>4673</v>
      </c>
      <c r="E24" s="8" t="s">
        <v>21</v>
      </c>
      <c r="F24" s="8" t="s">
        <v>22</v>
      </c>
      <c r="G24" s="8">
        <v>627</v>
      </c>
      <c r="H24" s="8" t="s">
        <v>23</v>
      </c>
      <c r="I24" s="8" t="s">
        <v>363</v>
      </c>
      <c r="J24" s="8" t="s">
        <v>41</v>
      </c>
      <c r="K24" s="8" t="s">
        <v>26</v>
      </c>
      <c r="L24" s="8" t="s">
        <v>364</v>
      </c>
      <c r="M24" s="8">
        <v>5999</v>
      </c>
      <c r="N24" s="8" t="s">
        <v>364</v>
      </c>
      <c r="O24" s="8" t="s">
        <v>4674</v>
      </c>
      <c r="P24" s="8" t="s">
        <v>4604</v>
      </c>
      <c r="Q24" s="8" t="s">
        <v>4605</v>
      </c>
      <c r="R24" s="7"/>
      <c r="S24" s="22" t="s">
        <v>133</v>
      </c>
      <c r="T24" s="23">
        <f>IFERROR(AVERAGEIF(T9:T14,"&gt;"&amp;0),0)</f>
        <v>3500</v>
      </c>
      <c r="U24" s="23">
        <f>IFERROR(AVERAGEIF(U9:U14,"&gt;"&amp;0),0)</f>
        <v>4583.333333333333</v>
      </c>
      <c r="V24" s="23">
        <f>IFERROR(AVERAGEIF(V9:V14,"&gt;"&amp;0),0)</f>
        <v>3640</v>
      </c>
      <c r="W24" s="24">
        <f>T24-U24-V24</f>
        <v>-4723.333333333333</v>
      </c>
    </row>
    <row r="25" spans="1:23" ht="3.75" customHeight="1">
      <c r="A25" s="9">
        <v>24</v>
      </c>
      <c r="B25" s="9" t="s">
        <v>4598</v>
      </c>
      <c r="C25" s="9" t="s">
        <v>4675</v>
      </c>
      <c r="D25" s="9" t="s">
        <v>4676</v>
      </c>
      <c r="E25" s="9" t="s">
        <v>21</v>
      </c>
      <c r="F25" s="9" t="s">
        <v>22</v>
      </c>
      <c r="G25" s="9">
        <v>275</v>
      </c>
      <c r="H25" s="9" t="s">
        <v>23</v>
      </c>
      <c r="I25" s="9" t="s">
        <v>174</v>
      </c>
      <c r="J25" s="9" t="s">
        <v>36</v>
      </c>
      <c r="K25" s="9" t="s">
        <v>26</v>
      </c>
      <c r="L25" s="9" t="s">
        <v>175</v>
      </c>
      <c r="M25" s="9">
        <v>4813</v>
      </c>
      <c r="N25" s="9" t="s">
        <v>175</v>
      </c>
      <c r="O25" s="9" t="s">
        <v>4677</v>
      </c>
      <c r="P25" s="9" t="s">
        <v>4604</v>
      </c>
      <c r="Q25" s="9" t="s">
        <v>4605</v>
      </c>
      <c r="R25" s="7"/>
    </row>
    <row r="26" spans="1:23" ht="15" customHeight="1">
      <c r="A26" s="8">
        <v>25</v>
      </c>
      <c r="B26" s="8" t="s">
        <v>4598</v>
      </c>
      <c r="C26" s="8" t="s">
        <v>4678</v>
      </c>
      <c r="D26" s="8" t="s">
        <v>4679</v>
      </c>
      <c r="E26" s="8" t="s">
        <v>21</v>
      </c>
      <c r="F26" s="8" t="s">
        <v>22</v>
      </c>
      <c r="G26" s="8">
        <v>361</v>
      </c>
      <c r="H26" s="8" t="s">
        <v>23</v>
      </c>
      <c r="I26" s="8" t="s">
        <v>56</v>
      </c>
      <c r="J26" s="8" t="s">
        <v>41</v>
      </c>
      <c r="K26" s="8" t="s">
        <v>26</v>
      </c>
      <c r="L26" s="8" t="s">
        <v>57</v>
      </c>
      <c r="M26" s="8">
        <v>5999</v>
      </c>
      <c r="N26" s="8" t="s">
        <v>57</v>
      </c>
      <c r="O26" s="8" t="s">
        <v>4680</v>
      </c>
      <c r="P26" s="8" t="s">
        <v>4604</v>
      </c>
      <c r="Q26" s="8" t="s">
        <v>4605</v>
      </c>
      <c r="R26" s="7"/>
      <c r="S26" s="2" t="s">
        <v>140</v>
      </c>
      <c r="T26" s="2"/>
      <c r="U26" s="2"/>
      <c r="V26" s="2"/>
      <c r="W26" s="2"/>
    </row>
    <row r="27" spans="1:23" ht="19.5" customHeight="1">
      <c r="A27" s="9">
        <v>26</v>
      </c>
      <c r="B27" s="9" t="s">
        <v>4598</v>
      </c>
      <c r="C27" s="9" t="s">
        <v>4681</v>
      </c>
      <c r="D27" s="9" t="s">
        <v>4682</v>
      </c>
      <c r="E27" s="9" t="s">
        <v>94</v>
      </c>
      <c r="F27" s="9" t="s">
        <v>22</v>
      </c>
      <c r="G27" s="9">
        <v>3500</v>
      </c>
      <c r="H27" s="9" t="s">
        <v>23</v>
      </c>
      <c r="I27" s="9" t="s">
        <v>4630</v>
      </c>
      <c r="J27" s="9" t="s">
        <v>96</v>
      </c>
      <c r="K27" s="9" t="s">
        <v>97</v>
      </c>
      <c r="L27" s="9" t="s">
        <v>4631</v>
      </c>
      <c r="M27" s="9"/>
      <c r="N27" s="9" t="s">
        <v>4631</v>
      </c>
      <c r="O27" s="9" t="s">
        <v>4683</v>
      </c>
      <c r="P27" s="9" t="s">
        <v>4604</v>
      </c>
      <c r="Q27" s="9" t="s">
        <v>4605</v>
      </c>
      <c r="R27" s="7"/>
      <c r="S27" s="14" t="s">
        <v>145</v>
      </c>
      <c r="T27" s="14" t="s">
        <v>146</v>
      </c>
      <c r="U27" s="14" t="s">
        <v>147</v>
      </c>
      <c r="V27" s="14" t="s">
        <v>148</v>
      </c>
      <c r="W27" s="14" t="s">
        <v>149</v>
      </c>
    </row>
    <row r="28" spans="1:23" ht="15.75" customHeight="1">
      <c r="A28" s="8">
        <v>27</v>
      </c>
      <c r="B28" s="8" t="s">
        <v>4598</v>
      </c>
      <c r="C28" s="8" t="s">
        <v>4684</v>
      </c>
      <c r="D28" s="8" t="s">
        <v>4685</v>
      </c>
      <c r="E28" s="8" t="s">
        <v>21</v>
      </c>
      <c r="F28" s="8" t="s">
        <v>22</v>
      </c>
      <c r="G28" s="8">
        <v>286</v>
      </c>
      <c r="H28" s="8" t="s">
        <v>23</v>
      </c>
      <c r="I28" s="8" t="s">
        <v>593</v>
      </c>
      <c r="J28" s="8" t="s">
        <v>331</v>
      </c>
      <c r="K28" s="8" t="s">
        <v>26</v>
      </c>
      <c r="L28" s="8" t="s">
        <v>594</v>
      </c>
      <c r="M28" s="8">
        <v>6011</v>
      </c>
      <c r="N28" s="8" t="s">
        <v>594</v>
      </c>
      <c r="O28" s="8" t="s">
        <v>4686</v>
      </c>
      <c r="P28" s="8" t="s">
        <v>4604</v>
      </c>
      <c r="Q28" s="8" t="s">
        <v>4605</v>
      </c>
      <c r="R28" s="7"/>
      <c r="S28" s="25" t="s">
        <v>154</v>
      </c>
      <c r="T28" s="26">
        <f>IFERROR(MEDIAN(T9:T14),0)</f>
        <v>3500</v>
      </c>
      <c r="U28" s="27" t="s">
        <v>155</v>
      </c>
      <c r="V28" s="28" t="s">
        <v>155</v>
      </c>
      <c r="W28" s="29" t="s">
        <v>1492</v>
      </c>
    </row>
    <row r="29" spans="1:23" ht="15.75" customHeight="1">
      <c r="A29" s="9">
        <v>28</v>
      </c>
      <c r="B29" s="9" t="s">
        <v>4598</v>
      </c>
      <c r="C29" s="9" t="s">
        <v>4687</v>
      </c>
      <c r="D29" s="9" t="s">
        <v>4688</v>
      </c>
      <c r="E29" s="9" t="s">
        <v>21</v>
      </c>
      <c r="F29" s="9" t="s">
        <v>22</v>
      </c>
      <c r="G29" s="9">
        <v>386</v>
      </c>
      <c r="H29" s="9" t="s">
        <v>23</v>
      </c>
      <c r="I29" s="9" t="s">
        <v>61</v>
      </c>
      <c r="J29" s="9" t="s">
        <v>25</v>
      </c>
      <c r="K29" s="9" t="s">
        <v>26</v>
      </c>
      <c r="L29" s="9" t="s">
        <v>62</v>
      </c>
      <c r="M29" s="9">
        <v>5999</v>
      </c>
      <c r="N29" s="9" t="s">
        <v>62</v>
      </c>
      <c r="O29" s="9" t="s">
        <v>4689</v>
      </c>
      <c r="P29" s="9" t="s">
        <v>4604</v>
      </c>
      <c r="Q29" s="9" t="s">
        <v>4605</v>
      </c>
      <c r="R29" s="7"/>
      <c r="S29" s="30" t="s">
        <v>161</v>
      </c>
      <c r="T29" s="31">
        <f>T28*1.3</f>
        <v>4550</v>
      </c>
      <c r="U29" s="32" t="s">
        <v>162</v>
      </c>
      <c r="V29" s="33" t="s">
        <v>155</v>
      </c>
      <c r="W29" s="34" t="s">
        <v>163</v>
      </c>
    </row>
    <row r="30" spans="1:23" ht="15.75" customHeight="1">
      <c r="A30" s="8">
        <v>29</v>
      </c>
      <c r="B30" s="8" t="s">
        <v>4598</v>
      </c>
      <c r="C30" s="8" t="s">
        <v>4690</v>
      </c>
      <c r="D30" s="8" t="s">
        <v>4691</v>
      </c>
      <c r="E30" s="8" t="s">
        <v>21</v>
      </c>
      <c r="F30" s="8" t="s">
        <v>22</v>
      </c>
      <c r="G30" s="8">
        <v>287</v>
      </c>
      <c r="H30" s="8" t="s">
        <v>23</v>
      </c>
      <c r="I30" s="8" t="s">
        <v>560</v>
      </c>
      <c r="J30" s="8" t="s">
        <v>331</v>
      </c>
      <c r="K30" s="8" t="s">
        <v>26</v>
      </c>
      <c r="L30" s="8" t="s">
        <v>561</v>
      </c>
      <c r="M30" s="8">
        <v>6011</v>
      </c>
      <c r="N30" s="8" t="s">
        <v>561</v>
      </c>
      <c r="O30" s="8" t="s">
        <v>4692</v>
      </c>
      <c r="P30" s="8" t="s">
        <v>4604</v>
      </c>
      <c r="Q30" s="8" t="s">
        <v>4605</v>
      </c>
      <c r="R30" s="7"/>
      <c r="S30" s="25" t="s">
        <v>166</v>
      </c>
      <c r="T30" s="26">
        <f>IFERROR(MEDIAN(MIN(T12,T29),MIN(T13,T29),MIN(T14,T29)),0)</f>
        <v>3500</v>
      </c>
      <c r="U30" s="27" t="s">
        <v>155</v>
      </c>
      <c r="V30" s="28" t="s">
        <v>155</v>
      </c>
      <c r="W30" s="29" t="s">
        <v>1499</v>
      </c>
    </row>
    <row r="31" spans="1:23" ht="15.75" customHeight="1">
      <c r="A31" s="9">
        <v>30</v>
      </c>
      <c r="B31" s="9" t="s">
        <v>4598</v>
      </c>
      <c r="C31" s="9" t="s">
        <v>4693</v>
      </c>
      <c r="D31" s="9" t="s">
        <v>4694</v>
      </c>
      <c r="E31" s="9" t="s">
        <v>21</v>
      </c>
      <c r="F31" s="9" t="s">
        <v>22</v>
      </c>
      <c r="G31" s="9">
        <v>1500</v>
      </c>
      <c r="H31" s="9" t="s">
        <v>23</v>
      </c>
      <c r="I31" s="9" t="s">
        <v>4601</v>
      </c>
      <c r="J31" s="9" t="s">
        <v>36</v>
      </c>
      <c r="K31" s="9" t="s">
        <v>26</v>
      </c>
      <c r="L31" s="9" t="s">
        <v>4602</v>
      </c>
      <c r="M31" s="9">
        <v>6012</v>
      </c>
      <c r="N31" s="9" t="s">
        <v>4602</v>
      </c>
      <c r="O31" s="9" t="s">
        <v>4695</v>
      </c>
      <c r="P31" s="9" t="s">
        <v>4604</v>
      </c>
      <c r="Q31" s="9" t="s">
        <v>4605</v>
      </c>
      <c r="R31" s="7"/>
      <c r="S31" s="30" t="s">
        <v>170</v>
      </c>
      <c r="T31" s="31">
        <f>T14</f>
        <v>3500</v>
      </c>
      <c r="U31" s="32" t="s">
        <v>155</v>
      </c>
      <c r="V31" s="33" t="s">
        <v>155</v>
      </c>
      <c r="W31" s="34" t="s">
        <v>171</v>
      </c>
    </row>
    <row r="32" spans="1:23" ht="15.75" customHeight="1">
      <c r="A32" s="8">
        <v>31</v>
      </c>
      <c r="B32" s="8" t="s">
        <v>4598</v>
      </c>
      <c r="C32" s="8" t="s">
        <v>4696</v>
      </c>
      <c r="D32" s="8" t="s">
        <v>4697</v>
      </c>
      <c r="E32" s="8" t="s">
        <v>21</v>
      </c>
      <c r="F32" s="8" t="s">
        <v>22</v>
      </c>
      <c r="G32" s="8">
        <v>1318</v>
      </c>
      <c r="H32" s="8" t="s">
        <v>23</v>
      </c>
      <c r="I32" s="8" t="s">
        <v>56</v>
      </c>
      <c r="J32" s="8" t="s">
        <v>41</v>
      </c>
      <c r="K32" s="8" t="s">
        <v>26</v>
      </c>
      <c r="L32" s="8" t="s">
        <v>57</v>
      </c>
      <c r="M32" s="8">
        <v>5999</v>
      </c>
      <c r="N32" s="8" t="s">
        <v>57</v>
      </c>
      <c r="O32" s="8" t="s">
        <v>4698</v>
      </c>
      <c r="P32" s="8" t="s">
        <v>4604</v>
      </c>
      <c r="Q32" s="8" t="s">
        <v>4605</v>
      </c>
      <c r="R32" s="7"/>
      <c r="S32" s="25" t="s">
        <v>176</v>
      </c>
      <c r="T32" s="26">
        <f>U14</f>
        <v>20000</v>
      </c>
      <c r="U32" s="27" t="s">
        <v>155</v>
      </c>
      <c r="V32" s="28" t="s">
        <v>155</v>
      </c>
      <c r="W32" s="29" t="s">
        <v>177</v>
      </c>
    </row>
    <row r="33" spans="1:23" ht="15.75" customHeight="1">
      <c r="A33" s="9">
        <v>32</v>
      </c>
      <c r="B33" s="9" t="s">
        <v>4598</v>
      </c>
      <c r="C33" s="9" t="s">
        <v>4699</v>
      </c>
      <c r="D33" s="9" t="s">
        <v>4700</v>
      </c>
      <c r="E33" s="9" t="s">
        <v>21</v>
      </c>
      <c r="F33" s="9" t="s">
        <v>22</v>
      </c>
      <c r="G33" s="9">
        <v>1042</v>
      </c>
      <c r="H33" s="9" t="s">
        <v>23</v>
      </c>
      <c r="I33" s="9" t="s">
        <v>82</v>
      </c>
      <c r="J33" s="9" t="s">
        <v>41</v>
      </c>
      <c r="K33" s="9" t="s">
        <v>26</v>
      </c>
      <c r="L33" s="9" t="s">
        <v>83</v>
      </c>
      <c r="M33" s="9">
        <v>5411</v>
      </c>
      <c r="N33" s="9" t="s">
        <v>83</v>
      </c>
      <c r="O33" s="9" t="s">
        <v>4701</v>
      </c>
      <c r="P33" s="9" t="s">
        <v>4604</v>
      </c>
      <c r="Q33" s="9" t="s">
        <v>4605</v>
      </c>
      <c r="R33" s="7"/>
      <c r="S33" s="30" t="s">
        <v>182</v>
      </c>
      <c r="T33" s="31">
        <f>T24</f>
        <v>3500</v>
      </c>
      <c r="U33" s="32" t="s">
        <v>155</v>
      </c>
      <c r="V33" s="33" t="s">
        <v>155</v>
      </c>
      <c r="W33" s="34" t="s">
        <v>183</v>
      </c>
    </row>
    <row r="34" spans="1:23" ht="15.75" customHeight="1">
      <c r="A34" s="8">
        <v>33</v>
      </c>
      <c r="B34" s="8" t="s">
        <v>4598</v>
      </c>
      <c r="C34" s="8" t="s">
        <v>4702</v>
      </c>
      <c r="D34" s="8" t="s">
        <v>4703</v>
      </c>
      <c r="E34" s="8" t="s">
        <v>21</v>
      </c>
      <c r="F34" s="8" t="s">
        <v>22</v>
      </c>
      <c r="G34" s="8">
        <v>485</v>
      </c>
      <c r="H34" s="8" t="s">
        <v>23</v>
      </c>
      <c r="I34" s="8" t="s">
        <v>90</v>
      </c>
      <c r="J34" s="8" t="s">
        <v>36</v>
      </c>
      <c r="K34" s="8" t="s">
        <v>26</v>
      </c>
      <c r="L34" s="8" t="s">
        <v>91</v>
      </c>
      <c r="M34" s="8">
        <v>4900</v>
      </c>
      <c r="N34" s="8" t="s">
        <v>91</v>
      </c>
      <c r="O34" s="8" t="s">
        <v>4704</v>
      </c>
      <c r="P34" s="8" t="s">
        <v>4604</v>
      </c>
      <c r="Q34" s="8" t="s">
        <v>4605</v>
      </c>
      <c r="R34" s="7"/>
      <c r="S34" s="25" t="s">
        <v>188</v>
      </c>
      <c r="T34" s="26">
        <f>V24</f>
        <v>3640</v>
      </c>
      <c r="U34" s="27" t="s">
        <v>155</v>
      </c>
      <c r="V34" s="28" t="s">
        <v>155</v>
      </c>
      <c r="W34" s="29" t="s">
        <v>189</v>
      </c>
    </row>
    <row r="35" spans="1:23" ht="15.75" customHeight="1">
      <c r="A35" s="9">
        <v>34</v>
      </c>
      <c r="B35" s="9" t="s">
        <v>4598</v>
      </c>
      <c r="C35" s="9" t="s">
        <v>4705</v>
      </c>
      <c r="D35" s="9" t="s">
        <v>4706</v>
      </c>
      <c r="E35" s="9" t="s">
        <v>21</v>
      </c>
      <c r="F35" s="9" t="s">
        <v>22</v>
      </c>
      <c r="G35" s="9">
        <v>242</v>
      </c>
      <c r="H35" s="9" t="s">
        <v>23</v>
      </c>
      <c r="I35" s="9" t="s">
        <v>330</v>
      </c>
      <c r="J35" s="9" t="s">
        <v>331</v>
      </c>
      <c r="K35" s="9" t="s">
        <v>26</v>
      </c>
      <c r="L35" s="9" t="s">
        <v>332</v>
      </c>
      <c r="M35" s="9">
        <v>6011</v>
      </c>
      <c r="N35" s="9" t="s">
        <v>332</v>
      </c>
      <c r="O35" s="9" t="s">
        <v>4707</v>
      </c>
      <c r="P35" s="9" t="s">
        <v>4604</v>
      </c>
      <c r="Q35" s="9" t="s">
        <v>4605</v>
      </c>
      <c r="R35" s="7"/>
      <c r="S35" s="30" t="s">
        <v>193</v>
      </c>
      <c r="T35" s="35">
        <f>IFERROR((T33-T34)/T33,0)</f>
        <v>-0.04</v>
      </c>
      <c r="U35" s="32" t="s">
        <v>194</v>
      </c>
      <c r="V35" s="36" t="str">
        <f>IF(T35&gt;=0.2,"✅ Meets","⚠️ Below")</f>
        <v>⚠️ Below</v>
      </c>
      <c r="W35" s="34" t="s">
        <v>195</v>
      </c>
    </row>
    <row r="36" spans="1:23" ht="15.75" customHeight="1">
      <c r="A36" s="8">
        <v>35</v>
      </c>
      <c r="B36" s="8" t="s">
        <v>4598</v>
      </c>
      <c r="C36" s="8" t="s">
        <v>4708</v>
      </c>
      <c r="D36" s="8" t="s">
        <v>4709</v>
      </c>
      <c r="E36" s="8" t="s">
        <v>21</v>
      </c>
      <c r="F36" s="8" t="s">
        <v>22</v>
      </c>
      <c r="G36" s="8">
        <v>242</v>
      </c>
      <c r="H36" s="8" t="s">
        <v>23</v>
      </c>
      <c r="I36" s="8" t="s">
        <v>560</v>
      </c>
      <c r="J36" s="8" t="s">
        <v>331</v>
      </c>
      <c r="K36" s="8" t="s">
        <v>26</v>
      </c>
      <c r="L36" s="8" t="s">
        <v>561</v>
      </c>
      <c r="M36" s="8">
        <v>6011</v>
      </c>
      <c r="N36" s="8" t="s">
        <v>561</v>
      </c>
      <c r="O36" s="8" t="s">
        <v>4710</v>
      </c>
      <c r="P36" s="8" t="s">
        <v>4604</v>
      </c>
      <c r="Q36" s="8" t="s">
        <v>4605</v>
      </c>
      <c r="R36" s="7"/>
      <c r="S36" s="25" t="s">
        <v>200</v>
      </c>
      <c r="T36" s="37">
        <f>T33-T34</f>
        <v>-140</v>
      </c>
      <c r="U36" s="27" t="s">
        <v>201</v>
      </c>
      <c r="V36" s="38" t="str">
        <f>IF(T36&gt;0,"✅ Positive","❌ Negative")</f>
        <v>❌ Negative</v>
      </c>
      <c r="W36" s="29" t="s">
        <v>202</v>
      </c>
    </row>
    <row r="37" spans="1:23" ht="15.75" customHeight="1">
      <c r="A37" s="9">
        <v>36</v>
      </c>
      <c r="B37" s="9" t="s">
        <v>4598</v>
      </c>
      <c r="C37" s="9" t="s">
        <v>4711</v>
      </c>
      <c r="D37" s="9" t="s">
        <v>4712</v>
      </c>
      <c r="E37" s="9" t="s">
        <v>94</v>
      </c>
      <c r="F37" s="9" t="s">
        <v>22</v>
      </c>
      <c r="G37" s="9">
        <v>3500</v>
      </c>
      <c r="H37" s="9" t="s">
        <v>23</v>
      </c>
      <c r="I37" s="9" t="s">
        <v>4630</v>
      </c>
      <c r="J37" s="9" t="s">
        <v>96</v>
      </c>
      <c r="K37" s="9" t="s">
        <v>97</v>
      </c>
      <c r="L37" s="9" t="s">
        <v>4631</v>
      </c>
      <c r="M37" s="9"/>
      <c r="N37" s="9" t="s">
        <v>4631</v>
      </c>
      <c r="O37" s="9" t="s">
        <v>4713</v>
      </c>
      <c r="P37" s="9" t="s">
        <v>4604</v>
      </c>
      <c r="Q37" s="9" t="s">
        <v>4605</v>
      </c>
      <c r="R37" s="7"/>
      <c r="S37" s="30" t="s">
        <v>205</v>
      </c>
      <c r="T37" s="35">
        <f>IFERROR(U24/T30,0)</f>
        <v>1.3095238095238095</v>
      </c>
      <c r="U37" s="32" t="s">
        <v>206</v>
      </c>
      <c r="V37" s="36" t="str">
        <f>IF(T37&lt;=0.35,"✅ Meets","⚠️ Exceeds")</f>
        <v>⚠️ Exceeds</v>
      </c>
      <c r="W37" s="34" t="s">
        <v>207</v>
      </c>
    </row>
    <row r="38" spans="1:23" ht="3.75" customHeight="1">
      <c r="A38" s="8">
        <v>37</v>
      </c>
      <c r="B38" s="8" t="s">
        <v>4598</v>
      </c>
      <c r="C38" s="8" t="s">
        <v>4714</v>
      </c>
      <c r="D38" s="8" t="s">
        <v>4715</v>
      </c>
      <c r="E38" s="8" t="s">
        <v>21</v>
      </c>
      <c r="F38" s="8" t="s">
        <v>22</v>
      </c>
      <c r="G38" s="8">
        <v>311</v>
      </c>
      <c r="H38" s="8" t="s">
        <v>23</v>
      </c>
      <c r="I38" s="8" t="s">
        <v>351</v>
      </c>
      <c r="J38" s="8" t="s">
        <v>36</v>
      </c>
      <c r="K38" s="8" t="s">
        <v>26</v>
      </c>
      <c r="L38" s="8" t="s">
        <v>352</v>
      </c>
      <c r="M38" s="8">
        <v>4813</v>
      </c>
      <c r="N38" s="8" t="s">
        <v>352</v>
      </c>
      <c r="O38" s="8" t="s">
        <v>4716</v>
      </c>
      <c r="P38" s="8" t="s">
        <v>4604</v>
      </c>
      <c r="Q38" s="8" t="s">
        <v>4605</v>
      </c>
      <c r="R38" s="7"/>
    </row>
    <row r="39" spans="1:23" ht="15" customHeight="1">
      <c r="A39" s="9">
        <v>38</v>
      </c>
      <c r="B39" s="9" t="s">
        <v>4598</v>
      </c>
      <c r="C39" s="9" t="s">
        <v>4717</v>
      </c>
      <c r="D39" s="9" t="s">
        <v>4718</v>
      </c>
      <c r="E39" s="9" t="s">
        <v>21</v>
      </c>
      <c r="F39" s="9" t="s">
        <v>22</v>
      </c>
      <c r="G39" s="9">
        <v>1500</v>
      </c>
      <c r="H39" s="9" t="s">
        <v>23</v>
      </c>
      <c r="I39" s="9" t="s">
        <v>4601</v>
      </c>
      <c r="J39" s="9" t="s">
        <v>36</v>
      </c>
      <c r="K39" s="9" t="s">
        <v>26</v>
      </c>
      <c r="L39" s="9" t="s">
        <v>4602</v>
      </c>
      <c r="M39" s="9">
        <v>6012</v>
      </c>
      <c r="N39" s="9" t="s">
        <v>4602</v>
      </c>
      <c r="O39" s="9" t="s">
        <v>4719</v>
      </c>
      <c r="P39" s="9" t="s">
        <v>4604</v>
      </c>
      <c r="Q39" s="9" t="s">
        <v>4605</v>
      </c>
      <c r="R39" s="7"/>
      <c r="S39" s="2" t="s">
        <v>214</v>
      </c>
      <c r="T39" s="2"/>
      <c r="U39" s="2"/>
      <c r="V39" s="2"/>
      <c r="W39" s="2"/>
    </row>
    <row r="40" spans="1:23" ht="21.75" customHeight="1">
      <c r="A40" s="8">
        <v>39</v>
      </c>
      <c r="B40" s="8" t="s">
        <v>4598</v>
      </c>
      <c r="C40" s="8" t="s">
        <v>4720</v>
      </c>
      <c r="D40" s="8" t="s">
        <v>4721</v>
      </c>
      <c r="E40" s="8" t="s">
        <v>21</v>
      </c>
      <c r="F40" s="8" t="s">
        <v>22</v>
      </c>
      <c r="G40" s="8">
        <v>525</v>
      </c>
      <c r="H40" s="8" t="s">
        <v>23</v>
      </c>
      <c r="I40" s="8" t="s">
        <v>391</v>
      </c>
      <c r="J40" s="8" t="s">
        <v>331</v>
      </c>
      <c r="K40" s="8" t="s">
        <v>26</v>
      </c>
      <c r="L40" s="8" t="s">
        <v>392</v>
      </c>
      <c r="M40" s="8">
        <v>6011</v>
      </c>
      <c r="N40" s="8" t="s">
        <v>392</v>
      </c>
      <c r="O40" s="8" t="s">
        <v>4722</v>
      </c>
      <c r="P40" s="8" t="s">
        <v>4604</v>
      </c>
      <c r="Q40" s="8" t="s">
        <v>4605</v>
      </c>
      <c r="R40" s="7"/>
      <c r="S40" s="14" t="s">
        <v>219</v>
      </c>
      <c r="T40" s="14" t="s">
        <v>220</v>
      </c>
      <c r="U40" s="14" t="s">
        <v>221</v>
      </c>
      <c r="V40" s="14" t="s">
        <v>222</v>
      </c>
      <c r="W40" s="14" t="s">
        <v>223</v>
      </c>
    </row>
    <row r="41" spans="1:23" ht="18" customHeight="1">
      <c r="A41" s="9">
        <v>40</v>
      </c>
      <c r="B41" s="9" t="s">
        <v>4598</v>
      </c>
      <c r="C41" s="9" t="s">
        <v>4723</v>
      </c>
      <c r="D41" s="9" t="s">
        <v>4724</v>
      </c>
      <c r="E41" s="9" t="s">
        <v>21</v>
      </c>
      <c r="F41" s="9" t="s">
        <v>22</v>
      </c>
      <c r="G41" s="9">
        <v>859</v>
      </c>
      <c r="H41" s="9" t="s">
        <v>23</v>
      </c>
      <c r="I41" s="9" t="s">
        <v>56</v>
      </c>
      <c r="J41" s="9" t="s">
        <v>41</v>
      </c>
      <c r="K41" s="9" t="s">
        <v>26</v>
      </c>
      <c r="L41" s="9" t="s">
        <v>57</v>
      </c>
      <c r="M41" s="9">
        <v>5999</v>
      </c>
      <c r="N41" s="9" t="s">
        <v>57</v>
      </c>
      <c r="O41" s="9" t="s">
        <v>4725</v>
      </c>
      <c r="P41" s="9" t="s">
        <v>4604</v>
      </c>
      <c r="Q41" s="9" t="s">
        <v>4605</v>
      </c>
      <c r="R41" s="7"/>
      <c r="S41" s="39" t="s">
        <v>226</v>
      </c>
      <c r="T41" s="40">
        <f>T5</f>
        <v>19</v>
      </c>
      <c r="U41" s="41">
        <f>IF(T41&lt;18,0,IF(T41&lt;=25,30,IF(T41&lt;=35,80,IF(T41&lt;=50,150,IF(T41&lt;=60,100,0)))))</f>
        <v>30</v>
      </c>
      <c r="V41" s="42">
        <v>150</v>
      </c>
      <c r="W41" s="29" t="s">
        <v>227</v>
      </c>
    </row>
    <row r="42" spans="1:23" ht="18" customHeight="1">
      <c r="A42" s="8">
        <v>41</v>
      </c>
      <c r="B42" s="8" t="s">
        <v>4598</v>
      </c>
      <c r="C42" s="8" t="s">
        <v>4726</v>
      </c>
      <c r="D42" s="8" t="s">
        <v>4727</v>
      </c>
      <c r="E42" s="8" t="s">
        <v>21</v>
      </c>
      <c r="F42" s="8" t="s">
        <v>22</v>
      </c>
      <c r="G42" s="8">
        <v>499</v>
      </c>
      <c r="H42" s="8" t="s">
        <v>23</v>
      </c>
      <c r="I42" s="8" t="s">
        <v>131</v>
      </c>
      <c r="J42" s="8" t="s">
        <v>41</v>
      </c>
      <c r="K42" s="8" t="s">
        <v>26</v>
      </c>
      <c r="L42" s="8" t="s">
        <v>132</v>
      </c>
      <c r="M42" s="8">
        <v>5411</v>
      </c>
      <c r="N42" s="8" t="s">
        <v>132</v>
      </c>
      <c r="O42" s="8" t="s">
        <v>4728</v>
      </c>
      <c r="P42" s="8" t="s">
        <v>4604</v>
      </c>
      <c r="Q42" s="8" t="s">
        <v>4605</v>
      </c>
      <c r="R42" s="7"/>
      <c r="S42" s="43" t="s">
        <v>230</v>
      </c>
      <c r="T42" s="44">
        <f>T30</f>
        <v>3500</v>
      </c>
      <c r="U42" s="41">
        <f>IF(T42&lt;=5000,0,IF(T42&lt;=10000,50,IF(T42&lt;=15000,100,150)))</f>
        <v>0</v>
      </c>
      <c r="V42" s="42">
        <v>150</v>
      </c>
      <c r="W42" s="34" t="s">
        <v>231</v>
      </c>
    </row>
    <row r="43" spans="1:23" ht="18" customHeight="1">
      <c r="A43" s="9">
        <v>42</v>
      </c>
      <c r="B43" s="9" t="s">
        <v>4598</v>
      </c>
      <c r="C43" s="9" t="s">
        <v>4729</v>
      </c>
      <c r="D43" s="9" t="s">
        <v>4730</v>
      </c>
      <c r="E43" s="9" t="s">
        <v>21</v>
      </c>
      <c r="F43" s="9" t="s">
        <v>22</v>
      </c>
      <c r="G43" s="9">
        <v>475</v>
      </c>
      <c r="H43" s="9" t="s">
        <v>23</v>
      </c>
      <c r="I43" s="9" t="s">
        <v>198</v>
      </c>
      <c r="J43" s="9" t="s">
        <v>36</v>
      </c>
      <c r="K43" s="9" t="s">
        <v>26</v>
      </c>
      <c r="L43" s="9" t="s">
        <v>199</v>
      </c>
      <c r="M43" s="9">
        <v>4900</v>
      </c>
      <c r="N43" s="9" t="s">
        <v>199</v>
      </c>
      <c r="O43" s="9" t="s">
        <v>4731</v>
      </c>
      <c r="P43" s="9" t="s">
        <v>4604</v>
      </c>
      <c r="Q43" s="9" t="s">
        <v>4605</v>
      </c>
      <c r="R43" s="7"/>
      <c r="S43" s="39" t="s">
        <v>236</v>
      </c>
      <c r="T43" s="45">
        <f>T32</f>
        <v>20000</v>
      </c>
      <c r="U43" s="41">
        <f>IF(T43=0,150,IF(T43&lt;=1500,150,IF(T43&lt;=3000,130,IF(T43&lt;=4500,110,IF(T43&lt;=9000,80,IF(T43&lt;=15000,40,0))))))</f>
        <v>0</v>
      </c>
      <c r="V43" s="42">
        <v>150</v>
      </c>
      <c r="W43" s="29" t="s">
        <v>237</v>
      </c>
    </row>
    <row r="44" spans="1:23" ht="18" customHeight="1">
      <c r="A44" s="8">
        <v>43</v>
      </c>
      <c r="B44" s="8" t="s">
        <v>4598</v>
      </c>
      <c r="C44" s="8" t="s">
        <v>4732</v>
      </c>
      <c r="D44" s="8" t="s">
        <v>4733</v>
      </c>
      <c r="E44" s="8" t="s">
        <v>21</v>
      </c>
      <c r="F44" s="8" t="s">
        <v>22</v>
      </c>
      <c r="G44" s="8">
        <v>300</v>
      </c>
      <c r="H44" s="8" t="s">
        <v>23</v>
      </c>
      <c r="I44" s="8" t="s">
        <v>174</v>
      </c>
      <c r="J44" s="8" t="s">
        <v>36</v>
      </c>
      <c r="K44" s="8" t="s">
        <v>26</v>
      </c>
      <c r="L44" s="8" t="s">
        <v>175</v>
      </c>
      <c r="M44" s="8">
        <v>4813</v>
      </c>
      <c r="N44" s="8" t="s">
        <v>175</v>
      </c>
      <c r="O44" s="8" t="s">
        <v>4734</v>
      </c>
      <c r="P44" s="8" t="s">
        <v>4604</v>
      </c>
      <c r="Q44" s="8" t="s">
        <v>4605</v>
      </c>
      <c r="R44" s="7"/>
      <c r="S44" s="43" t="s">
        <v>240</v>
      </c>
      <c r="T44" s="46">
        <f>T35</f>
        <v>-0.04</v>
      </c>
      <c r="U44" s="41">
        <f>IF(T44&lt;=0,0,IF(T44&lt;=0.1,50,IF(T44&lt;=0.2,100,IF(T44&lt;=0.3,130,150))))</f>
        <v>0</v>
      </c>
      <c r="V44" s="42">
        <v>150</v>
      </c>
      <c r="W44" s="34" t="s">
        <v>241</v>
      </c>
    </row>
    <row r="45" spans="1:23" ht="18" customHeight="1">
      <c r="A45" s="9">
        <v>44</v>
      </c>
      <c r="B45" s="9" t="s">
        <v>4598</v>
      </c>
      <c r="C45" s="9" t="s">
        <v>4735</v>
      </c>
      <c r="D45" s="9" t="s">
        <v>4736</v>
      </c>
      <c r="E45" s="9" t="s">
        <v>21</v>
      </c>
      <c r="F45" s="9" t="s">
        <v>22</v>
      </c>
      <c r="G45" s="9">
        <v>483</v>
      </c>
      <c r="H45" s="9" t="s">
        <v>23</v>
      </c>
      <c r="I45" s="9" t="s">
        <v>159</v>
      </c>
      <c r="J45" s="9" t="s">
        <v>25</v>
      </c>
      <c r="K45" s="9" t="s">
        <v>26</v>
      </c>
      <c r="L45" s="9" t="s">
        <v>160</v>
      </c>
      <c r="M45" s="9">
        <v>5999</v>
      </c>
      <c r="N45" s="9" t="s">
        <v>160</v>
      </c>
      <c r="O45" s="9" t="s">
        <v>4737</v>
      </c>
      <c r="P45" s="9" t="s">
        <v>4604</v>
      </c>
      <c r="Q45" s="9" t="s">
        <v>4605</v>
      </c>
      <c r="R45" s="7"/>
      <c r="S45" s="39" t="s">
        <v>246</v>
      </c>
      <c r="T45" s="45">
        <f>T31</f>
        <v>3500</v>
      </c>
      <c r="U45" s="41">
        <f>IF(T45&lt;=5000,30,IF(T45&lt;=15000,90,150))</f>
        <v>30</v>
      </c>
      <c r="V45" s="42">
        <v>150</v>
      </c>
      <c r="W45" s="29" t="s">
        <v>247</v>
      </c>
    </row>
    <row r="46" spans="1:23" ht="18" customHeight="1">
      <c r="A46" s="8">
        <v>45</v>
      </c>
      <c r="B46" s="8" t="s">
        <v>4598</v>
      </c>
      <c r="C46" s="8" t="s">
        <v>4738</v>
      </c>
      <c r="D46" s="8" t="s">
        <v>4739</v>
      </c>
      <c r="E46" s="8" t="s">
        <v>21</v>
      </c>
      <c r="F46" s="8" t="s">
        <v>22</v>
      </c>
      <c r="G46" s="8">
        <v>499</v>
      </c>
      <c r="H46" s="8" t="s">
        <v>23</v>
      </c>
      <c r="I46" s="8" t="s">
        <v>379</v>
      </c>
      <c r="J46" s="8" t="s">
        <v>41</v>
      </c>
      <c r="K46" s="8" t="s">
        <v>26</v>
      </c>
      <c r="L46" s="8" t="s">
        <v>380</v>
      </c>
      <c r="M46" s="8">
        <v>5411</v>
      </c>
      <c r="N46" s="8" t="s">
        <v>380</v>
      </c>
      <c r="O46" s="8" t="s">
        <v>4740</v>
      </c>
      <c r="P46" s="8" t="s">
        <v>4604</v>
      </c>
      <c r="Q46" s="8" t="s">
        <v>4605</v>
      </c>
      <c r="R46" s="7"/>
      <c r="S46" s="43" t="s">
        <v>250</v>
      </c>
      <c r="T46" s="47">
        <f>T36</f>
        <v>-140</v>
      </c>
      <c r="U46" s="41">
        <f>IF(T46&lt;0,0,IF(T46&lt;=1000,50,IF(T46&lt;=3000,100,150)))</f>
        <v>0</v>
      </c>
      <c r="V46" s="42">
        <v>150</v>
      </c>
      <c r="W46" s="34" t="s">
        <v>251</v>
      </c>
    </row>
    <row r="47" spans="1:23" ht="18" customHeight="1">
      <c r="A47" s="9">
        <v>46</v>
      </c>
      <c r="B47" s="9" t="s">
        <v>4598</v>
      </c>
      <c r="C47" s="9" t="s">
        <v>4741</v>
      </c>
      <c r="D47" s="9" t="s">
        <v>4742</v>
      </c>
      <c r="E47" s="9" t="s">
        <v>94</v>
      </c>
      <c r="F47" s="9" t="s">
        <v>22</v>
      </c>
      <c r="G47" s="9">
        <v>3500</v>
      </c>
      <c r="H47" s="9" t="s">
        <v>23</v>
      </c>
      <c r="I47" s="9" t="s">
        <v>4630</v>
      </c>
      <c r="J47" s="9" t="s">
        <v>96</v>
      </c>
      <c r="K47" s="9" t="s">
        <v>97</v>
      </c>
      <c r="L47" s="9" t="s">
        <v>4631</v>
      </c>
      <c r="M47" s="9"/>
      <c r="N47" s="9" t="s">
        <v>4631</v>
      </c>
      <c r="O47" s="9" t="s">
        <v>4743</v>
      </c>
      <c r="P47" s="9" t="s">
        <v>4604</v>
      </c>
      <c r="Q47" s="9" t="s">
        <v>4605</v>
      </c>
      <c r="R47" s="7"/>
      <c r="S47" s="39" t="s">
        <v>256</v>
      </c>
      <c r="T47" s="48">
        <f>T37</f>
        <v>1.3095238095238095</v>
      </c>
      <c r="U47" s="41">
        <f>IF(T47&lt;=0.1,100,IF(T47&lt;=0.25,70,IF(T47&lt;=0.4,40,IF(T47&lt;=0.6,20,0))))</f>
        <v>0</v>
      </c>
      <c r="V47" s="42">
        <v>100</v>
      </c>
      <c r="W47" s="29" t="s">
        <v>257</v>
      </c>
    </row>
    <row r="48" spans="1:23" ht="3.75" customHeight="1">
      <c r="A48" s="8">
        <v>47</v>
      </c>
      <c r="B48" s="8" t="s">
        <v>4598</v>
      </c>
      <c r="C48" s="8" t="s">
        <v>4744</v>
      </c>
      <c r="D48" s="8" t="s">
        <v>4745</v>
      </c>
      <c r="E48" s="8" t="s">
        <v>21</v>
      </c>
      <c r="F48" s="8" t="s">
        <v>22</v>
      </c>
      <c r="G48" s="8">
        <v>20000</v>
      </c>
      <c r="H48" s="8" t="s">
        <v>23</v>
      </c>
      <c r="I48" s="8" t="s">
        <v>4601</v>
      </c>
      <c r="J48" s="8" t="s">
        <v>36</v>
      </c>
      <c r="K48" s="8" t="s">
        <v>26</v>
      </c>
      <c r="L48" s="8" t="s">
        <v>4602</v>
      </c>
      <c r="M48" s="8">
        <v>6012</v>
      </c>
      <c r="N48" s="8" t="s">
        <v>4602</v>
      </c>
      <c r="O48" s="8" t="s">
        <v>4746</v>
      </c>
      <c r="P48" s="8" t="s">
        <v>4604</v>
      </c>
      <c r="Q48" s="8" t="s">
        <v>4605</v>
      </c>
      <c r="R48" s="7"/>
    </row>
    <row r="49" spans="1:23" ht="27.75" customHeight="1">
      <c r="A49" s="9">
        <v>48</v>
      </c>
      <c r="B49" s="9" t="s">
        <v>4598</v>
      </c>
      <c r="C49" s="9" t="s">
        <v>4747</v>
      </c>
      <c r="D49" s="9" t="s">
        <v>4748</v>
      </c>
      <c r="E49" s="9" t="s">
        <v>21</v>
      </c>
      <c r="F49" s="9" t="s">
        <v>22</v>
      </c>
      <c r="G49" s="9">
        <v>418</v>
      </c>
      <c r="H49" s="9" t="s">
        <v>23</v>
      </c>
      <c r="I49" s="9" t="s">
        <v>498</v>
      </c>
      <c r="J49" s="9" t="s">
        <v>36</v>
      </c>
      <c r="K49" s="9" t="s">
        <v>26</v>
      </c>
      <c r="L49" s="9" t="s">
        <v>499</v>
      </c>
      <c r="M49" s="9">
        <v>4900</v>
      </c>
      <c r="N49" s="9" t="s">
        <v>499</v>
      </c>
      <c r="O49" s="9" t="s">
        <v>4749</v>
      </c>
      <c r="P49" s="9" t="s">
        <v>4604</v>
      </c>
      <c r="Q49" s="9" t="s">
        <v>4605</v>
      </c>
      <c r="R49" s="7"/>
      <c r="S49" s="49" t="s">
        <v>264</v>
      </c>
      <c r="T49" s="50">
        <f>U41+U42+U43+U44+U45+U46+U47</f>
        <v>60</v>
      </c>
      <c r="U49" s="51"/>
      <c r="V49" s="52">
        <v>1000</v>
      </c>
      <c r="W49" s="53" t="s">
        <v>265</v>
      </c>
    </row>
    <row r="50" spans="1:23" ht="19.5" customHeight="1">
      <c r="A50" s="8">
        <v>49</v>
      </c>
      <c r="B50" s="8" t="s">
        <v>4598</v>
      </c>
      <c r="C50" s="8" t="s">
        <v>4750</v>
      </c>
      <c r="D50" s="8" t="s">
        <v>4751</v>
      </c>
      <c r="E50" s="8" t="s">
        <v>21</v>
      </c>
      <c r="F50" s="8" t="s">
        <v>22</v>
      </c>
      <c r="G50" s="8">
        <v>260</v>
      </c>
      <c r="H50" s="8" t="s">
        <v>23</v>
      </c>
      <c r="I50" s="8" t="s">
        <v>174</v>
      </c>
      <c r="J50" s="8" t="s">
        <v>36</v>
      </c>
      <c r="K50" s="8" t="s">
        <v>26</v>
      </c>
      <c r="L50" s="8" t="s">
        <v>175</v>
      </c>
      <c r="M50" s="8">
        <v>4813</v>
      </c>
      <c r="N50" s="8" t="s">
        <v>175</v>
      </c>
      <c r="O50" s="8" t="s">
        <v>4752</v>
      </c>
      <c r="P50" s="8" t="s">
        <v>4604</v>
      </c>
      <c r="Q50" s="8" t="s">
        <v>4605</v>
      </c>
      <c r="R50" s="7"/>
      <c r="S50" s="54" t="s">
        <v>269</v>
      </c>
      <c r="T50" s="55" t="str">
        <f>IF(T49&gt;=900,"AAA",IF(T49&gt;=800,"AA",IF(T49&gt;=700,"A",IF(T49&gt;=600,"BBB",IF(T49&gt;=500,"BB",IF(T49&gt;=400,"B",IF(T49&gt;=300,"CCC",IF(T49&gt;=200,"CC",IF(T49&gt;=100,"C","D")))))))))</f>
        <v>D</v>
      </c>
      <c r="U50" s="56"/>
      <c r="V50" s="56"/>
      <c r="W50" s="57" t="s">
        <v>270</v>
      </c>
    </row>
    <row r="51" spans="1:23" ht="19.5" customHeight="1">
      <c r="A51" s="9">
        <v>50</v>
      </c>
      <c r="B51" s="9" t="s">
        <v>4598</v>
      </c>
      <c r="C51" s="9" t="s">
        <v>4753</v>
      </c>
      <c r="D51" s="9" t="s">
        <v>4754</v>
      </c>
      <c r="E51" s="9" t="s">
        <v>21</v>
      </c>
      <c r="F51" s="9" t="s">
        <v>22</v>
      </c>
      <c r="G51" s="9">
        <v>612</v>
      </c>
      <c r="H51" s="9" t="s">
        <v>23</v>
      </c>
      <c r="I51" s="9" t="s">
        <v>56</v>
      </c>
      <c r="J51" s="9" t="s">
        <v>41</v>
      </c>
      <c r="K51" s="9" t="s">
        <v>26</v>
      </c>
      <c r="L51" s="9" t="s">
        <v>57</v>
      </c>
      <c r="M51" s="9">
        <v>5999</v>
      </c>
      <c r="N51" s="9" t="s">
        <v>57</v>
      </c>
      <c r="O51" s="9" t="s">
        <v>4755</v>
      </c>
      <c r="P51" s="9" t="s">
        <v>4604</v>
      </c>
      <c r="Q51" s="9" t="s">
        <v>4605</v>
      </c>
      <c r="R51" s="7"/>
      <c r="S51" s="22" t="s">
        <v>273</v>
      </c>
      <c r="T51" s="58" t="str">
        <f>IF(T50="AAA","Excellent",IF(T50="AA","Very Good",IF(T50="A","Good",IF(T50="BBB","Above Average",IF(T50="BB","Average",IF(T50="B","Below Average",IF(T50="CCC","Poor",IF(T50="CC","Very Poor",IF(T50="C","Extremely Poor","Default Risk")))))))))</f>
        <v>Default Risk</v>
      </c>
      <c r="U51" s="59"/>
      <c r="V51" s="59"/>
      <c r="W51" s="60" t="s">
        <v>274</v>
      </c>
    </row>
    <row r="52" spans="1:23" ht="19.5" customHeight="1">
      <c r="A52" s="8">
        <v>51</v>
      </c>
      <c r="B52" s="8" t="s">
        <v>4598</v>
      </c>
      <c r="C52" s="8" t="s">
        <v>4756</v>
      </c>
      <c r="D52" s="8" t="s">
        <v>4757</v>
      </c>
      <c r="E52" s="8" t="s">
        <v>21</v>
      </c>
      <c r="F52" s="8" t="s">
        <v>22</v>
      </c>
      <c r="G52" s="8">
        <v>798</v>
      </c>
      <c r="H52" s="8" t="s">
        <v>23</v>
      </c>
      <c r="I52" s="8" t="s">
        <v>244</v>
      </c>
      <c r="J52" s="8" t="s">
        <v>41</v>
      </c>
      <c r="K52" s="8" t="s">
        <v>26</v>
      </c>
      <c r="L52" s="8" t="s">
        <v>245</v>
      </c>
      <c r="M52" s="8">
        <v>5411</v>
      </c>
      <c r="N52" s="8" t="s">
        <v>245</v>
      </c>
      <c r="O52" s="8" t="s">
        <v>4758</v>
      </c>
      <c r="P52" s="8" t="s">
        <v>4604</v>
      </c>
      <c r="Q52" s="8" t="s">
        <v>4605</v>
      </c>
      <c r="R52" s="7"/>
      <c r="S52" s="22" t="s">
        <v>277</v>
      </c>
      <c r="T52" s="58" t="str">
        <f>IF(T50="AAA","Very High",IF(OR(T50="AA",T50="A"),"High",IF(OR(T50="BBB",T50="BB"),"Moderate",IF(T50="B","Low",IF(T50="CCC","Very Low",IF(T50="CC","Unlikely","Declined"))))))</f>
        <v>Declined</v>
      </c>
      <c r="U52" s="59"/>
      <c r="V52" s="59"/>
      <c r="W52" s="60" t="s">
        <v>278</v>
      </c>
    </row>
    <row r="53" spans="1:23" ht="6" customHeight="1">
      <c r="A53" s="9">
        <v>52</v>
      </c>
      <c r="B53" s="9" t="s">
        <v>4598</v>
      </c>
      <c r="C53" s="9" t="s">
        <v>4759</v>
      </c>
      <c r="D53" s="9" t="s">
        <v>4760</v>
      </c>
      <c r="E53" s="9" t="s">
        <v>21</v>
      </c>
      <c r="F53" s="9" t="s">
        <v>22</v>
      </c>
      <c r="G53" s="9">
        <v>255</v>
      </c>
      <c r="H53" s="9" t="s">
        <v>23</v>
      </c>
      <c r="I53" s="9" t="s">
        <v>593</v>
      </c>
      <c r="J53" s="9" t="s">
        <v>331</v>
      </c>
      <c r="K53" s="9" t="s">
        <v>26</v>
      </c>
      <c r="L53" s="9" t="s">
        <v>594</v>
      </c>
      <c r="M53" s="9">
        <v>6011</v>
      </c>
      <c r="N53" s="9" t="s">
        <v>594</v>
      </c>
      <c r="O53" s="9" t="s">
        <v>4761</v>
      </c>
      <c r="P53" s="9" t="s">
        <v>4604</v>
      </c>
      <c r="Q53" s="9" t="s">
        <v>4605</v>
      </c>
      <c r="R53" s="7"/>
    </row>
    <row r="54" spans="1:23" ht="15.75" customHeight="1">
      <c r="A54" s="8">
        <v>53</v>
      </c>
      <c r="B54" s="8" t="s">
        <v>4598</v>
      </c>
      <c r="C54" s="8" t="s">
        <v>4762</v>
      </c>
      <c r="D54" s="8" t="s">
        <v>4763</v>
      </c>
      <c r="E54" s="8" t="s">
        <v>21</v>
      </c>
      <c r="F54" s="8" t="s">
        <v>22</v>
      </c>
      <c r="G54" s="8">
        <v>287</v>
      </c>
      <c r="H54" s="8" t="s">
        <v>23</v>
      </c>
      <c r="I54" s="8" t="s">
        <v>52</v>
      </c>
      <c r="J54" s="8" t="s">
        <v>41</v>
      </c>
      <c r="K54" s="8" t="s">
        <v>26</v>
      </c>
      <c r="L54" s="8" t="s">
        <v>53</v>
      </c>
      <c r="M54" s="8">
        <v>5812</v>
      </c>
      <c r="N54" s="8" t="s">
        <v>53</v>
      </c>
      <c r="O54" s="8" t="s">
        <v>4764</v>
      </c>
      <c r="P54" s="8" t="s">
        <v>4604</v>
      </c>
      <c r="Q54" s="8" t="s">
        <v>4605</v>
      </c>
      <c r="R54" s="7"/>
      <c r="S54" s="1" t="s">
        <v>283</v>
      </c>
      <c r="T54" s="1"/>
      <c r="U54" s="1"/>
      <c r="V54" s="1"/>
      <c r="W54" s="1"/>
    </row>
    <row r="55" spans="1:23" ht="19.5" customHeight="1">
      <c r="A55" s="9">
        <v>54</v>
      </c>
      <c r="B55" s="9" t="s">
        <v>4598</v>
      </c>
      <c r="C55" s="9" t="s">
        <v>4765</v>
      </c>
      <c r="D55" s="9" t="s">
        <v>4766</v>
      </c>
      <c r="E55" s="9" t="s">
        <v>21</v>
      </c>
      <c r="F55" s="9" t="s">
        <v>22</v>
      </c>
      <c r="G55" s="9">
        <v>756</v>
      </c>
      <c r="H55" s="9" t="s">
        <v>23</v>
      </c>
      <c r="I55" s="9" t="s">
        <v>363</v>
      </c>
      <c r="J55" s="9" t="s">
        <v>41</v>
      </c>
      <c r="K55" s="9" t="s">
        <v>26</v>
      </c>
      <c r="L55" s="9" t="s">
        <v>364</v>
      </c>
      <c r="M55" s="9">
        <v>5999</v>
      </c>
      <c r="N55" s="9" t="s">
        <v>364</v>
      </c>
      <c r="O55" s="9" t="s">
        <v>4767</v>
      </c>
      <c r="P55" s="9" t="s">
        <v>4604</v>
      </c>
      <c r="Q55" s="9" t="s">
        <v>4605</v>
      </c>
      <c r="R55" s="7"/>
      <c r="S55" s="14" t="s">
        <v>288</v>
      </c>
      <c r="T55" s="14" t="s">
        <v>289</v>
      </c>
      <c r="U55" s="14" t="s">
        <v>290</v>
      </c>
      <c r="V55" s="14" t="s">
        <v>148</v>
      </c>
      <c r="W55" s="14" t="s">
        <v>291</v>
      </c>
    </row>
    <row r="56" spans="1:23" ht="18" customHeight="1">
      <c r="A56" s="8">
        <v>55</v>
      </c>
      <c r="B56" s="8" t="s">
        <v>4598</v>
      </c>
      <c r="C56" s="8" t="s">
        <v>4768</v>
      </c>
      <c r="D56" s="8" t="s">
        <v>4769</v>
      </c>
      <c r="E56" s="8" t="s">
        <v>21</v>
      </c>
      <c r="F56" s="8" t="s">
        <v>22</v>
      </c>
      <c r="G56" s="8">
        <v>254</v>
      </c>
      <c r="H56" s="8" t="s">
        <v>23</v>
      </c>
      <c r="I56" s="8" t="s">
        <v>330</v>
      </c>
      <c r="J56" s="8" t="s">
        <v>331</v>
      </c>
      <c r="K56" s="8" t="s">
        <v>26</v>
      </c>
      <c r="L56" s="8" t="s">
        <v>332</v>
      </c>
      <c r="M56" s="8">
        <v>6011</v>
      </c>
      <c r="N56" s="8" t="s">
        <v>332</v>
      </c>
      <c r="O56" s="8" t="s">
        <v>4770</v>
      </c>
      <c r="P56" s="8" t="s">
        <v>4604</v>
      </c>
      <c r="Q56" s="8" t="s">
        <v>4605</v>
      </c>
      <c r="R56" s="7"/>
      <c r="S56" s="61" t="s">
        <v>294</v>
      </c>
      <c r="T56" s="62">
        <f>IFERROR(U24/T24,0)</f>
        <v>1.3095238095238095</v>
      </c>
      <c r="U56" s="27" t="s">
        <v>206</v>
      </c>
      <c r="V56" s="38" t="str">
        <f>IF(T56&lt;=0.35,"✅ Meets","⚠️ Exceeds")</f>
        <v>⚠️ Exceeds</v>
      </c>
      <c r="W56" s="29" t="s">
        <v>295</v>
      </c>
    </row>
    <row r="57" spans="1:23" ht="18" customHeight="1">
      <c r="A57" s="9">
        <v>56</v>
      </c>
      <c r="B57" s="9" t="s">
        <v>4598</v>
      </c>
      <c r="C57" s="9" t="s">
        <v>4771</v>
      </c>
      <c r="D57" s="9" t="s">
        <v>4772</v>
      </c>
      <c r="E57" s="9" t="s">
        <v>94</v>
      </c>
      <c r="F57" s="9" t="s">
        <v>22</v>
      </c>
      <c r="G57" s="9">
        <v>3500</v>
      </c>
      <c r="H57" s="9" t="s">
        <v>23</v>
      </c>
      <c r="I57" s="9" t="s">
        <v>4630</v>
      </c>
      <c r="J57" s="9" t="s">
        <v>96</v>
      </c>
      <c r="K57" s="9" t="s">
        <v>97</v>
      </c>
      <c r="L57" s="9" t="s">
        <v>4631</v>
      </c>
      <c r="M57" s="9"/>
      <c r="N57" s="9" t="s">
        <v>4631</v>
      </c>
      <c r="O57" s="9" t="s">
        <v>4773</v>
      </c>
      <c r="P57" s="9" t="s">
        <v>4604</v>
      </c>
      <c r="Q57" s="9" t="s">
        <v>4605</v>
      </c>
      <c r="R57" s="7"/>
      <c r="S57" s="63" t="s">
        <v>298</v>
      </c>
      <c r="T57" s="64">
        <v>0</v>
      </c>
      <c r="U57" s="65" t="s">
        <v>299</v>
      </c>
      <c r="V57" s="66" t="str">
        <f>IF(T57&gt;=0.15,"✅ Meets","⚠️ Below")</f>
        <v>⚠️ Below</v>
      </c>
      <c r="W57" s="67" t="s">
        <v>300</v>
      </c>
    </row>
    <row r="58" spans="1:23" ht="18" customHeight="1">
      <c r="R58" s="7"/>
      <c r="S58" s="61" t="s">
        <v>303</v>
      </c>
      <c r="T58" s="62">
        <f>T35</f>
        <v>-0.04</v>
      </c>
      <c r="U58" s="27" t="s">
        <v>304</v>
      </c>
      <c r="V58" s="38" t="str">
        <f>IF(T58&gt;=0.2,"✅ Meets","⚠️ Below")</f>
        <v>⚠️ Below</v>
      </c>
      <c r="W58" s="29" t="s">
        <v>305</v>
      </c>
    </row>
    <row r="59" spans="1:23" ht="18" customHeight="1">
      <c r="R59" s="7"/>
      <c r="S59" s="68" t="s">
        <v>308</v>
      </c>
      <c r="T59" s="69">
        <f>T36</f>
        <v>-140</v>
      </c>
      <c r="U59" s="32" t="s">
        <v>309</v>
      </c>
      <c r="V59" s="36" t="str">
        <f>IF(T59&gt;0,"✅ Positive","❌ Negative")</f>
        <v>❌ Negative</v>
      </c>
      <c r="W59" s="34" t="s">
        <v>310</v>
      </c>
    </row>
    <row r="60" spans="1:23" ht="18" customHeight="1">
      <c r="R60" s="7"/>
      <c r="S60" s="63" t="s">
        <v>313</v>
      </c>
      <c r="T60" s="70">
        <v>0</v>
      </c>
      <c r="U60" s="65" t="s">
        <v>314</v>
      </c>
      <c r="V60" s="66" t="str">
        <f>IF(T60&gt;=3,"✅ Meets","⚠️ Below")</f>
        <v>⚠️ Below</v>
      </c>
      <c r="W60" s="67" t="s">
        <v>315</v>
      </c>
    </row>
    <row r="61" spans="1:23" ht="18" customHeight="1">
      <c r="R61" s="7"/>
      <c r="S61" s="63" t="s">
        <v>320</v>
      </c>
      <c r="T61" s="71">
        <v>0</v>
      </c>
      <c r="U61" s="65" t="s">
        <v>321</v>
      </c>
      <c r="V61" s="72" t="s">
        <v>155</v>
      </c>
      <c r="W61" s="67" t="s">
        <v>322</v>
      </c>
    </row>
    <row r="62" spans="1:23" ht="18" customHeight="1">
      <c r="R62" s="7"/>
      <c r="S62" s="63" t="s">
        <v>325</v>
      </c>
      <c r="T62" s="73">
        <v>0</v>
      </c>
      <c r="U62" s="65" t="s">
        <v>326</v>
      </c>
      <c r="V62" s="66" t="str">
        <f>IF(T62=0,"✅ Zero Days","⚠️ "&amp;T62&amp;" Day(s)")</f>
        <v>✅ Zero Days</v>
      </c>
      <c r="W62" s="67" t="s">
        <v>327</v>
      </c>
    </row>
    <row r="63" spans="1:23" ht="18" customHeight="1">
      <c r="R63" s="7"/>
      <c r="S63" s="68" t="s">
        <v>333</v>
      </c>
      <c r="T63" s="74">
        <f>IFERROR((MIN(1,SUMPRODUCT((LEFT($C$2:$C$57,7)=TEXT(S9,"YYYY-MM"))*($E$2:$E$57="KSAOB.Credit")*($K$2:$K$57="KSAOB.Deposit")))+MIN(1,SUMPRODUCT((LEFT($C$2:$C$57,7)=TEXT(S10,"YYYY-MM"))*($E$2:$E$57="KSAOB.Credit")*($K$2:$K$57="KSAOB.Deposit")))+MIN(1,SUMPRODUCT((LEFT($C$2:$C$57,7)=TEXT(S11,"YYYY-MM"))*($E$2:$E$57="KSAOB.Credit")*($K$2:$K$57="KSAOB.Deposit")))+MIN(1,SUMPRODUCT((LEFT($C$2:$C$57,7)=TEXT(S12,"YYYY-MM"))*($E$2:$E$57="KSAOB.Credit")*($K$2:$K$57="KSAOB.Deposit")))+MIN(1,SUMPRODUCT((LEFT($C$2:$C$57,7)=TEXT(S13,"YYYY-MM"))*($E$2:$E$57="KSAOB.Credit")*($K$2:$K$57="KSAOB.Deposit")))+MIN(1,SUMPRODUCT((LEFT($C$2:$C$57,7)=TEXT(S14,"YYYY-MM"))*($E$2:$E$57="KSAOB.Credit")*($K$2:$K$57="KSAOB.Deposit"))))/6,0)</f>
        <v>1</v>
      </c>
      <c r="U63" s="32" t="s">
        <v>334</v>
      </c>
      <c r="V63" s="36" t="str">
        <f>IF(T63&gt;=0.9,"✅ Meets","⚠️ Below")</f>
        <v>✅ Meets</v>
      </c>
      <c r="W63" s="34" t="s">
        <v>1572</v>
      </c>
    </row>
    <row r="64" spans="1:23" ht="15" customHeight="1">
      <c r="R64" s="7"/>
    </row>
  </sheetData>
  <mergeCells count="7">
    <mergeCell ref="S39:W39"/>
    <mergeCell ref="S54:W54"/>
    <mergeCell ref="S1:W1"/>
    <mergeCell ref="S2:W2"/>
    <mergeCell ref="S4:W4"/>
    <mergeCell ref="S7:W7"/>
    <mergeCell ref="S26:W26"/>
  </mergeCells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firstHeader>&amp;LClassification: &amp;"Microsoft Sans Serif,Bold Italic"Confidential</first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b1b4c57f-b0bb-44a5-9190-d89726d65b21</TitusGUID>
  <TitusMetadata xmlns="">eyJucyI6Imh0dHA6XC9cL3d3dy50aXR1cy5jb21cL25zXC9lbXQiLCJwcm9wcyI6W3sibiI6IkNsYXNzaWZpY2F0aW9uU2NoZW1hIiwidmFscyI6W3sidmFsdWUiOiJDT05GSURFTlRJQUwifV19XX0=</TitusMetadata>
</titus>
</file>

<file path=customXml/itemProps1.xml><?xml version="1.0" encoding="utf-8"?>
<ds:datastoreItem xmlns:ds="http://schemas.openxmlformats.org/officeDocument/2006/customXml" ds:itemID="{C8500CE3-2BAF-4503-BC5C-9FD40C2926C5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CLT001 AAA Khalid</vt:lpstr>
      <vt:lpstr>CLT002 BBB Sara</vt:lpstr>
      <vt:lpstr>CLT003 B Mohammed</vt:lpstr>
      <vt:lpstr>CLT004 CCC Amal</vt:lpstr>
      <vt:lpstr>CLT005 AAA Faisal</vt:lpstr>
      <vt:lpstr>CLT006 AA Reem</vt:lpstr>
      <vt:lpstr>CLT007 A Abdullah</vt:lpstr>
      <vt:lpstr>CLT008 BB Nora</vt:lpstr>
      <vt:lpstr>CLT009 CC Turki</vt:lpstr>
      <vt:lpstr>CLT010 C Latifa</vt:lpstr>
      <vt:lpstr>CLT011 D Hamad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Abrar S. Bawazir</cp:lastModifiedBy>
  <cp:revision>0</cp:revision>
  <dcterms:created xsi:type="dcterms:W3CDTF">2026-03-15T05:39:15Z</dcterms:created>
  <dcterms:modified xsi:type="dcterms:W3CDTF">2026-04-14T09:00:23Z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Schema">
    <vt:lpwstr>CONFIDENTIAL</vt:lpwstr>
  </property>
  <property fmtid="{D5CDD505-2E9C-101B-9397-08002B2CF9AE}" pid="3" name="TitusGUID">
    <vt:lpwstr>b1b4c57f-b0bb-44a5-9190-d89726d65b21</vt:lpwstr>
  </property>
</Properties>
</file>