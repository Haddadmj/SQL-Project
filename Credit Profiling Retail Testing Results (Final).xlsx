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lhaddad\Downloads\"/>
    </mc:Choice>
  </mc:AlternateContent>
  <xr:revisionPtr revIDLastSave="0" documentId="13_ncr:1_{F8356C2A-5BD9-40D4-9081-C963C52993F1}" xr6:coauthVersionLast="47" xr6:coauthVersionMax="47" xr10:uidLastSave="{00000000-0000-0000-0000-000000000000}"/>
  <bookViews>
    <workbookView xWindow="-120" yWindow="-120" windowWidth="29040" windowHeight="15720" tabRatio="500" activeTab="8" xr2:uid="{00000000-000D-0000-FFFF-FFFF00000000}"/>
  </bookViews>
  <sheets>
    <sheet name="ACC-146 Trans" sheetId="1" r:id="rId1"/>
    <sheet name="ACC-146 Response" sheetId="2" state="hidden" r:id="rId2"/>
    <sheet name="ACC-148 Trans" sheetId="3" r:id="rId3"/>
    <sheet name="ACC-148 Response" sheetId="4" state="hidden" r:id="rId4"/>
    <sheet name="ACC-149 Trans" sheetId="5" r:id="rId5"/>
    <sheet name="ACC-149 Response" sheetId="6" state="hidden" r:id="rId6"/>
    <sheet name="Scoring results" sheetId="7" r:id="rId7"/>
    <sheet name="Scoring Configuration" sheetId="8" state="hidden" r:id="rId8"/>
    <sheet name="QA Result" sheetId="9" r:id="rId9"/>
  </sheets>
  <definedNames>
    <definedName name="_xlnm._FilterDatabase" localSheetId="0" hidden="1">'ACC-146 Trans'!$A$1:$L$166</definedName>
    <definedName name="_xlnm._FilterDatabase" localSheetId="2" hidden="1">'ACC-148 Trans'!$A$1:$L$54</definedName>
    <definedName name="_xlnm._FilterDatabase" localSheetId="4" hidden="1">'ACC-149 Trans'!$A$1:$L$296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2" i="1" l="1"/>
  <c r="B10" i="9"/>
  <c r="D13" i="8"/>
  <c r="F124" i="7"/>
  <c r="F123" i="7"/>
  <c r="F122" i="7"/>
  <c r="F111" i="7"/>
  <c r="F76" i="7"/>
  <c r="I59" i="3"/>
  <c r="I58" i="3"/>
  <c r="I57" i="3"/>
  <c r="I56" i="3"/>
  <c r="I171" i="1"/>
  <c r="I170" i="1"/>
  <c r="J170" i="1" s="1"/>
  <c r="I169" i="1"/>
  <c r="J169" i="1" s="1"/>
  <c r="I168" i="1"/>
</calcChain>
</file>

<file path=xl/sharedStrings.xml><?xml version="1.0" encoding="utf-8"?>
<sst xmlns="http://schemas.openxmlformats.org/spreadsheetml/2006/main" count="7575" uniqueCount="2234">
  <si>
    <t>Date</t>
  </si>
  <si>
    <t>Transaction ID</t>
  </si>
  <si>
    <t>Bank</t>
  </si>
  <si>
    <t>Account</t>
  </si>
  <si>
    <t>Type</t>
  </si>
  <si>
    <t>Sub-Type</t>
  </si>
  <si>
    <t>Direction</t>
  </si>
  <si>
    <t>Description</t>
  </si>
  <si>
    <t>Amount (SAR)</t>
  </si>
  <si>
    <t>Balance (SAR)</t>
  </si>
  <si>
    <t>Status</t>
  </si>
  <si>
    <t>Booking Date</t>
  </si>
  <si>
    <t>2026-02-28</t>
  </si>
  <si>
    <t>TXN-NVDU7P</t>
  </si>
  <si>
    <t>The Saudi Investment Bank</t>
  </si>
  <si>
    <t>ACC-146</t>
  </si>
  <si>
    <t>LocalBankTransfer</t>
  </si>
  <si>
    <t>Deposit</t>
  </si>
  <si>
    <t>Credit</t>
  </si>
  <si>
    <t>Salary - Riyad Bank HQ / راتب</t>
  </si>
  <si>
    <t>Booked</t>
  </si>
  <si>
    <t>2026-02-25</t>
  </si>
  <si>
    <t>TXN-1A2W5T</t>
  </si>
  <si>
    <t>POS</t>
  </si>
  <si>
    <t>Purchase</t>
  </si>
  <si>
    <t>Debit</t>
  </si>
  <si>
    <t>Miscellaneous: Various Merchants</t>
  </si>
  <si>
    <t>2026-02-22</t>
  </si>
  <si>
    <t>TXN-NOCM7YQKNKOKT</t>
  </si>
  <si>
    <t>ECommerce</t>
  </si>
  <si>
    <t>Online Shopping: Jarir Bookstore Online</t>
  </si>
  <si>
    <t>2026-02-21</t>
  </si>
  <si>
    <t>TXN-IVDOI</t>
  </si>
  <si>
    <t>BillPayments</t>
  </si>
  <si>
    <t>Utilities: Saudi Electricity Co.</t>
  </si>
  <si>
    <t>2026-02-20</t>
  </si>
  <si>
    <t>TXN-1A7X</t>
  </si>
  <si>
    <t>General Purchases / مشتريات عامة</t>
  </si>
  <si>
    <t>2026-02-16</t>
  </si>
  <si>
    <t>TXN-0ASO4E80</t>
  </si>
  <si>
    <t>Grocery Stores: Panda Supermarket</t>
  </si>
  <si>
    <t>2026-02-15</t>
  </si>
  <si>
    <t>TXN-44C83Q4EI</t>
  </si>
  <si>
    <t>2026-02-14</t>
  </si>
  <si>
    <t>TXN-V3SMFFYNM9HIF2</t>
  </si>
  <si>
    <t>Miscellaneous: Uber KSA</t>
  </si>
  <si>
    <t>2026-02-13</t>
  </si>
  <si>
    <t>TXN-KKOM</t>
  </si>
  <si>
    <t>Telecom: Mobily</t>
  </si>
  <si>
    <t>2026-02-10</t>
  </si>
  <si>
    <t>TXN-T8H</t>
  </si>
  <si>
    <t>Fuel Stations: Aramco Petrol Station</t>
  </si>
  <si>
    <t>2026-02-06</t>
  </si>
  <si>
    <t>TXN-AAVLDGY</t>
  </si>
  <si>
    <t>ATM</t>
  </si>
  <si>
    <t>ATM Withdrawal: ANB ATM</t>
  </si>
  <si>
    <t>2026-02-04</t>
  </si>
  <si>
    <t>TXN-LUFG</t>
  </si>
  <si>
    <t>Restaurants: Applebee's KSA</t>
  </si>
  <si>
    <t>TXN-TSWPB</t>
  </si>
  <si>
    <t>Car Loan Payment - Al Rajhi Auto Finance</t>
  </si>
  <si>
    <t>2026-01-31</t>
  </si>
  <si>
    <t>TXN-2UOPU7NRVGZC</t>
  </si>
  <si>
    <t>2026-01-29</t>
  </si>
  <si>
    <t>TXN-4Y6NM1</t>
  </si>
  <si>
    <t>2026-01-27</t>
  </si>
  <si>
    <t>TXN-42OI651TFGRNPQ</t>
  </si>
  <si>
    <t>Telecom: STC</t>
  </si>
  <si>
    <t>2026-01-22</t>
  </si>
  <si>
    <t>TXN-B2KHONV1MJBLNN9</t>
  </si>
  <si>
    <t>2026-01-18</t>
  </si>
  <si>
    <t>TXN-55JW4</t>
  </si>
  <si>
    <t>Grocery Stores: Danube Hypermarket</t>
  </si>
  <si>
    <t>2026-01-19</t>
  </si>
  <si>
    <t>2026-01-17</t>
  </si>
  <si>
    <t>TXN-PPZ2</t>
  </si>
  <si>
    <t>Online Shopping: Namshi.com</t>
  </si>
  <si>
    <t>2026-01-14</t>
  </si>
  <si>
    <t>TXN-MN1V2EWIEH4PBL</t>
  </si>
  <si>
    <t>2026-01-13</t>
  </si>
  <si>
    <t>TXN-VSIWMIIWEJD1UD</t>
  </si>
  <si>
    <t>Grocery Stores: Carrefour Saudi</t>
  </si>
  <si>
    <t>2026-01-09</t>
  </si>
  <si>
    <t>TXN-BE5FXF9</t>
  </si>
  <si>
    <t>Miscellaneous: Careem Saudi Arabia</t>
  </si>
  <si>
    <t>2026-01-08</t>
  </si>
  <si>
    <t>TXN-MF2</t>
  </si>
  <si>
    <t>Restaurants: Khayal Restaurant</t>
  </si>
  <si>
    <t>2026-01-07</t>
  </si>
  <si>
    <t>TXN-09E6TOMPRAD3NZ</t>
  </si>
  <si>
    <t>Healthcare: Al-Dawaa Pharmacy</t>
  </si>
  <si>
    <t>2026-01-05</t>
  </si>
  <si>
    <t>TXN-0MYU7U</t>
  </si>
  <si>
    <t>2026-01-04</t>
  </si>
  <si>
    <t>TXN-74I6U57G4I</t>
  </si>
  <si>
    <t>Restaurants: Nala Restaurant</t>
  </si>
  <si>
    <t>2026-01-03</t>
  </si>
  <si>
    <t>TXN-98NERDW</t>
  </si>
  <si>
    <t>Grocery Stores: Al-Raya Supermarket</t>
  </si>
  <si>
    <t>2026-01-02</t>
  </si>
  <si>
    <t>TXN-KGR</t>
  </si>
  <si>
    <t>2025-12-31</t>
  </si>
  <si>
    <t>TXN-3QP7S1K</t>
  </si>
  <si>
    <t>ATM Withdrawal: Al Rajhi ATM</t>
  </si>
  <si>
    <t>2025-12-29</t>
  </si>
  <si>
    <t>TXN-CFOL9MN0VLU</t>
  </si>
  <si>
    <t>2025-12-28</t>
  </si>
  <si>
    <t>TXN-I7B</t>
  </si>
  <si>
    <t>2025-12-25</t>
  </si>
  <si>
    <t>TXN-V05ZNYG1VNBW5H</t>
  </si>
  <si>
    <t>2025-12-23</t>
  </si>
  <si>
    <t>TXN-D0DWQIZ</t>
  </si>
  <si>
    <t>Grocery Stores: Lulu Hypermarket</t>
  </si>
  <si>
    <t>2025-12-21</t>
  </si>
  <si>
    <t>TXN-1D5967CWU6VMEJP</t>
  </si>
  <si>
    <t>Utilities: MARAFIQ Utilities</t>
  </si>
  <si>
    <t>2025-12-19</t>
  </si>
  <si>
    <t>TXN-VL35YKTKV</t>
  </si>
  <si>
    <t>2025-12-15</t>
  </si>
  <si>
    <t>TXN-P03</t>
  </si>
  <si>
    <t>Fuel Stations: ADNOC Fuel KSA</t>
  </si>
  <si>
    <t>2025-12-13</t>
  </si>
  <si>
    <t>TXN-96IWIHIZ0Y61B</t>
  </si>
  <si>
    <t>2025-12-10</t>
  </si>
  <si>
    <t>TXN-0QUJ8C0N</t>
  </si>
  <si>
    <t>Healthcare: Nahdi Pharmacy</t>
  </si>
  <si>
    <t>2025-12-09</t>
  </si>
  <si>
    <t>TXN-7C4N5GT1R</t>
  </si>
  <si>
    <t>Online Shopping: Amazon.sa</t>
  </si>
  <si>
    <t>2025-12-08</t>
  </si>
  <si>
    <t>TXN-LIJ1Z7MLGB8T</t>
  </si>
  <si>
    <t>2025-12-05</t>
  </si>
  <si>
    <t>TXN-7LFA45U8WGFM4U3</t>
  </si>
  <si>
    <t>2025-12-01</t>
  </si>
  <si>
    <t>TXN-97UI085UYOIUM</t>
  </si>
  <si>
    <t>2025-11-30</t>
  </si>
  <si>
    <t>TXN-9RNWILRPW6KI</t>
  </si>
  <si>
    <t>2025-11-29</t>
  </si>
  <si>
    <t>TXN-QSMQKW</t>
  </si>
  <si>
    <t>2025-11-28</t>
  </si>
  <si>
    <t>TXN-TVWL14T7JHD5TU</t>
  </si>
  <si>
    <t>2025-11-26</t>
  </si>
  <si>
    <t>TXN-UMLTP5F650</t>
  </si>
  <si>
    <t>2025-11-25</t>
  </si>
  <si>
    <t>TXN-0IDKZKZIA6F</t>
  </si>
  <si>
    <t>Grocery Stores: Tamimi Markets</t>
  </si>
  <si>
    <t>2025-11-21</t>
  </si>
  <si>
    <t>TXN-I6N</t>
  </si>
  <si>
    <t>2025-11-16</t>
  </si>
  <si>
    <t>TXN-PD7VEH0BR24WQ</t>
  </si>
  <si>
    <t>Fuel Stations: Shell Saudi Arabia</t>
  </si>
  <si>
    <t>2025-11-15</t>
  </si>
  <si>
    <t>TXN-34B3ZICPZ7KW</t>
  </si>
  <si>
    <t>Restaurants: Al Baik</t>
  </si>
  <si>
    <t>2025-11-14</t>
  </si>
  <si>
    <t>TXN-ZTZOCTT</t>
  </si>
  <si>
    <t>2025-11-13</t>
  </si>
  <si>
    <t>TXN-0QXDI98QLAO0029</t>
  </si>
  <si>
    <t>2025-11-10</t>
  </si>
  <si>
    <t>TXN-XWNO6WBX3</t>
  </si>
  <si>
    <t>2025-11-09</t>
  </si>
  <si>
    <t>TXN-ABEPVTFUVXCA</t>
  </si>
  <si>
    <t>2025-11-08</t>
  </si>
  <si>
    <t>TXN-0AR59N</t>
  </si>
  <si>
    <t>2025-11-05</t>
  </si>
  <si>
    <t>TXN-V61CRML6YQGUV</t>
  </si>
  <si>
    <t>Restaurants: Texas Roadhouse</t>
  </si>
  <si>
    <t>2025-11-02</t>
  </si>
  <si>
    <t>TXN-O2SJS21</t>
  </si>
  <si>
    <t>TXN-7J3Z3EAZV</t>
  </si>
  <si>
    <t>2025-10-31</t>
  </si>
  <si>
    <t>TXN-YLB9EIG</t>
  </si>
  <si>
    <t>2025-10-28</t>
  </si>
  <si>
    <t>TXN-T1VR34JWYIM7</t>
  </si>
  <si>
    <t>2025-10-27</t>
  </si>
  <si>
    <t>TXN-GC7AOHIICEHSGD0</t>
  </si>
  <si>
    <t>2025-10-25</t>
  </si>
  <si>
    <t>TXN-LWXF</t>
  </si>
  <si>
    <t>TXN-OMJ3Q70786</t>
  </si>
  <si>
    <t>2025-10-21</t>
  </si>
  <si>
    <t>TXN-RO2U</t>
  </si>
  <si>
    <t>2025-10-18</t>
  </si>
  <si>
    <t>TXN-7KI5</t>
  </si>
  <si>
    <t>2025-10-17</t>
  </si>
  <si>
    <t>TXN-3BR0OFL</t>
  </si>
  <si>
    <t>2025-10-16</t>
  </si>
  <si>
    <t>TXN-A39SP1T8DEJ2</t>
  </si>
  <si>
    <t>Online Shopping: Extra KSA</t>
  </si>
  <si>
    <t>2025-10-13</t>
  </si>
  <si>
    <t>TXN-8NNY5FN0F47M</t>
  </si>
  <si>
    <t>Telecom: Zain KSA</t>
  </si>
  <si>
    <t>2025-10-12</t>
  </si>
  <si>
    <t>TXN-BRE</t>
  </si>
  <si>
    <t>2025-10-05</t>
  </si>
  <si>
    <t>TXN-F35H109TH5S</t>
  </si>
  <si>
    <t>2025-10-03</t>
  </si>
  <si>
    <t>TXN-VVPIGV2Z1Y2SQ5</t>
  </si>
  <si>
    <t>2025-09-30</t>
  </si>
  <si>
    <t>TXN-8QRQBUP6ICEH9</t>
  </si>
  <si>
    <t>2025-09-29</t>
  </si>
  <si>
    <t>TXN-POEUYYG34</t>
  </si>
  <si>
    <t>2025-09-28</t>
  </si>
  <si>
    <t>TXN-NRC5CCRT</t>
  </si>
  <si>
    <t>2025-09-27</t>
  </si>
  <si>
    <t>TXN-JN62L2A8WX8</t>
  </si>
  <si>
    <t>2025-09-25</t>
  </si>
  <si>
    <t>TXN-9E0FJLTT8E</t>
  </si>
  <si>
    <t>2025-09-23</t>
  </si>
  <si>
    <t>TXN-W23RWBR2N3MG85</t>
  </si>
  <si>
    <t>2025-09-16</t>
  </si>
  <si>
    <t>TXN-42DM</t>
  </si>
  <si>
    <t>2025-09-13</t>
  </si>
  <si>
    <t>TXN-AOFVQXZS</t>
  </si>
  <si>
    <t>2025-09-11</t>
  </si>
  <si>
    <t>TXN-R0B22A6K6CID2</t>
  </si>
  <si>
    <t>2025-09-10</t>
  </si>
  <si>
    <t>TXN-U0WW3</t>
  </si>
  <si>
    <t>2025-09-06</t>
  </si>
  <si>
    <t>TXN-K9X0NOOIBWA</t>
  </si>
  <si>
    <t>2025-09-04</t>
  </si>
  <si>
    <t>TXN-NWYQARPOMD11</t>
  </si>
  <si>
    <t>2025-09-03</t>
  </si>
  <si>
    <t>TXN-Z6CV66JD17QSS</t>
  </si>
  <si>
    <t>Online Shopping: Noon.com</t>
  </si>
  <si>
    <t>2025-08-29</t>
  </si>
  <si>
    <t>TXN-F8Z88SVB</t>
  </si>
  <si>
    <t>TXN-B2OYAZH</t>
  </si>
  <si>
    <t>2025-08-25</t>
  </si>
  <si>
    <t>TXN-UZ8PPV5SKBKX7O</t>
  </si>
  <si>
    <t>2025-08-22</t>
  </si>
  <si>
    <t>TXN-G3IDU</t>
  </si>
  <si>
    <t>Online Shopping: Shein</t>
  </si>
  <si>
    <t>2025-08-21</t>
  </si>
  <si>
    <t>TXN-PTPFU5DFLUG</t>
  </si>
  <si>
    <t>2025-08-18</t>
  </si>
  <si>
    <t>TXN-BCIB1WCLLQ</t>
  </si>
  <si>
    <t>2025-08-13</t>
  </si>
  <si>
    <t>TXN-U1486</t>
  </si>
  <si>
    <t>2025-08-12</t>
  </si>
  <si>
    <t>TXN-X7JZ4Y3Y89IS</t>
  </si>
  <si>
    <t>2025-08-10</t>
  </si>
  <si>
    <t>TXN-I8D53CAX2PFCCO</t>
  </si>
  <si>
    <t>2025-08-08</t>
  </si>
  <si>
    <t>TXN-7RBQ1D41</t>
  </si>
  <si>
    <t>2025-08-05</t>
  </si>
  <si>
    <t>TXN-P1D710WQSRPS</t>
  </si>
  <si>
    <t>2025-08-03</t>
  </si>
  <si>
    <t>TXN-ZCRLAR0JWT</t>
  </si>
  <si>
    <t>2025-08-04</t>
  </si>
  <si>
    <t>2025-07-30</t>
  </si>
  <si>
    <t>TXN-XKVBHKZPZ1</t>
  </si>
  <si>
    <t>2025-07-29</t>
  </si>
  <si>
    <t>TXN-0L7IRB</t>
  </si>
  <si>
    <t>2025-07-28</t>
  </si>
  <si>
    <t>TXN-SHIOS9RTJXW6</t>
  </si>
  <si>
    <t>2025-07-23</t>
  </si>
  <si>
    <t>TXN-Q7Y35IIH1M</t>
  </si>
  <si>
    <t>2025-07-22</t>
  </si>
  <si>
    <t>TXN-65D4YW</t>
  </si>
  <si>
    <t>2025-07-21</t>
  </si>
  <si>
    <t>TXN-AQSPWF4JNCGB</t>
  </si>
  <si>
    <t>2025-07-19</t>
  </si>
  <si>
    <t>TXN-WUM4</t>
  </si>
  <si>
    <t>2025-07-17</t>
  </si>
  <si>
    <t>TXN-QQMLOXG</t>
  </si>
  <si>
    <t>2025-07-15</t>
  </si>
  <si>
    <t>TXN-XGGZD</t>
  </si>
  <si>
    <t>2025-07-12</t>
  </si>
  <si>
    <t>TXN-E9KY5M8SNN</t>
  </si>
  <si>
    <t>2025-07-08</t>
  </si>
  <si>
    <t>TXN-7ZTY11EOVI</t>
  </si>
  <si>
    <t>2025-07-07</t>
  </si>
  <si>
    <t>TXN-4547VH</t>
  </si>
  <si>
    <t>Utilities: City Gas Company</t>
  </si>
  <si>
    <t>2025-07-06</t>
  </si>
  <si>
    <t>TXN-HWJSZBLF0YI</t>
  </si>
  <si>
    <t>2025-07-03</t>
  </si>
  <si>
    <t>TXN-1D8V</t>
  </si>
  <si>
    <t>TXN-XGDP067LR91BEFN</t>
  </si>
  <si>
    <t>2025-06-29</t>
  </si>
  <si>
    <t>TXN-89X69</t>
  </si>
  <si>
    <t>2025-06-26</t>
  </si>
  <si>
    <t>TXN-0H3Q</t>
  </si>
  <si>
    <t>2025-06-23</t>
  </si>
  <si>
    <t>TXN-PSDZTDTLYPN4D22</t>
  </si>
  <si>
    <t>2025-06-22</t>
  </si>
  <si>
    <t>TXN-M4W7LZCTD9</t>
  </si>
  <si>
    <t>2025-06-17</t>
  </si>
  <si>
    <t>TXN-UAIXVNW99KLG</t>
  </si>
  <si>
    <t>2025-06-15</t>
  </si>
  <si>
    <t>TXN-C546A4SYPEE</t>
  </si>
  <si>
    <t>2025-06-14</t>
  </si>
  <si>
    <t>TXN-4BIQNV0J89WLH</t>
  </si>
  <si>
    <t>2025-06-11</t>
  </si>
  <si>
    <t>TXN-UVNZDPV1OQVSOCG</t>
  </si>
  <si>
    <t>2025-06-10</t>
  </si>
  <si>
    <t>TXN-DHY</t>
  </si>
  <si>
    <t>2025-06-05</t>
  </si>
  <si>
    <t>TXN-B42</t>
  </si>
  <si>
    <t>2025-06-04</t>
  </si>
  <si>
    <t>TXN-4R7MBIUW</t>
  </si>
  <si>
    <t>2025-06-03</t>
  </si>
  <si>
    <t>TXN-RAAYX</t>
  </si>
  <si>
    <t>2025-05-31</t>
  </si>
  <si>
    <t>TXN-8I9TZNBAWYLHR2E</t>
  </si>
  <si>
    <t>2025-05-29</t>
  </si>
  <si>
    <t>TXN-53XYNC261SG</t>
  </si>
  <si>
    <t>2025-05-25</t>
  </si>
  <si>
    <t>TXN-YKXXYFM8VQ</t>
  </si>
  <si>
    <t>2025-05-23</t>
  </si>
  <si>
    <t>TXN-ZJ3FCOGMK45REJ</t>
  </si>
  <si>
    <t>2025-05-22</t>
  </si>
  <si>
    <t>TXN-1R2CH5Q</t>
  </si>
  <si>
    <t>2025-05-21</t>
  </si>
  <si>
    <t>TXN-DAXH</t>
  </si>
  <si>
    <t>2025-05-20</t>
  </si>
  <si>
    <t>TXN-USS8</t>
  </si>
  <si>
    <t>2025-05-13</t>
  </si>
  <si>
    <t>TXN-905YQ6WS7IL6</t>
  </si>
  <si>
    <t>ATM Withdrawal: SNB ATM</t>
  </si>
  <si>
    <t>2025-05-12</t>
  </si>
  <si>
    <t>TXN-MPM4DK8NSL20X5</t>
  </si>
  <si>
    <t>Restaurants: McDonald's KSA</t>
  </si>
  <si>
    <t>2025-05-09</t>
  </si>
  <si>
    <t>TXN-MCK</t>
  </si>
  <si>
    <t>2025-05-07</t>
  </si>
  <si>
    <t>TXN-MTYTXYVQ</t>
  </si>
  <si>
    <t>2025-05-06</t>
  </si>
  <si>
    <t>TXN-QUDMYRFK8</t>
  </si>
  <si>
    <t>2025-05-05</t>
  </si>
  <si>
    <t>TXN-1D1</t>
  </si>
  <si>
    <t>TXN-VSPAF2ONSN61</t>
  </si>
  <si>
    <t>2025-05-02</t>
  </si>
  <si>
    <t>TXN-KBOBUO7</t>
  </si>
  <si>
    <t>Restaurants: Kudu Restaurant</t>
  </si>
  <si>
    <t>2025-04-30</t>
  </si>
  <si>
    <t>TXN-NH7KQ3RRKFF</t>
  </si>
  <si>
    <t>2025-04-29</t>
  </si>
  <si>
    <t>TXN-M1DMMX</t>
  </si>
  <si>
    <t>TXN-TKT</t>
  </si>
  <si>
    <t>2025-04-21</t>
  </si>
  <si>
    <t>TXN-8MGYQ4AD7V0</t>
  </si>
  <si>
    <t>2025-04-20</t>
  </si>
  <si>
    <t>TXN-UV2KC</t>
  </si>
  <si>
    <t>2025-04-18</t>
  </si>
  <si>
    <t>TXN-YW3DBAUMK</t>
  </si>
  <si>
    <t>2025-04-17</t>
  </si>
  <si>
    <t>TXN-D2K2L8CFL</t>
  </si>
  <si>
    <t>2025-04-16</t>
  </si>
  <si>
    <t>TXN-HQJ</t>
  </si>
  <si>
    <t>2025-04-15</t>
  </si>
  <si>
    <t>TXN-HKGXSKKHX</t>
  </si>
  <si>
    <t>2025-04-12</t>
  </si>
  <si>
    <t>TXN-2RK</t>
  </si>
  <si>
    <t>2025-04-09</t>
  </si>
  <si>
    <t>TXN-CJ801T4QGC590</t>
  </si>
  <si>
    <t>2025-04-04</t>
  </si>
  <si>
    <t>TXN-VQMC6NP9IS9</t>
  </si>
  <si>
    <t>2025-04-02</t>
  </si>
  <si>
    <t>TXN-NEAESY11SX</t>
  </si>
  <si>
    <t>2025-03-30</t>
  </si>
  <si>
    <t>TXN-8Q2N9ECDK3STP3C</t>
  </si>
  <si>
    <t>Healthcare: Al-Hammadi Hospital</t>
  </si>
  <si>
    <t>2025-03-27</t>
  </si>
  <si>
    <t>TXN-HER2ZVH06XZBIH</t>
  </si>
  <si>
    <t>2025-03-26</t>
  </si>
  <si>
    <t>TXN-9V3T48MX8</t>
  </si>
  <si>
    <t>TXN-X9LP3ZDKYLVT7</t>
  </si>
  <si>
    <t>2025-03-24</t>
  </si>
  <si>
    <t>TXN-L3RO4C</t>
  </si>
  <si>
    <t>2025-03-22</t>
  </si>
  <si>
    <t>TXN-QGOK4I8MXYJCC6V</t>
  </si>
  <si>
    <t>2025-03-19</t>
  </si>
  <si>
    <t>TXN-BW8X0B7XQBYQ8DJ</t>
  </si>
  <si>
    <t>2025-03-18</t>
  </si>
  <si>
    <t>TXN-IX227VXMULO8G</t>
  </si>
  <si>
    <t>2025-03-12</t>
  </si>
  <si>
    <t>TXN-6N3Y5O2N928QBK</t>
  </si>
  <si>
    <t>2025-03-11</t>
  </si>
  <si>
    <t>TXN-E38IYMO</t>
  </si>
  <si>
    <t>2025-03-07</t>
  </si>
  <si>
    <t>TXN-XDEB</t>
  </si>
  <si>
    <t>2025-03-06</t>
  </si>
  <si>
    <t>TXN-1XJW7TULWMX5</t>
  </si>
  <si>
    <t>2025-03-05</t>
  </si>
  <si>
    <t>TXN-7Z6C</t>
  </si>
  <si>
    <t>2025-03-03</t>
  </si>
  <si>
    <t>TXN-RUMVWU7FETE5JT</t>
  </si>
  <si>
    <t>Net Total:</t>
  </si>
  <si>
    <t>Total Credits (Income):</t>
  </si>
  <si>
    <t>Total Debits (Spending):</t>
  </si>
  <si>
    <t>Transaction Count:</t>
  </si>
  <si>
    <t>{</t>
  </si>
  <si>
    <t>  "psuId": "AbrarCRA2",</t>
  </si>
  <si>
    <t>    "reportId": "2db84467-7a75-4ee4-a983-223179160645",</t>
  </si>
  <si>
    <t>  "accountLinkId": "1442",</t>
  </si>
  <si>
    <t>    "generatedAt": "2026-05-14T07:41:29.910169805",</t>
  </si>
  <si>
    <t>  "accountId": "ACC-146",</t>
  </si>
  <si>
    <t>    "psuId": "AbrarCRA2",</t>
  </si>
  <si>
    <t>  "customerType": "RETAIL",</t>
  </si>
  <si>
    <t>    "accountLinkId": "1442",</t>
  </si>
  <si>
    <t>  "purpose": "PERSONAL_FINANCE",</t>
  </si>
  <si>
    <t>    "accountId": "ACC-146",</t>
  </si>
  <si>
    <t>  "requestedAmount": 50000,</t>
  </si>
  <si>
    <t>    "customerType": "RETAIL",</t>
  </si>
  <si>
    <t>  "loanTermMonths": 36,</t>
  </si>
  <si>
    <t>    "totalScore": 560,</t>
  </si>
  <si>
    <t>  "annualInterestRate": 3,</t>
  </si>
  <si>
    <t>    "maxPossibleScore": 1000,</t>
  </si>
  <si>
    <t>  "age": 32,</t>
  </si>
  <si>
    <t>    "ratingClass": "BB",</t>
  </si>
  <si>
    <t>  "riskFactors": [</t>
  </si>
  <si>
    <t>    "ratingClassName": "Fair",</t>
  </si>
  <si>
    <t>    {</t>
  </si>
  <si>
    <t>    "ratingDescription": "Speculative creditworthiness with elevated risk",</t>
  </si>
  <si>
    <t>      "factorType": "AGE",</t>
  </si>
  <si>
    <t>    "approvalRecommendation": "Moderate",</t>
  </si>
  <si>
    <t>      "weight": 150,</t>
  </si>
  <si>
    <t>    "factorScores": [</t>
  </si>
  <si>
    <t>      "ranges": [</t>
  </si>
  <si>
    <t>        {</t>
  </si>
  <si>
    <t>            "factorType": "AGE",</t>
  </si>
  <si>
    <t>          "minValue": 0,</t>
  </si>
  <si>
    <t>            "factorName": "Age",</t>
  </si>
  <si>
    <t>          "maxValue": 0.2,</t>
  </si>
  <si>
    <t>            "rawValue": 32,</t>
  </si>
  <si>
    <t>          "points": 90,</t>
  </si>
  <si>
    <t>            "formattedValue": "32",</t>
  </si>
  <si>
    <t>          "label": "Excellent"</t>
  </si>
  <si>
    <t>            "score": 0,</t>
  </si>
  <si>
    <t>        }</t>
  </si>
  <si>
    <t>            "maxScore": 150,</t>
  </si>
  <si>
    <t>      ],</t>
  </si>
  <si>
    <t>            "percentage": 0.0,</t>
  </si>
  <si>
    <t>      "enabled": true</t>
  </si>
  <si>
    <t>            "scoreLabel": "Very Poor",</t>
  </si>
  <si>
    <t>    }</t>
  </si>
  <si>
    <t>            "industryStandard": null,</t>
  </si>
  <si>
    <t>  ]</t>
  </si>
  <si>
    <t>            "industryStandardLabel": null,</t>
  </si>
  <si>
    <t>}</t>
  </si>
  <si>
    <t>            "dataAvailable": true,</t>
  </si>
  <si>
    <t>            "dataUnavailableReason": null</t>
  </si>
  <si>
    <t>        },</t>
  </si>
  <si>
    <t>            "factorType": "INCOME",</t>
  </si>
  <si>
    <t>            "factorName": "Income",</t>
  </si>
  <si>
    <t>            "rawValue": 9500.00,</t>
  </si>
  <si>
    <t>            "formattedValue": "9,500 SAR",</t>
  </si>
  <si>
    <t>            "score": 50,</t>
  </si>
  <si>
    <t>            "percentage": 33.33333333333333,</t>
  </si>
  <si>
    <t>            "scoreLabel": "Poor",</t>
  </si>
  <si>
    <t>            "industryStandard": 10000,</t>
  </si>
  <si>
    <t>            "industryStandardLabel": "Median: 10,000 SAR",</t>
  </si>
  <si>
    <t>            "factorType": "LOAN_PAYMENT",</t>
  </si>
  <si>
    <t>            "factorName": "Loan Payment",</t>
  </si>
  <si>
    <t>            "rawValue": 1200.00,</t>
  </si>
  <si>
    <t>            "formattedValue": "1,200 SAR",</t>
  </si>
  <si>
    <t>            "score": 150,</t>
  </si>
  <si>
    <t>            "percentage": 100.0,</t>
  </si>
  <si>
    <t>            "scoreLabel": "Excellent",</t>
  </si>
  <si>
    <t>            "factorType": "SURPLUS_RATIO",</t>
  </si>
  <si>
    <t>            "factorName": "Surplus Ratio",</t>
  </si>
  <si>
    <t>            "rawValue": 12.8100,</t>
  </si>
  <si>
    <t>            "formattedValue": "12.8%",</t>
  </si>
  <si>
    <t>            "score": 100,</t>
  </si>
  <si>
    <t>            "percentage": 66.66666666666666,</t>
  </si>
  <si>
    <t>            "scoreLabel": "Good",</t>
  </si>
  <si>
    <t>            "industryStandard": 20,</t>
  </si>
  <si>
    <t>            "industryStandardLabel": "Healthy: &gt;20%",</t>
  </si>
  <si>
    <t>            "factorType": "SALARY_CATEGORY",</t>
  </si>
  <si>
    <t>            "factorName": "Salary Category",</t>
  </si>
  <si>
    <t>            "score": 90,</t>
  </si>
  <si>
    <t>            "percentage": 60.0,</t>
  </si>
  <si>
    <t>            "factorType": "CASH_FLOW",</t>
  </si>
  <si>
    <t>            "factorName": "Cash Flow",</t>
  </si>
  <si>
    <t>            "rawValue": 2358.33,</t>
  </si>
  <si>
    <t>            "formattedValue": "2,358 SAR",</t>
  </si>
  <si>
    <t>            "factorType": "DEBT_BURDEN_RATIO",</t>
  </si>
  <si>
    <t>            "factorName": "Debt Burden Ratio",</t>
  </si>
  <si>
    <t>            "rawValue": 12.6300,</t>
  </si>
  <si>
    <t>            "formattedValue": "12.6%",</t>
  </si>
  <si>
    <t>            "score": 70,</t>
  </si>
  <si>
    <t>            "maxScore": 100,</t>
  </si>
  <si>
    <t>            "percentage": 70.0,</t>
  </si>
  <si>
    <t>            "industryStandard": 30,</t>
  </si>
  <si>
    <t>            "industryStandardLabel": "Healthy: &lt;30%",</t>
  </si>
  <si>
    <t>    ],</t>
  </si>
  <si>
    <t>    "financialMetrics": {</t>
  </si>
  <si>
    <t>        "age": 32,</t>
  </si>
  <si>
    <t>        "averageMonthlyIncome": 9458.33,</t>
  </si>
  <si>
    <t>        "medianMonthlyIncome": 9500.00,</t>
  </si>
  <si>
    <t>        "lastMonthIncome": 9500.00,</t>
  </si>
  <si>
    <t>        "medianSalaryIncome": 9500.00,</t>
  </si>
  <si>
    <t>        "medianRentalIncome": 0.00,</t>
  </si>
  <si>
    <t>        "medianOtherIncome": 0.00,</t>
  </si>
  <si>
    <t>        "averageMonthlyExpenses": 7083.33,</t>
  </si>
  <si>
    <t>        "lastMonthExpenses": 7100.00,</t>
  </si>
  <si>
    <t>        "expenseCategories": [</t>
  </si>
  <si>
    <t>            {</t>
  </si>
  <si>
    <t>                "category": "Living Expenses",</t>
  </si>
  <si>
    <t>                "amount": 37940.00,</t>
  </si>
  <si>
    <t>                "percentage": 38.09</t>
  </si>
  <si>
    <t>            },</t>
  </si>
  <si>
    <t>                "category": "Loan Repayments",</t>
  </si>
  <si>
    <t>                "amount": 14400.00,</t>
  </si>
  <si>
    <t>                "percentage": 14.46</t>
  </si>
  <si>
    <t>                "category": "Utilities",</t>
  </si>
  <si>
    <t>                "amount": 7982.00,</t>
  </si>
  <si>
    <t>                "percentage": 8.01</t>
  </si>
  <si>
    <t>                "category": "Others",</t>
  </si>
  <si>
    <t>                "amount": 39278.00,</t>
  </si>
  <si>
    <t>                "percentage": 39.44</t>
  </si>
  <si>
    <t>            }</t>
  </si>
  <si>
    <t>        ],</t>
  </si>
  <si>
    <t>        "averageMonthlySurplus": 1175.00,</t>
  </si>
  <si>
    <t>        "lastMonthSurplus": 1200.00,</t>
  </si>
  <si>
    <t>        "surplusRatio": 0.1281,</t>
  </si>
  <si>
    <t>        "totalLoanPayments": 14400.00,</t>
  </si>
  <si>
    <t>        "lastMonthLoanPayment": 1200.00,</t>
  </si>
  <si>
    <t>        "totalMortgagePayments": 0.00,</t>
  </si>
  <si>
    <t>        "lastMonthMortgagePayment": 0.00,</t>
  </si>
  <si>
    <t>        "totalDebtPayments": 14400.00,</t>
  </si>
  <si>
    <t>        "lastMonthDebtPayment": 1200.00,</t>
  </si>
  <si>
    <t>        "debtBurdenRatio": 0.1263,</t>
  </si>
  <si>
    <t>        "cashFlow": 2358.33,</t>
  </si>
  <si>
    <t>        "salaryRegularity": 1.00,</t>
  </si>
  <si>
    <t>        "salaryOccurrences": 12,</t>
  </si>
  <si>
    <t>        "averageSalaryAmount": 9458.33,</t>
  </si>
  <si>
    <t>        "salaryDayVariance": 2,</t>
  </si>
  <si>
    <t>        "savingsRate": 0.12,</t>
  </si>
  <si>
    <t>        "emergencyFundMonths": 1.99,</t>
  </si>
  <si>
    <t>        "averageBalance6M": 0.00,</t>
  </si>
  <si>
    <t>        "negativeBalanceDays": 0,</t>
  </si>
  <si>
    <t>        "incomeVolatility": 1.95,</t>
  </si>
  <si>
    <t>        "expenseVolatility": 0.91,</t>
  </si>
  <si>
    <t>        "lastMonthIncomeChange": 0.44,</t>
  </si>
  <si>
    <t>        "lastMonthExpenseChange": 0.24,</t>
  </si>
  <si>
    <t>        "lastMonthTransactionCount": 13,</t>
  </si>
  <si>
    <t>        "transactionFrequencyChange": -5.45,</t>
  </si>
  <si>
    <t>        "behaviorChangeDetected": false,</t>
  </si>
  <si>
    <t>        "detectedChanges": [],</t>
  </si>
  <si>
    <t>        "transactionCount": 165,</t>
  </si>
  <si>
    <t>        "creditTransactionCount": 12,</t>
  </si>
  <si>
    <t>        "debitTransactionCount": 153,</t>
  </si>
  <si>
    <t>        "dataStartDate": "2025-03-03",</t>
  </si>
  <si>
    <t>        "dataEndDate": "2026-02-28",</t>
  </si>
  <si>
    <t>        "monthsOfData": 12,</t>
  </si>
  <si>
    <t>        "monthlyBreakdowns": [</t>
  </si>
  <si>
    <t>                "month": "2026-02",</t>
  </si>
  <si>
    <t>                "income": 9500.0000,</t>
  </si>
  <si>
    <t>                "expenses": 7100.0000,</t>
  </si>
  <si>
    <t>                "loanPayment": 1200.0000,</t>
  </si>
  <si>
    <t>                "surplus": 1200.0000,</t>
  </si>
  <si>
    <t>                "revenue": null,</t>
  </si>
  <si>
    <t>                "operatingExpenses": null</t>
  </si>
  <si>
    <t>                "month": "2026-01",</t>
  </si>
  <si>
    <t>                "income": 9300.0000,</t>
  </si>
  <si>
    <t>                "expenses": 7000.0000,</t>
  </si>
  <si>
    <t>                "surplus": 1100.0000,</t>
  </si>
  <si>
    <t>                "month": "2025-12",</t>
  </si>
  <si>
    <t>                "income": 9700.0000,</t>
  </si>
  <si>
    <t>                "expenses": 7150.0000,</t>
  </si>
  <si>
    <t>                "surplus": 1350.0000,</t>
  </si>
  <si>
    <t>                "month": "2025-11",</t>
  </si>
  <si>
    <t>                "income": 9400.0000,</t>
  </si>
  <si>
    <t>                "month": "2025-10",</t>
  </si>
  <si>
    <t>                "income": 9600.0000,</t>
  </si>
  <si>
    <t>                "expenses": 7050.0000,</t>
  </si>
  <si>
    <t>                "month": "2025-09",</t>
  </si>
  <si>
    <t>                "expenses": 7200.0000,</t>
  </si>
  <si>
    <t>                "surplus": 900.0000,</t>
  </si>
  <si>
    <t>                "month": "2025-08",</t>
  </si>
  <si>
    <t>                "month": "2025-07",</t>
  </si>
  <si>
    <t>                "income": 9200.0000,</t>
  </si>
  <si>
    <t>                "surplus": 950.0000,</t>
  </si>
  <si>
    <t>                "month": "2025-06",</t>
  </si>
  <si>
    <t>                "income": 9800.0000,</t>
  </si>
  <si>
    <t>                "surplus": 1400.0000,</t>
  </si>
  <si>
    <t>                "month": "2025-05",</t>
  </si>
  <si>
    <t>                "month": "2025-04",</t>
  </si>
  <si>
    <t>                "surplus": 1250.0000,</t>
  </si>
  <si>
    <t>                "month": "2025-03",</t>
  </si>
  <si>
    <t>        ]</t>
  </si>
  <si>
    <t>    },</t>
  </si>
  <si>
    <t>    "customerProfile": {</t>
  </si>
  <si>
    <t>        "fullName": "CorpTreasury",</t>
  </si>
  <si>
    <t>        "nationalId": "AbrarCRA2",</t>
  </si>
  <si>
    <t>        "analysisStartDate": "03 Mar 2025",</t>
  </si>
  <si>
    <t>        "analysisEndDate": "28 Feb 2026",</t>
  </si>
  <si>
    <t>        "totalTransactions": 165,</t>
  </si>
  <si>
    <t>        "verifiedTransactions": 165,</t>
  </si>
  <si>
    <t>        "currentBalance": 42815.0000,</t>
  </si>
  <si>
    <t>        "accountNumber": "SA7430547028519654072432",</t>
  </si>
  <si>
    <t>        "bankName": "SAIB"</t>
  </si>
  <si>
    <t>    "recommendation": {</t>
  </si>
  <si>
    <t>        "decision": "Moderate",</t>
  </si>
  <si>
    <t>        "decisionReason": "Speculative creditworthiness with elevated risk",</t>
  </si>
  <si>
    <t>        "recommendedLimit": null,</t>
  </si>
  <si>
    <t>        "maxAffordablePayment": 707,</t>
  </si>
  <si>
    <t>        "strengths": [</t>
  </si>
  <si>
    <t>            "Loan Payment: Excellent",</t>
  </si>
  <si>
    <t>            "Debt Burden Ratio: Good"</t>
  </si>
  <si>
    <t>        "weaknesses": [</t>
  </si>
  <si>
    <t>            "Age: Very Poor",</t>
  </si>
  <si>
    <t>            "Income: Poor"</t>
  </si>
  <si>
    <t>        "recommendations": []</t>
  </si>
  <si>
    <t>    "purposeAssessment": {</t>
  </si>
  <si>
    <t>        "purpose": "PERSONAL_FINANCE",</t>
  </si>
  <si>
    <t>        "purposeDisplayName": "Personal Finance",</t>
  </si>
  <si>
    <t>        "requestedAmount": 50000,</t>
  </si>
  <si>
    <t>        "isAffordable": true,</t>
  </si>
  <si>
    <t>        "estimatedMonthlyPayment": 1454.06,</t>
  </si>
  <si>
    <t>        "debtToIncomeAfterLoan": "27.9%",</t>
  </si>
  <si>
    <t>        "affordabilityAssessment": "Potentially affordable but credit score suggests caution",</t>
  </si>
  <si>
    <t>        "riskLevel": "Low"</t>
  </si>
  <si>
    <t>    "metadata": {</t>
  </si>
  <si>
    <t>        "factorsEvaluated": 7,</t>
  </si>
  <si>
    <t>        "factorsSkipped": 0,</t>
  </si>
  <si>
    <t>        "skippedFactorReasons": [],</t>
  </si>
  <si>
    <t>        "weightsRedistributed": false,</t>
  </si>
  <si>
    <t>        "dataQualityNote": "Sufficient data for reliable analysis."</t>
  </si>
  <si>
    <t>TXN-IWQ2UNNGCL82</t>
  </si>
  <si>
    <t>ACC-148</t>
  </si>
  <si>
    <t>2026-03-01</t>
  </si>
  <si>
    <t>2026-02-27</t>
  </si>
  <si>
    <t>TXN-W6KFQRS</t>
  </si>
  <si>
    <t>TXN-1MBQV50</t>
  </si>
  <si>
    <t>Salary - Retail Chain (Hourly) / راتب</t>
  </si>
  <si>
    <t>TXN-Z2EDPHZ1DY</t>
  </si>
  <si>
    <t>2026-02-19</t>
  </si>
  <si>
    <t>TXN-493EMOEVZ</t>
  </si>
  <si>
    <t>TXN-0SQWUXPWJ5JNCO</t>
  </si>
  <si>
    <t>TXN-SIY9NW</t>
  </si>
  <si>
    <t>2026-02-11</t>
  </si>
  <si>
    <t>2026-02-08</t>
  </si>
  <si>
    <t>TXN-HRX</t>
  </si>
  <si>
    <t>2026-02-07</t>
  </si>
  <si>
    <t>TXN-T15TNFUB9YO6L</t>
  </si>
  <si>
    <t>TXN-O9PKE</t>
  </si>
  <si>
    <t>Personal Loan (BNPL) Payment - tamara - BNPL</t>
  </si>
  <si>
    <t>TXN-PL9JNI4</t>
  </si>
  <si>
    <t>TXN-DXFULU8N</t>
  </si>
  <si>
    <t>2026-01-26</t>
  </si>
  <si>
    <t>TXN-PCSEI3L8</t>
  </si>
  <si>
    <t>2026-01-24</t>
  </si>
  <si>
    <t>TXN-AG3DTWXAJMP</t>
  </si>
  <si>
    <t>TXN-A959JX8AZP48</t>
  </si>
  <si>
    <t>ATM Withdrawal: Riyad Bank ATM</t>
  </si>
  <si>
    <t>TXN-D39KPP7A1N6QG</t>
  </si>
  <si>
    <t>TXN-J1VLWHYZFWS1UL</t>
  </si>
  <si>
    <t>TXN-SA166MP</t>
  </si>
  <si>
    <t>2025-12-30</t>
  </si>
  <si>
    <t>TXN-4IB9SXQ3A0UZC</t>
  </si>
  <si>
    <t>2025-12-27</t>
  </si>
  <si>
    <t>TXN-3LIBP8</t>
  </si>
  <si>
    <t>TXN-59JSMWBFC</t>
  </si>
  <si>
    <t>2025-12-24</t>
  </si>
  <si>
    <t>2025-12-22</t>
  </si>
  <si>
    <t>TXN-F417SCFEBSWZ7JL</t>
  </si>
  <si>
    <t>TXN-Z7WI3OPB0TGZXGP</t>
  </si>
  <si>
    <t>2025-12-14</t>
  </si>
  <si>
    <t>TXN-TT2ZRTMWQ</t>
  </si>
  <si>
    <t>TXN-QHC34LP9E7F9SE</t>
  </si>
  <si>
    <t>TXN-GTBRY8PH2</t>
  </si>
  <si>
    <t>TXN-S6JEYCTB</t>
  </si>
  <si>
    <t>2025-11-27</t>
  </si>
  <si>
    <t>TXN-YVKQE7B39R5</t>
  </si>
  <si>
    <t>TXN-ABFREE9</t>
  </si>
  <si>
    <t>2025-11-23</t>
  </si>
  <si>
    <t>TXN-YZDSZ6M6EYVV</t>
  </si>
  <si>
    <t>2025-11-20</t>
  </si>
  <si>
    <t>TXN-HAQBC</t>
  </si>
  <si>
    <t>2025-11-19</t>
  </si>
  <si>
    <t>TXN-GKB</t>
  </si>
  <si>
    <t>2025-11-18</t>
  </si>
  <si>
    <t>TXN-5R9MMDZZDXKSLQ</t>
  </si>
  <si>
    <t>TXN-AUFYC</t>
  </si>
  <si>
    <t>TXN-AH50PF19KD3GN</t>
  </si>
  <si>
    <t>2025-10-30</t>
  </si>
  <si>
    <t>TXN-N6F</t>
  </si>
  <si>
    <t>2025-10-29</t>
  </si>
  <si>
    <t>TXN-AVZH57</t>
  </si>
  <si>
    <t>TXN-EVGWV6RNE9E</t>
  </si>
  <si>
    <t>TXN-WU28US</t>
  </si>
  <si>
    <t>TXN-D4YT95</t>
  </si>
  <si>
    <t>2025-10-14</t>
  </si>
  <si>
    <t>TXN-P3X6ZIFADI7ISF</t>
  </si>
  <si>
    <t>2025-10-10</t>
  </si>
  <si>
    <t>TXN-C7WCQH</t>
  </si>
  <si>
    <t>2025-10-08</t>
  </si>
  <si>
    <t>TXN-PPN0SV7YTICIE7F</t>
  </si>
  <si>
    <t>TXN-91Z</t>
  </si>
  <si>
    <t>TXN-7PLG</t>
  </si>
  <si>
    <t>TXN-6ZDMLLDE6DN</t>
  </si>
  <si>
    <t>TXN-2L053CDNT74</t>
  </si>
  <si>
    <t>2025-09-17</t>
  </si>
  <si>
    <t>TXN-3RQ1J</t>
  </si>
  <si>
    <t>2025-09-15</t>
  </si>
  <si>
    <t>TXN-T8OY</t>
  </si>
  <si>
    <t>TXN-3T20YGB</t>
  </si>
  <si>
    <t>2025-09-05</t>
  </si>
  <si>
    <t>TXN-SS1DI</t>
  </si>
  <si>
    <t>TXN-NLXXEIWUC</t>
  </si>
  <si>
    <t>2025-09-02</t>
  </si>
  <si>
    <t>TXN-KY4Y973KUZBH2</t>
  </si>
  <si>
    <t>    "reportId": "4f8021db-cd84-4352-bcdf-2af3fbd30a3c",</t>
  </si>
  <si>
    <t>    "generatedAt": "2026-05-14T07:43:51.353232227",</t>
  </si>
  <si>
    <t>  "accountId": "ACC-148",</t>
  </si>
  <si>
    <t>    "accountId": "ACC-148",</t>
  </si>
  <si>
    <t>    "totalScore": 320,</t>
  </si>
  <si>
    <t>    "ratingClass": "CCC",</t>
  </si>
  <si>
    <t>    "ratingClassName": "Weak",</t>
  </si>
  <si>
    <t>    "ratingDescription": "Substantial risk, vulnerable to default",</t>
  </si>
  <si>
    <t>    "approvalRecommendation": "Low",</t>
  </si>
  <si>
    <t>            "rawValue": 2900.00,</t>
  </si>
  <si>
    <t>            "formattedValue": "2,900 SAR",</t>
  </si>
  <si>
    <t>            "rawValue": 0,</t>
  </si>
  <si>
    <t>            "formattedValue": "0 SAR",</t>
  </si>
  <si>
    <t>            "rawValue": 7.0000,</t>
  </si>
  <si>
    <t>            "formattedValue": "7.0%",</t>
  </si>
  <si>
    <t>            "score": 30,</t>
  </si>
  <si>
    <t>            "percentage": 20.0,</t>
  </si>
  <si>
    <t>            "rawValue": 217.57,</t>
  </si>
  <si>
    <t>            "formattedValue": "218 SAR",</t>
  </si>
  <si>
    <t>            "rawValue": 29.5600,</t>
  </si>
  <si>
    <t>            "formattedValue": "29.6%",</t>
  </si>
  <si>
    <t>            "score": 40,</t>
  </si>
  <si>
    <t>            "percentage": 40.0,</t>
  </si>
  <si>
    <t>            "scoreLabel": "Fair",</t>
  </si>
  <si>
    <t>        "averageMonthlyIncome": 2585.71,</t>
  </si>
  <si>
    <t>        "medianMonthlyIncome": 2900.00,</t>
  </si>
  <si>
    <t>        "lastMonthIncome": 0.00,</t>
  </si>
  <si>
    <t>        "medianSalaryIncome": 2900.00,</t>
  </si>
  <si>
    <t>        "averageMonthlyExpenses": 1840.00,</t>
  </si>
  <si>
    <t>        "lastMonthExpenses": 428.00,</t>
  </si>
  <si>
    <t>                "amount": 6000.00,</t>
  </si>
  <si>
    <t>                "percentage": 26.58</t>
  </si>
  <si>
    <t>                "amount": 5218.00,</t>
  </si>
  <si>
    <t>                "percentage": 23.11</t>
  </si>
  <si>
    <t>                "amount": 3441.00,</t>
  </si>
  <si>
    <t>                "percentage": 15.24</t>
  </si>
  <si>
    <t>                "amount": 7918.00,</t>
  </si>
  <si>
    <t>                "percentage": 35.07</t>
  </si>
  <si>
    <t>        "averageMonthlySurplus": -111.43,</t>
  </si>
  <si>
    <t>        "lastMonthSurplus": -428.00,</t>
  </si>
  <si>
    <t>        "surplusRatio": 0.0700,</t>
  </si>
  <si>
    <t>        "totalLoanPayments": 6000.00,</t>
  </si>
  <si>
    <t>        "lastMonthLoanPayment": 0.00,</t>
  </si>
  <si>
    <t>        "totalDebtPayments": 6000.00,</t>
  </si>
  <si>
    <t>        "lastMonthDebtPayment": 0.00,</t>
  </si>
  <si>
    <t>        "debtBurdenRatio": 0.2956,</t>
  </si>
  <si>
    <t>        "cashFlow": 217.57,</t>
  </si>
  <si>
    <t>        "salaryOccurrences": 6,</t>
  </si>
  <si>
    <t>        "averageSalaryAmount": 3016.67,</t>
  </si>
  <si>
    <t>        "savingsRate": 0.00,</t>
  </si>
  <si>
    <t>        "emergencyFundMonths": 0.00,</t>
  </si>
  <si>
    <t>        "incomeVolatility": 41.21,</t>
  </si>
  <si>
    <t>        "expenseVolatility": 34.79,</t>
  </si>
  <si>
    <t>        "lastMonthIncomeChange": -100.00,</t>
  </si>
  <si>
    <t>        "lastMonthExpenseChange": -76.74,</t>
  </si>
  <si>
    <t>        "lastMonthTransactionCount": 1,</t>
  </si>
  <si>
    <t>        "transactionFrequencyChange": -86.79,</t>
  </si>
  <si>
    <t>        "behaviorChangeDetected": true,</t>
  </si>
  <si>
    <t>        "detectedChanges": [</t>
  </si>
  <si>
    <t>                "changeType": "INCOME_DROP",</t>
  </si>
  <si>
    <t>                "metric": "lastMonthIncomeChange",</t>
  </si>
  <si>
    <t>                "currentValue": 0,</t>
  </si>
  <si>
    <t>                "expectedValue": 2585.71,</t>
  </si>
  <si>
    <t>                "changePercent": -100.0000,</t>
  </si>
  <si>
    <t>                "severity": "CRITICAL",</t>
  </si>
  <si>
    <t>                "industryStandard": "Monthly income should remain within ±20% of average for stability",</t>
  </si>
  <si>
    <t>                "description": "Last month's income was 100.0% below average",</t>
  </si>
  <si>
    <t>                "recommendation": "Investigate income reduction. May indicate job change, reduced hours, or payment delays."</t>
  </si>
  <si>
    <t>                "changeType": "EXPENSE_DROP",</t>
  </si>
  <si>
    <t>                "metric": "lastMonthExpenseChange",</t>
  </si>
  <si>
    <t>                "currentValue": 428.0000,</t>
  </si>
  <si>
    <t>                "expectedValue": 1840.00,</t>
  </si>
  <si>
    <t>                "changePercent": -76.7400,</t>
  </si>
  <si>
    <t>                "industryStandard": "Monthly expenses should remain within ±25% of average for financial health",</t>
  </si>
  <si>
    <t>                "description": "Last month's expenses were 76.7% below average",</t>
  </si>
  <si>
    <t>                "recommendation": "Positive indicator if sustainable. Verify not due to missed payments."</t>
  </si>
  <si>
    <t>                "changeType": "TRANSACTION_DROP",</t>
  </si>
  <si>
    <t>                "metric": "transactionFrequencyChange",</t>
  </si>
  <si>
    <t>                "currentValue": 1,</t>
  </si>
  <si>
    <t>                "expectedValue": 7.571428571428571,</t>
  </si>
  <si>
    <t>                "changePercent": -86.79245283018868,</t>
  </si>
  <si>
    <t>                "industryStandard": "Transaction frequency should remain within ±30% of average pattern",</t>
  </si>
  <si>
    <t>                "description": "Transaction count decreased by 86.8% vs average",</t>
  </si>
  <si>
    <t>                "recommendation": "May indicate reduced financial activity, account dormancy, or consolidation of payments."</t>
  </si>
  <si>
    <t>                "changeType": "HIGH_INCOME_VOLATILITY",</t>
  </si>
  <si>
    <t>                "metric": "incomeVolatility",</t>
  </si>
  <si>
    <t>                "currentValue": 41.2100,</t>
  </si>
  <si>
    <t>                "expectedValue": 15,</t>
  </si>
  <si>
    <t>                "changePercent": 41.2100,</t>
  </si>
  <si>
    <t>                "severity": "MEDIUM",</t>
  </si>
  <si>
    <t>                "industryStandard": "Income volatility (CV) should be below 15% for stable employment",</t>
  </si>
  <si>
    <t>                "description": "Income varies by 41.2% month-to-month",</t>
  </si>
  <si>
    <t>                "recommendation": "High income variability suggests irregular income sources. Consider income verification."</t>
  </si>
  <si>
    <t>        "transactionCount": 53,</t>
  </si>
  <si>
    <t>        "creditTransactionCount": 6,</t>
  </si>
  <si>
    <t>        "debitTransactionCount": 47,</t>
  </si>
  <si>
    <t>        "dataStartDate": "2025-09-02",</t>
  </si>
  <si>
    <t>        "dataEndDate": "2026-03-01",</t>
  </si>
  <si>
    <t>        "monthsOfData": 7,</t>
  </si>
  <si>
    <t>                "month": "2026-03",</t>
  </si>
  <si>
    <t>                "income": 0,</t>
  </si>
  <si>
    <t>                "expenses": 428.0000,</t>
  </si>
  <si>
    <t>                "loanPayment": 0,</t>
  </si>
  <si>
    <t>                "surplus": -428.0000,</t>
  </si>
  <si>
    <t>                "income": 2900.0000,</t>
  </si>
  <si>
    <t>                "expenses": 2192.0000,</t>
  </si>
  <si>
    <t>                "loanPayment": 1000.0000,</t>
  </si>
  <si>
    <t>                "surplus": -292.0000,</t>
  </si>
  <si>
    <t>                "income": 3200.0000,</t>
  </si>
  <si>
    <t>                "expenses": 2900.0000,</t>
  </si>
  <si>
    <t>                "surplus": -700.0000,</t>
  </si>
  <si>
    <t>                "income": 3100.0000,</t>
  </si>
  <si>
    <t>                "expenses": 2800.0000,</t>
  </si>
  <si>
    <t>                "income": 2800.0000,</t>
  </si>
  <si>
    <t>                "expenses": 2600.0000,</t>
  </si>
  <si>
    <t>                "surplus": -800.0000,</t>
  </si>
  <si>
    <t>                "expenses": 2757.0000,</t>
  </si>
  <si>
    <t>                "surplus": -857.0000,</t>
  </si>
  <si>
    <t>        "fullName": "Vendors",</t>
  </si>
  <si>
    <t>        "analysisStartDate": "02 Sep 2025",</t>
  </si>
  <si>
    <t>        "analysisEndDate": "01 Mar 2026",</t>
  </si>
  <si>
    <t>        "totalTransactions": 53,</t>
  </si>
  <si>
    <t>        "verifiedTransactions": 53,</t>
  </si>
  <si>
    <t>        "currentBalance": 18873.0000,</t>
  </si>
  <si>
    <t>        "accountNumber": "SA9056311537134749970749",</t>
  </si>
  <si>
    <t>        "decision": "Low",</t>
  </si>
  <si>
    <t>        "decisionReason": "Substantial risk, vulnerable to default",</t>
  </si>
  <si>
    <t>        "maxAffordablePayment": 65,</t>
  </si>
  <si>
    <t>            "Loan Payment: Excellent"</t>
  </si>
  <si>
    <t>            "Income: Very Poor",</t>
  </si>
  <si>
    <t>            "Surplus Ratio: Poor",</t>
  </si>
  <si>
    <t>            "Salary Category: Poor",</t>
  </si>
  <si>
    <t>            "Cash Flow: Poor"</t>
  </si>
  <si>
    <t>        "recommendations": [</t>
  </si>
  <si>
    <t>            "Consider reducing monthly expenses to improve surplus ratio"</t>
  </si>
  <si>
    <t>        "isAffordable": false,</t>
  </si>
  <si>
    <t>        "debtToIncomeAfterLoan": "50.1%",</t>
  </si>
  <si>
    <t>        "affordabilityAssessment": "May strain finances; consider lower amount",</t>
  </si>
  <si>
    <t>        "riskLevel": "High"</t>
  </si>
  <si>
    <t>TXN-OINB1</t>
  </si>
  <si>
    <t>ACC-149</t>
  </si>
  <si>
    <t>Education: GEMS Education KSA</t>
  </si>
  <si>
    <t>TXN-UY5205Z4LQ</t>
  </si>
  <si>
    <t>Salary - SABIC / راتب</t>
  </si>
  <si>
    <t>TXN-PEBYTB9O8G</t>
  </si>
  <si>
    <t>TXN-A04J3JUVY1</t>
  </si>
  <si>
    <t>2026-02-23</t>
  </si>
  <si>
    <t>TXN-HP3L9PR5VSLAM1</t>
  </si>
  <si>
    <t>TXN-T7GX</t>
  </si>
  <si>
    <t>TXN-F91O7IUD</t>
  </si>
  <si>
    <t>TXN-RIVYWD</t>
  </si>
  <si>
    <t>TXN-60W1</t>
  </si>
  <si>
    <t>Entertainment: Muvi Cinemas</t>
  </si>
  <si>
    <t>TXN-T74IX7GG3A</t>
  </si>
  <si>
    <t>TXN-0PAY1M0VT2J4P3U</t>
  </si>
  <si>
    <t>2026-02-12</t>
  </si>
  <si>
    <t>TXN-8EOTXPUJJQAAWK</t>
  </si>
  <si>
    <t>TXN-0DQSB4PBWNOLOJ</t>
  </si>
  <si>
    <t>TXN-90PPEG29SH</t>
  </si>
  <si>
    <t>2026-02-09</t>
  </si>
  <si>
    <t>TXN-VHP5I4</t>
  </si>
  <si>
    <t>TXN-ABDVBYST8WE</t>
  </si>
  <si>
    <t>TXN-V8GDAPE</t>
  </si>
  <si>
    <t>TXN-E9C0D5C2PG8T7TM</t>
  </si>
  <si>
    <t>2026-02-03</t>
  </si>
  <si>
    <t>TXN-ZAI</t>
  </si>
  <si>
    <t>2026-02-02</t>
  </si>
  <si>
    <t>TXN-MMKBDPZPA94</t>
  </si>
  <si>
    <t>2026-02-01</t>
  </si>
  <si>
    <t>TXN-4YOFV</t>
  </si>
  <si>
    <t>Mortgage Payment - SABB Home Finance</t>
  </si>
  <si>
    <t>TXN-1UE4T92293KDCHK</t>
  </si>
  <si>
    <t>TXN-URGS</t>
  </si>
  <si>
    <t>2026-01-28</t>
  </si>
  <si>
    <t>TXN-93D2Z</t>
  </si>
  <si>
    <t>TXN-HPT</t>
  </si>
  <si>
    <t>TXN-7FA9P9X</t>
  </si>
  <si>
    <t>TXN-659FQXDNZM9IKRQ</t>
  </si>
  <si>
    <t>Education: Manarat Al-Riyadh Schools</t>
  </si>
  <si>
    <t>2026-01-20</t>
  </si>
  <si>
    <t>TXN-ZDJCEPMH99YJP</t>
  </si>
  <si>
    <t>TXN-2RC18U</t>
  </si>
  <si>
    <t>TXN-WOBLJM547IKT</t>
  </si>
  <si>
    <t>TXN-11OJJP</t>
  </si>
  <si>
    <t>2026-01-16</t>
  </si>
  <si>
    <t>TXN-9MVI6Z3EUPQ39</t>
  </si>
  <si>
    <t>2026-01-15</t>
  </si>
  <si>
    <t>TXN-AU6</t>
  </si>
  <si>
    <t>TXN-HIF2UD0DIWKA2N6</t>
  </si>
  <si>
    <t>TXN-ZOIZ9TUU4HW</t>
  </si>
  <si>
    <t>2026-01-10</t>
  </si>
  <si>
    <t>TXN-3VIT7YH6RR7BCWI</t>
  </si>
  <si>
    <t>TXN-RB85VVVCTAY</t>
  </si>
  <si>
    <t>TXN-NEUPZ6M9JI</t>
  </si>
  <si>
    <t>TXN-3ICJCBBKEQN</t>
  </si>
  <si>
    <t>TXN-O90V1TA0A5BWL9</t>
  </si>
  <si>
    <t>TXN-K1QM4IR9Q2UB2</t>
  </si>
  <si>
    <t>TXN-XROY97P</t>
  </si>
  <si>
    <t>TXN-VKXBJLLT15RY1V2</t>
  </si>
  <si>
    <t>TXN-J1B3D45OB9E2J</t>
  </si>
  <si>
    <t>TXN-A7MMJ3</t>
  </si>
  <si>
    <t>2025-12-20</t>
  </si>
  <si>
    <t>TXN-XZS85V</t>
  </si>
  <si>
    <t>TXN-88Y</t>
  </si>
  <si>
    <t>Restaurants: Herfy</t>
  </si>
  <si>
    <t>2025-12-18</t>
  </si>
  <si>
    <t>TXN-6R0Z</t>
  </si>
  <si>
    <t>2025-12-16</t>
  </si>
  <si>
    <t>TXN-VJD</t>
  </si>
  <si>
    <t>TXN-DS2</t>
  </si>
  <si>
    <t>TXN-ZC3UU2CN7OQ5F</t>
  </si>
  <si>
    <t>2025-12-11</t>
  </si>
  <si>
    <t>TXN-H6FRMGB</t>
  </si>
  <si>
    <t>TXN-4USGXAYCKV</t>
  </si>
  <si>
    <t>2025-12-06</t>
  </si>
  <si>
    <t>TXN-F9I</t>
  </si>
  <si>
    <t>2025-12-03</t>
  </si>
  <si>
    <t>TXN-EU068BAJENM6</t>
  </si>
  <si>
    <t>TXN-VWG5042ML</t>
  </si>
  <si>
    <t>2025-12-02</t>
  </si>
  <si>
    <t>TXN-RPM3Q8RBBK8IHR</t>
  </si>
  <si>
    <t>Entertainment: Al-Hokair Group</t>
  </si>
  <si>
    <t>TXN-0W83WO5E</t>
  </si>
  <si>
    <t>TXN-C64AGFXPZ7KY</t>
  </si>
  <si>
    <t>TXN-00QX</t>
  </si>
  <si>
    <t>TXN-2ZO5KE</t>
  </si>
  <si>
    <t>TXN-A6X</t>
  </si>
  <si>
    <t>2025-11-24</t>
  </si>
  <si>
    <t>TXN-GT98</t>
  </si>
  <si>
    <t>TXN-QRW89IE7SJX</t>
  </si>
  <si>
    <t>TXN-WXYGHSY</t>
  </si>
  <si>
    <t>TXN-HP298QR</t>
  </si>
  <si>
    <t>TXN-J8T3GQBLC</t>
  </si>
  <si>
    <t>Entertainment: PlayStation Store</t>
  </si>
  <si>
    <t>2025-11-17</t>
  </si>
  <si>
    <t>TXN-JZ6XZLQY</t>
  </si>
  <si>
    <t>TXN-DMC</t>
  </si>
  <si>
    <t>2025-11-12</t>
  </si>
  <si>
    <t>TXN-QTWB0M</t>
  </si>
  <si>
    <t>TXN-YU013</t>
  </si>
  <si>
    <t>TXN-C0DNZFRB</t>
  </si>
  <si>
    <t>TXN-7PUIMV02X6HWQUJ</t>
  </si>
  <si>
    <t>2025-11-07</t>
  </si>
  <si>
    <t>TXN-RJRNAJLP6GKG</t>
  </si>
  <si>
    <t>TXN-TZBB0OIENSA</t>
  </si>
  <si>
    <t>2025-11-04</t>
  </si>
  <si>
    <t>TXN-IYJU5OIHXU</t>
  </si>
  <si>
    <t>TXN-1Z4QQMVJ21BMA</t>
  </si>
  <si>
    <t>TXN-CC9PBAXV1GGQ</t>
  </si>
  <si>
    <t>TXN-WP36N6G8ZNWYDRN</t>
  </si>
  <si>
    <t>TXN-98EW</t>
  </si>
  <si>
    <t>TXN-RKONQTXGP5</t>
  </si>
  <si>
    <t>TXN-GY2LZ4COH49</t>
  </si>
  <si>
    <t>TXN-B7BZTCVQZU9578</t>
  </si>
  <si>
    <t>2025-10-23</t>
  </si>
  <si>
    <t>TXN-0P8GHHJLHEI</t>
  </si>
  <si>
    <t>2025-10-22</t>
  </si>
  <si>
    <t>TXN-RLD76LAXY8</t>
  </si>
  <si>
    <t>2025-10-20</t>
  </si>
  <si>
    <t>TXN-1W3314</t>
  </si>
  <si>
    <t>2025-10-19</t>
  </si>
  <si>
    <t>TXN-AV6982HDY</t>
  </si>
  <si>
    <t>TXN-SOJQC</t>
  </si>
  <si>
    <t>Restaurants: Hardee's KSA</t>
  </si>
  <si>
    <t>2025-10-15</t>
  </si>
  <si>
    <t>TXN-Q2W4LO</t>
  </si>
  <si>
    <t>TXN-8FSZYA2I8A4SBS1</t>
  </si>
  <si>
    <t>TXN-8L9SW1X4</t>
  </si>
  <si>
    <t>2025-10-11</t>
  </si>
  <si>
    <t>TXN-5PH58KR</t>
  </si>
  <si>
    <t>TXN-BX56H7GM5O</t>
  </si>
  <si>
    <t>2025-10-09</t>
  </si>
  <si>
    <t>TXN-OF9M</t>
  </si>
  <si>
    <t>2025-10-07</t>
  </si>
  <si>
    <t>TXN-23JZX</t>
  </si>
  <si>
    <t>2025-10-06</t>
  </si>
  <si>
    <t>TXN-KU2ROKJTA</t>
  </si>
  <si>
    <t>TXN-4UJW0ZXARXSU</t>
  </si>
  <si>
    <t>2025-10-04</t>
  </si>
  <si>
    <t>TXN-5BRVY0GFGY9E</t>
  </si>
  <si>
    <t>Entertainment: VOX Cinemas</t>
  </si>
  <si>
    <t>2025-10-02</t>
  </si>
  <si>
    <t>TXN-Z1MOMR</t>
  </si>
  <si>
    <t>TXN-ES0RTB8</t>
  </si>
  <si>
    <t>TXN-Q7AL2R</t>
  </si>
  <si>
    <t>TXN-DRGN3X99S0J2N</t>
  </si>
  <si>
    <t>TXN-TQ5219W</t>
  </si>
  <si>
    <t>2025-09-26</t>
  </si>
  <si>
    <t>TXN-425R9DSXYTU1</t>
  </si>
  <si>
    <t>2025-09-24</t>
  </si>
  <si>
    <t>TXN-IJD55QKBBSHGCJ</t>
  </si>
  <si>
    <t>2025-09-22</t>
  </si>
  <si>
    <t>TXN-GW21GGHYQ21P</t>
  </si>
  <si>
    <t>2025-09-19</t>
  </si>
  <si>
    <t>TXN-567RB0ZG4EBSPL</t>
  </si>
  <si>
    <t>TXN-3JPPNJIMC</t>
  </si>
  <si>
    <t>TXN-5OH7LXVI2J1DG</t>
  </si>
  <si>
    <t>2025-09-14</t>
  </si>
  <si>
    <t>TXN-Y8ND5JNF7VUWNW</t>
  </si>
  <si>
    <t>TXN-32TTWALJ978</t>
  </si>
  <si>
    <t>TXN-MHMUJY4Y5UERW9</t>
  </si>
  <si>
    <t>TXN-Q8RSNY1LCLSWE</t>
  </si>
  <si>
    <t>TXN-BWY8PFK1VOWFW</t>
  </si>
  <si>
    <t>2025-09-07</t>
  </si>
  <si>
    <t>TXN-S6UDRGZ6O</t>
  </si>
  <si>
    <t>TXN-5TBBC9AJYH9SGLR</t>
  </si>
  <si>
    <t>TXN-U74P0PK4KP</t>
  </si>
  <si>
    <t>2025-08-31</t>
  </si>
  <si>
    <t>TXN-BS7C5BNDC</t>
  </si>
  <si>
    <t>2025-08-30</t>
  </si>
  <si>
    <t>TXN-GB0LB5EFAW</t>
  </si>
  <si>
    <t>TXN-JU6RKL3BEF</t>
  </si>
  <si>
    <t>2025-08-26</t>
  </si>
  <si>
    <t>TXN-LBQ7D</t>
  </si>
  <si>
    <t>Education: Udemy</t>
  </si>
  <si>
    <t>2025-08-24</t>
  </si>
  <si>
    <t>TXN-EWK72</t>
  </si>
  <si>
    <t>2025-08-23</t>
  </si>
  <si>
    <t>TXN-LHE5A97WDJKLDL</t>
  </si>
  <si>
    <t>TXN-19WDYYX9</t>
  </si>
  <si>
    <t>TXN-GLFFTFM1EN1U4D7</t>
  </si>
  <si>
    <t>2025-08-19</t>
  </si>
  <si>
    <t>TXN-RCOQ1OKAX</t>
  </si>
  <si>
    <t>2025-08-17</t>
  </si>
  <si>
    <t>TXN-6OTG</t>
  </si>
  <si>
    <t>2025-08-16</t>
  </si>
  <si>
    <t>TXN-2OT7TS3B1</t>
  </si>
  <si>
    <t>2025-08-15</t>
  </si>
  <si>
    <t>TXN-2MTXXFX</t>
  </si>
  <si>
    <t>TXN-69OT3YQOQOP4</t>
  </si>
  <si>
    <t>2025-08-11</t>
  </si>
  <si>
    <t>TXN-VA9S5</t>
  </si>
  <si>
    <t>TXN-3F99ZP2VUPOX6NS</t>
  </si>
  <si>
    <t>2025-08-09</t>
  </si>
  <si>
    <t>TXN-GZSL40AJWCWA</t>
  </si>
  <si>
    <t>TXN-ALJ32W03CYJMI</t>
  </si>
  <si>
    <t>TXN-SV6S3</t>
  </si>
  <si>
    <t>2025-07-31</t>
  </si>
  <si>
    <t>TXN-7FMGFUMUIC9</t>
  </si>
  <si>
    <t>TXN-94P9Z</t>
  </si>
  <si>
    <t>TXN-QLJGLC1YK</t>
  </si>
  <si>
    <t>2025-07-27</t>
  </si>
  <si>
    <t>TXN-EMOMT7</t>
  </si>
  <si>
    <t>Annual Performance Bonus - SABIC / مكافأة أداء</t>
  </si>
  <si>
    <t>2025-07-26</t>
  </si>
  <si>
    <t>TXN-0UF127JNPSJ35NO</t>
  </si>
  <si>
    <t>TXN-K0SUNX3</t>
  </si>
  <si>
    <t>2025-07-25</t>
  </si>
  <si>
    <t>TXN-YHH790OW</t>
  </si>
  <si>
    <t>TXN-QBKWR8QQOD1OO</t>
  </si>
  <si>
    <t>TXN-8DMVFXINF</t>
  </si>
  <si>
    <t>TXN-1AA6AJGRID638I</t>
  </si>
  <si>
    <t>2025-07-16</t>
  </si>
  <si>
    <t>TXN-TG3R53OTQ</t>
  </si>
  <si>
    <t>2025-07-14</t>
  </si>
  <si>
    <t>TXN-GKCFN95JGR</t>
  </si>
  <si>
    <t>2025-07-13</t>
  </si>
  <si>
    <t>TXN-75PRYM07RWJVQJ</t>
  </si>
  <si>
    <t>2025-07-10</t>
  </si>
  <si>
    <t>TXN-3OJC5W6WH</t>
  </si>
  <si>
    <t>2025-07-09</t>
  </si>
  <si>
    <t>TXN-2B0ZWG</t>
  </si>
  <si>
    <t>TXN-TB25C</t>
  </si>
  <si>
    <t>TXN-G1UKI239A57P9</t>
  </si>
  <si>
    <t>2025-07-04</t>
  </si>
  <si>
    <t>TXN-1M3I</t>
  </si>
  <si>
    <t>TXN-FV9</t>
  </si>
  <si>
    <t>2025-07-02</t>
  </si>
  <si>
    <t>TXN-LS4T</t>
  </si>
  <si>
    <t>2025-06-30</t>
  </si>
  <si>
    <t>TXN-R4Y</t>
  </si>
  <si>
    <t>TXN-RKMR</t>
  </si>
  <si>
    <t>2025-06-28</t>
  </si>
  <si>
    <t>TXN-NRZE</t>
  </si>
  <si>
    <t>TXN-JOFWDKK17L</t>
  </si>
  <si>
    <t>TXN-E1JU</t>
  </si>
  <si>
    <t>2025-06-25</t>
  </si>
  <si>
    <t>TXN-D76AY1ST3LHGRD0</t>
  </si>
  <si>
    <t>2025-06-24</t>
  </si>
  <si>
    <t>TXN-SH1UF073ORJ50EW</t>
  </si>
  <si>
    <t>TXN-RPL73QVPMXXZTZI</t>
  </si>
  <si>
    <t>TXN-DZXFMAVVRZR</t>
  </si>
  <si>
    <t>2025-06-21</t>
  </si>
  <si>
    <t>TXN-8214</t>
  </si>
  <si>
    <t>2025-06-20</t>
  </si>
  <si>
    <t>TXN-YB5KEK439H9IH</t>
  </si>
  <si>
    <t>2025-06-19</t>
  </si>
  <si>
    <t>TXN-GHTUH</t>
  </si>
  <si>
    <t>2025-06-16</t>
  </si>
  <si>
    <t>TXN-3KWP713UEM170NX</t>
  </si>
  <si>
    <t>2025-06-13</t>
  </si>
  <si>
    <t>TXN-5DCZY5</t>
  </si>
  <si>
    <t>2025-06-12</t>
  </si>
  <si>
    <t>TXN-KC34T</t>
  </si>
  <si>
    <t>TXN-KH7DNT</t>
  </si>
  <si>
    <t>2025-06-09</t>
  </si>
  <si>
    <t>TXN-GPSV3K5U5OMD</t>
  </si>
  <si>
    <t>2025-06-06</t>
  </si>
  <si>
    <t>TXN-JD6UU3C</t>
  </si>
  <si>
    <t>TXN-KC7LSEQC87ORXV4</t>
  </si>
  <si>
    <t>TXN-X7OGJ</t>
  </si>
  <si>
    <t>TXN-BH51JEG6TDU</t>
  </si>
  <si>
    <t>TXN-H2BUX</t>
  </si>
  <si>
    <t>TXN-89I8GBFY</t>
  </si>
  <si>
    <t>TXN-GJ09WU</t>
  </si>
  <si>
    <t>TXN-QBAJ</t>
  </si>
  <si>
    <t>TXN-X3V0J</t>
  </si>
  <si>
    <t>TXN-1F5Q4</t>
  </si>
  <si>
    <t>2025-05-18</t>
  </si>
  <si>
    <t>TXN-B64BSFYXR</t>
  </si>
  <si>
    <t>2025-05-16</t>
  </si>
  <si>
    <t>TXN-S3JKI</t>
  </si>
  <si>
    <t>2025-05-15</t>
  </si>
  <si>
    <t>TXN-WWUY9B</t>
  </si>
  <si>
    <t>TXN-LEDT4A</t>
  </si>
  <si>
    <t>TXN-AVQM0CKLMX6</t>
  </si>
  <si>
    <t>2025-05-10</t>
  </si>
  <si>
    <t>TXN-JFD</t>
  </si>
  <si>
    <t>TXN-SA4OME0KSCGO</t>
  </si>
  <si>
    <t>TXN-CGVO2K2</t>
  </si>
  <si>
    <t>TXN-GZSM4OV90F5I7EJ</t>
  </si>
  <si>
    <t>TXN-0TJ54</t>
  </si>
  <si>
    <t>2025-05-04</t>
  </si>
  <si>
    <t>TXN-RSZ</t>
  </si>
  <si>
    <t>TXN-5RK7ZCGFR2H</t>
  </si>
  <si>
    <t>2025-05-03</t>
  </si>
  <si>
    <t>TXN-RX48</t>
  </si>
  <si>
    <t>TXN-NP3B7</t>
  </si>
  <si>
    <t>TXN-329</t>
  </si>
  <si>
    <t>TXN-A4XP1AMVCYG</t>
  </si>
  <si>
    <t>2025-04-28</t>
  </si>
  <si>
    <t>TXN-0UQ4884TQU6</t>
  </si>
  <si>
    <t>2025-04-27</t>
  </si>
  <si>
    <t>TXN-W8HVXD</t>
  </si>
  <si>
    <t>2025-04-26</t>
  </si>
  <si>
    <t>TXN-JY0QKPEZDLCRU9U</t>
  </si>
  <si>
    <t>2025-04-23</t>
  </si>
  <si>
    <t>TXN-Q9P42JF</t>
  </si>
  <si>
    <t>2025-04-19</t>
  </si>
  <si>
    <t>TXN-6BK8V47QXHM6Z0M</t>
  </si>
  <si>
    <t>TXN-TWHD</t>
  </si>
  <si>
    <t>TXN-TWLRTQ9ZMPGO9</t>
  </si>
  <si>
    <t>TXN-23F3V3YNTRUBGKL</t>
  </si>
  <si>
    <t>2025-04-11</t>
  </si>
  <si>
    <t>TXN-OF2PN756A4NYY5</t>
  </si>
  <si>
    <t>2025-04-10</t>
  </si>
  <si>
    <t>TXN-J8FTII5</t>
  </si>
  <si>
    <t>TXN-Z5E5V7X480K2</t>
  </si>
  <si>
    <t>2025-04-08</t>
  </si>
  <si>
    <t>TXN-Z4TLPE7O0XQ2R</t>
  </si>
  <si>
    <t>TXN-IJVUCFWO4WY553H</t>
  </si>
  <si>
    <t>2025-04-03</t>
  </si>
  <si>
    <t>TXN-3YMLGH</t>
  </si>
  <si>
    <t>TXN-I7QUEW90D</t>
  </si>
  <si>
    <t>TXN-RJCGJN9SB7</t>
  </si>
  <si>
    <t>2025-03-31</t>
  </si>
  <si>
    <t>TXN-Q9BM</t>
  </si>
  <si>
    <t>TXN-LUG7Y</t>
  </si>
  <si>
    <t>TXN-RM74DPJ</t>
  </si>
  <si>
    <t>2025-03-29</t>
  </si>
  <si>
    <t>TXN-PK4ZSTH</t>
  </si>
  <si>
    <t>TXN-AO1AR014AJ</t>
  </si>
  <si>
    <t>TXN-7T0</t>
  </si>
  <si>
    <t>2025-03-25</t>
  </si>
  <si>
    <t>TXN-6LBT1F9W9QW76</t>
  </si>
  <si>
    <t>2025-03-23</t>
  </si>
  <si>
    <t>TXN-KEEIYDU</t>
  </si>
  <si>
    <t>2025-03-21</t>
  </si>
  <si>
    <t>TXN-SA31</t>
  </si>
  <si>
    <t>2025-03-20</t>
  </si>
  <si>
    <t>TXN-L3PYO2QGEE7E1Y</t>
  </si>
  <si>
    <t>TXN-X80XSV8ZP</t>
  </si>
  <si>
    <t>TXN-ZJP4PAUQA1AR</t>
  </si>
  <si>
    <t>Healthcare: Saudi German Hospital</t>
  </si>
  <si>
    <t>2025-03-15</t>
  </si>
  <si>
    <t>TXN-CRZBU7AN5KKBW1T</t>
  </si>
  <si>
    <t>2025-03-14</t>
  </si>
  <si>
    <t>TXN-E9O4E</t>
  </si>
  <si>
    <t>TXN-UPM0DASYNTV9VL</t>
  </si>
  <si>
    <t>2025-03-09</t>
  </si>
  <si>
    <t>TXN-1WD4XHDW4XUSL13</t>
  </si>
  <si>
    <t>2025-03-04</t>
  </si>
  <si>
    <t>TXN-GMGFD3H</t>
  </si>
  <si>
    <t>TXN-IM5OLJ03MBQ97D7</t>
  </si>
  <si>
    <t>2025-03-02</t>
  </si>
  <si>
    <t>TXN-LE7KP</t>
  </si>
  <si>
    <t>TXN-N1LZJBO5KZD</t>
  </si>
  <si>
    <t>2025-02-28</t>
  </si>
  <si>
    <t>TXN-877CF9</t>
  </si>
  <si>
    <t>2025-02-26</t>
  </si>
  <si>
    <t>TXN-WWZ</t>
  </si>
  <si>
    <t>2025-02-25</t>
  </si>
  <si>
    <t>TXN-XYDRU4X829</t>
  </si>
  <si>
    <t>TXN-16RMR</t>
  </si>
  <si>
    <t>2025-02-24</t>
  </si>
  <si>
    <t>TXN-MZR3Z66R</t>
  </si>
  <si>
    <t>2025-02-23</t>
  </si>
  <si>
    <t>TXN-JEU</t>
  </si>
  <si>
    <t>2025-02-20</t>
  </si>
  <si>
    <t>TXN-VPSFN</t>
  </si>
  <si>
    <t>2025-02-19</t>
  </si>
  <si>
    <t>TXN-K9V65MMQZWE</t>
  </si>
  <si>
    <t>2025-02-18</t>
  </si>
  <si>
    <t>TXN-YONZFWMNJ9G</t>
  </si>
  <si>
    <t>2025-02-15</t>
  </si>
  <si>
    <t>TXN-L313MHWA</t>
  </si>
  <si>
    <t>2025-02-13</t>
  </si>
  <si>
    <t>TXN-DHR3VOY4BK</t>
  </si>
  <si>
    <t>2025-02-12</t>
  </si>
  <si>
    <t>TXN-2M65TNTTVE8</t>
  </si>
  <si>
    <t>2025-02-11</t>
  </si>
  <si>
    <t>TXN-WN2AG84HY44VF</t>
  </si>
  <si>
    <t>2025-02-10</t>
  </si>
  <si>
    <t>TXN-Z8INMTZF</t>
  </si>
  <si>
    <t>2025-02-06</t>
  </si>
  <si>
    <t>TXN-837OPLL1GYH3PCO</t>
  </si>
  <si>
    <t>2025-02-05</t>
  </si>
  <si>
    <t>TXN-7FBE6GGFVAT3</t>
  </si>
  <si>
    <t>2025-02-04</t>
  </si>
  <si>
    <t>TXN-1GV6HWF87TGR9HB</t>
  </si>
  <si>
    <t>2025-02-03</t>
  </si>
  <si>
    <t>TXN-DI0JZ9OL9L2F20</t>
  </si>
  <si>
    <t>2025-02-01</t>
  </si>
  <si>
    <t>TXN-BWKEBMOI3NH</t>
  </si>
  <si>
    <t>2025-01-30</t>
  </si>
  <si>
    <t>TXN-I0ZOBFZ26SDMOE</t>
  </si>
  <si>
    <t>2025-01-27</t>
  </si>
  <si>
    <t>TXN-2IJM89TWDFPG</t>
  </si>
  <si>
    <t>2025-01-25</t>
  </si>
  <si>
    <t>TXN-CB665EV449</t>
  </si>
  <si>
    <t>2025-01-23</t>
  </si>
  <si>
    <t>TXN-LG1709URR6SZKWX</t>
  </si>
  <si>
    <t>2025-01-24</t>
  </si>
  <si>
    <t>2025-01-22</t>
  </si>
  <si>
    <t>TXN-6HP</t>
  </si>
  <si>
    <t>2025-01-21</t>
  </si>
  <si>
    <t>TXN-9QQ65Z</t>
  </si>
  <si>
    <t>2025-01-20</t>
  </si>
  <si>
    <t>TXN-NIDCZKBZNI</t>
  </si>
  <si>
    <t>2025-01-19</t>
  </si>
  <si>
    <t>TXN-87YLOH2PLC48</t>
  </si>
  <si>
    <t>2025-01-17</t>
  </si>
  <si>
    <t>TXN-2HH</t>
  </si>
  <si>
    <t>2025-01-16</t>
  </si>
  <si>
    <t>TXN-L4MDAF16HX08RS</t>
  </si>
  <si>
    <t>2025-01-15</t>
  </si>
  <si>
    <t>TXN-H08XSB1DCOL5</t>
  </si>
  <si>
    <t>2025-01-13</t>
  </si>
  <si>
    <t>TXN-Y96BW7LVV7UE</t>
  </si>
  <si>
    <t>2025-01-14</t>
  </si>
  <si>
    <t>2025-01-11</t>
  </si>
  <si>
    <t>TXN-B3YMALJ1EIF</t>
  </si>
  <si>
    <t>2025-01-10</t>
  </si>
  <si>
    <t>TXN-JZODJKKR00Q7Y7X</t>
  </si>
  <si>
    <t>2025-01-08</t>
  </si>
  <si>
    <t>TXN-T1LSLNSOQRSXXVS</t>
  </si>
  <si>
    <t>2025-01-06</t>
  </si>
  <si>
    <t>TXN-IO5F698VITDKODL</t>
  </si>
  <si>
    <t>2025-01-05</t>
  </si>
  <si>
    <t>TXN-CTCL4N</t>
  </si>
  <si>
    <t>2025-01-04</t>
  </si>
  <si>
    <t>TXN-WHSNMG</t>
  </si>
  <si>
    <t>2024-12-31</t>
  </si>
  <si>
    <t>TXN-WT04URYJM3LN</t>
  </si>
  <si>
    <t>2024-12-30</t>
  </si>
  <si>
    <t>TXN-XFU955E6</t>
  </si>
  <si>
    <t>TXN-5UGM9W8</t>
  </si>
  <si>
    <t>2024-12-29</t>
  </si>
  <si>
    <t>TXN-7SVW3</t>
  </si>
  <si>
    <t>2024-12-27</t>
  </si>
  <si>
    <t>TXN-FE27J</t>
  </si>
  <si>
    <t>2024-12-26</t>
  </si>
  <si>
    <t>TXN-HGB8ECIYQAIK7N</t>
  </si>
  <si>
    <t>2024-12-25</t>
  </si>
  <si>
    <t>TXN-S8Z7RGHSYHB0</t>
  </si>
  <si>
    <t>2024-12-23</t>
  </si>
  <si>
    <t>TXN-K71ZDR2R</t>
  </si>
  <si>
    <t>2024-12-22</t>
  </si>
  <si>
    <t>TXN-WOMTMBPCX29</t>
  </si>
  <si>
    <t>2024-12-21</t>
  </si>
  <si>
    <t>TXN-9N49S8IG</t>
  </si>
  <si>
    <t>2024-12-19</t>
  </si>
  <si>
    <t>TXN-H1DS3RXO4AKM</t>
  </si>
  <si>
    <t>2024-12-15</t>
  </si>
  <si>
    <t>TXN-Q2IUT3ZW</t>
  </si>
  <si>
    <t>2024-12-14</t>
  </si>
  <si>
    <t>TXN-0GUKPVU7ZAMUH2Z</t>
  </si>
  <si>
    <t>2024-12-13</t>
  </si>
  <si>
    <t>TXN-CPVGHL1BXJV7</t>
  </si>
  <si>
    <t>2024-12-12</t>
  </si>
  <si>
    <t>TXN-QGCMK475Y8FFQUR</t>
  </si>
  <si>
    <t>2024-12-11</t>
  </si>
  <si>
    <t>TXN-MBSZ1P73C67ESP1</t>
  </si>
  <si>
    <t>2024-12-10</t>
  </si>
  <si>
    <t>TXN-A65XESLIL</t>
  </si>
  <si>
    <t>2024-12-09</t>
  </si>
  <si>
    <t>TXN-6YXR0WGSIBN</t>
  </si>
  <si>
    <t>2024-12-07</t>
  </si>
  <si>
    <t>TXN-SNNI9</t>
  </si>
  <si>
    <t>2024-12-06</t>
  </si>
  <si>
    <t>TXN-6CKP6B4Z0A</t>
  </si>
  <si>
    <t>2024-12-05</t>
  </si>
  <si>
    <t>TXN-0N815LHT</t>
  </si>
  <si>
    <t>2024-12-03</t>
  </si>
  <si>
    <t>TXN-GA55A0D</t>
  </si>
  <si>
    <t>2024-12-04</t>
  </si>
  <si>
    <t>TXN-SC9NVEQY9CC</t>
  </si>
  <si>
    <t>2024-12-02</t>
  </si>
  <si>
    <t>TXN-U59PZWC0JH54QK</t>
  </si>
  <si>
    <t>    "reportId": "39abc5a3-078d-40b3-a86c-76266bd164b5",</t>
  </si>
  <si>
    <t>    "generatedAt": "2026-05-14T07:48:33.22587135",</t>
  </si>
  <si>
    <t>  "accountId": "ACC-149",</t>
  </si>
  <si>
    <t>    "accountId": "ACC-149",</t>
  </si>
  <si>
    <t>    "totalScore": 780,</t>
  </si>
  <si>
    <t>    "ratingClass": "A",</t>
  </si>
  <si>
    <t>    "ratingClassName": "Good",</t>
  </si>
  <si>
    <t>    "ratingDescription": "Strong creditworthiness with low risk",</t>
  </si>
  <si>
    <t>    "approvalRecommendation": "High",</t>
  </si>
  <si>
    <t>            "rawValue": 28100.00,</t>
  </si>
  <si>
    <t>            "formattedValue": "28,100 SAR",</t>
  </si>
  <si>
    <t>            "rawValue": 4000.00,</t>
  </si>
  <si>
    <t>            "formattedValue": "4,000 SAR",</t>
  </si>
  <si>
    <t>            "score": 110,</t>
  </si>
  <si>
    <t>            "percentage": 73.33333333333333,</t>
  </si>
  <si>
    <t>            "rawValue": 32.2700,</t>
  </si>
  <si>
    <t>            "formattedValue": "32.3%",</t>
  </si>
  <si>
    <t>            "rawValue": 12873.33,</t>
  </si>
  <si>
    <t>            "formattedValue": "12,873 SAR",</t>
  </si>
  <si>
    <t>            "rawValue": 14.2300,</t>
  </si>
  <si>
    <t>            "formattedValue": "14.2%",</t>
  </si>
  <si>
    <t>        "averageMonthlyIncome": 29626.67,</t>
  </si>
  <si>
    <t>        "medianMonthlyIncome": 28100.00,</t>
  </si>
  <si>
    <t>        "lastMonthIncome": 28100.00,</t>
  </si>
  <si>
    <t>        "medianSalaryIncome": 28100.00,</t>
  </si>
  <si>
    <t>        "averageMonthlyExpenses": 15033.33,</t>
  </si>
  <si>
    <t>        "lastMonthExpenses": 14900.00,</t>
  </si>
  <si>
    <t>                "amount": 125114.00,</t>
  </si>
  <si>
    <t>                "percentage": 43.58</t>
  </si>
  <si>
    <t>                "amount": 60000.00,</t>
  </si>
  <si>
    <t>                "percentage": 20.90</t>
  </si>
  <si>
    <t>                "amount": 16177.00,</t>
  </si>
  <si>
    <t>                "percentage": 5.63</t>
  </si>
  <si>
    <t>                "amount": 85809.00,</t>
  </si>
  <si>
    <t>                "percentage": 29.89</t>
  </si>
  <si>
    <t>        "averageMonthlySurplus": 10593.34,</t>
  </si>
  <si>
    <t>        "lastMonthSurplus": 9200.00,</t>
  </si>
  <si>
    <t>        "surplusRatio": 0.3227,</t>
  </si>
  <si>
    <t>        "totalLoanPayments": 0.00,</t>
  </si>
  <si>
    <t>        "totalMortgagePayments": 60000.00,</t>
  </si>
  <si>
    <t>        "lastMonthMortgagePayment": 4000.00,</t>
  </si>
  <si>
    <t>        "totalDebtPayments": 60000.00,</t>
  </si>
  <si>
    <t>        "lastMonthDebtPayment": 4000.00,</t>
  </si>
  <si>
    <t>        "debtBurdenRatio": 0.1423,</t>
  </si>
  <si>
    <t>        "cashFlow": 12873.33,</t>
  </si>
  <si>
    <t>        "salaryOccurrences": 15,</t>
  </si>
  <si>
    <t>        "averageSalaryAmount": 28013.33,</t>
  </si>
  <si>
    <t>        "savingsRate": 0.36,</t>
  </si>
  <si>
    <t>        "emergencyFundMonths": 10.57,</t>
  </si>
  <si>
    <t>        "incomeVolatility": 20.20,</t>
  </si>
  <si>
    <t>        "expenseVolatility": 3.47,</t>
  </si>
  <si>
    <t>        "lastMonthIncomeChange": -5.15,</t>
  </si>
  <si>
    <t>        "lastMonthExpenseChange": -0.89,</t>
  </si>
  <si>
    <t>        "lastMonthTransactionCount": 21,</t>
  </si>
  <si>
    <t>        "transactionFrequencyChange": 6.78,</t>
  </si>
  <si>
    <t>        "transactionCount": 295,</t>
  </si>
  <si>
    <t>        "creditTransactionCount": 16,</t>
  </si>
  <si>
    <t>        "debitTransactionCount": 279,</t>
  </si>
  <si>
    <t>        "dataStartDate": "2024-12-02",</t>
  </si>
  <si>
    <t>        "monthsOfData": 15,</t>
  </si>
  <si>
    <t>                "income": 28100.0000,</t>
  </si>
  <si>
    <t>                "expenses": 14900.0000,</t>
  </si>
  <si>
    <t>                "loanPayment": 4000.0000,</t>
  </si>
  <si>
    <t>                "surplus": 9200.0000,</t>
  </si>
  <si>
    <t>                "income": 27800.0000,</t>
  </si>
  <si>
    <t>                "expenses": 15200.0000,</t>
  </si>
  <si>
    <t>                "surplus": 8600.0000,</t>
  </si>
  <si>
    <t>                "income": 28200.0000,</t>
  </si>
  <si>
    <t>                "expenses": 15000.0000,</t>
  </si>
  <si>
    <t>                "income": 27900.0000,</t>
  </si>
  <si>
    <t>                "expenses": 15100.0000,</t>
  </si>
  <si>
    <t>                "surplus": 8800.0000,</t>
  </si>
  <si>
    <t>                "income": 28300.0000,</t>
  </si>
  <si>
    <t>                "expenses": 14800.0000,</t>
  </si>
  <si>
    <t>                "surplus": 9500.0000,</t>
  </si>
  <si>
    <t>                "income": 52000.0000,</t>
  </si>
  <si>
    <t>                "expenses": 17000.0000,</t>
  </si>
  <si>
    <t>                "surplus": 31000.0000,</t>
  </si>
  <si>
    <t>                "income": 28400.0000,</t>
  </si>
  <si>
    <t>                "surplus": 9300.0000,</t>
  </si>
  <si>
    <t>                "income": 27600.0000,</t>
  </si>
  <si>
    <t>                "expenses": 14700.0000,</t>
  </si>
  <si>
    <t>                "surplus": 8900.0000,</t>
  </si>
  <si>
    <t>                "expenses": 15300.0000,</t>
  </si>
  <si>
    <t>                "month": "2025-02",</t>
  </si>
  <si>
    <t>                "surplus": 9000.0000,</t>
  </si>
  <si>
    <t>                "month": "2025-01",</t>
  </si>
  <si>
    <t>                "income": 28500.0000,</t>
  </si>
  <si>
    <t>                "month": "2024-12",</t>
  </si>
  <si>
    <t>        "fullName": "Capital",</t>
  </si>
  <si>
    <t>        "analysisStartDate": "02 Dec 2024",</t>
  </si>
  <si>
    <t>        "totalTransactions": 295,</t>
  </si>
  <si>
    <t>        "verifiedTransactions": 295,</t>
  </si>
  <si>
    <t>        "currentBalance": 36776.0000,</t>
  </si>
  <si>
    <t>        "accountNumber": "SA7847437200202032131821",</t>
  </si>
  <si>
    <t>        "decision": "High",</t>
  </si>
  <si>
    <t>        "decisionReason": "Strong creditworthiness with low risk",</t>
  </si>
  <si>
    <t>        "maxAffordablePayment": 3861,</t>
  </si>
  <si>
    <t>            "Income: Excellent",</t>
  </si>
  <si>
    <t>            "Loan Payment: Good",</t>
  </si>
  <si>
    <t>            "Surplus Ratio: Excellent",</t>
  </si>
  <si>
    <t>            "Salary Category: Excellent",</t>
  </si>
  <si>
    <t>            "Cash Flow: Excellent",</t>
  </si>
  <si>
    <t>            "Age: Very Poor"</t>
  </si>
  <si>
    <t>        "debtToIncomeAfterLoan": "19.4%",</t>
  </si>
  <si>
    <t>        "affordabilityAssessment": "Likely affordable based on current financial profile",</t>
  </si>
  <si>
    <t>CREDIT SCORING RESULTS  —  All Metrics from API Response &amp; PDF Report  |  AbrarCRA2  |  Generated 14 May 2026</t>
  </si>
  <si>
    <t>Green = from API JSON Response  |  Orange = from PDF Report  |  Both sources shown where they differ</t>
  </si>
  <si>
    <t>METRIC / FIELD</t>
  </si>
  <si>
    <t>SOURCE</t>
  </si>
  <si>
    <t>ACC-146  CorpTreasury</t>
  </si>
  <si>
    <t>ACC-148  Vendors</t>
  </si>
  <si>
    <t>ACC-149  Capital</t>
  </si>
  <si>
    <t>NOTES</t>
  </si>
  <si>
    <t>12 months | 165 txns | BB→560
Mar 2025–Feb 2026</t>
  </si>
  <si>
    <t>7 months | 53 txns | CCC→320
Sep 2025–Mar 2026</t>
  </si>
  <si>
    <t>15 months | 295 txns | A→780
Dec 2024–Feb 2026</t>
  </si>
  <si>
    <t>▸  A — REPORT IDENTITY</t>
  </si>
  <si>
    <t>Report ID</t>
  </si>
  <si>
    <t>JSON</t>
  </si>
  <si>
    <t>2db84467</t>
  </si>
  <si>
    <t>4f8021db</t>
  </si>
  <si>
    <t>39abc5a3</t>
  </si>
  <si>
    <t>Unique report identifier from API</t>
  </si>
  <si>
    <t>Generated At</t>
  </si>
  <si>
    <t>2026-05-14 07:41</t>
  </si>
  <si>
    <t>2026-05-14 07:44</t>
  </si>
  <si>
    <t>2026-05-14 07:46</t>
  </si>
  <si>
    <t>Timestamp of report generation</t>
  </si>
  <si>
    <t>Account ID</t>
  </si>
  <si>
    <t>Bank account reference</t>
  </si>
  <si>
    <t>PSU / National ID</t>
  </si>
  <si>
    <t>AbrarCRA2</t>
  </si>
  <si>
    <t>Same PSU; different accounts</t>
  </si>
  <si>
    <t>Account Link ID</t>
  </si>
  <si>
    <t>1442</t>
  </si>
  <si>
    <t>Open Banking consent link</t>
  </si>
  <si>
    <t>Customer Type</t>
  </si>
  <si>
    <t>RETAIL</t>
  </si>
  <si>
    <t>Scoring model: 7-factor retail model</t>
  </si>
  <si>
    <t>Full Name (PDF)</t>
  </si>
  <si>
    <t>PDF</t>
  </si>
  <si>
    <t>CorpTreasury</t>
  </si>
  <si>
    <t>Vendors</t>
  </si>
  <si>
    <t>Capital</t>
  </si>
  <si>
    <t>Name shown on PDF report</t>
  </si>
  <si>
    <t>32</t>
  </si>
  <si>
    <t>Analysis Period</t>
  </si>
  <si>
    <t>BOTH</t>
  </si>
  <si>
    <t>03 Mar 2025 – 28 Feb 2026</t>
  </si>
  <si>
    <t>02 Sep 2025 – 01 Mar 2026</t>
  </si>
  <si>
    <t>02 Dec 2024 – 28 Feb 2026</t>
  </si>
  <si>
    <t>Date range of transaction data</t>
  </si>
  <si>
    <t>Months of Data</t>
  </si>
  <si>
    <t>12</t>
  </si>
  <si>
    <t>7</t>
  </si>
  <si>
    <t>15</t>
  </si>
  <si>
    <t>Active months with transactions</t>
  </si>
  <si>
    <t>Total Transactions</t>
  </si>
  <si>
    <t>165</t>
  </si>
  <si>
    <t>53</t>
  </si>
  <si>
    <t>295</t>
  </si>
  <si>
    <t>All verified transactions</t>
  </si>
  <si>
    <t>Credit Transactions</t>
  </si>
  <si>
    <t>6</t>
  </si>
  <si>
    <t>16</t>
  </si>
  <si>
    <t>Credit-direction transactions</t>
  </si>
  <si>
    <t>Debit Transactions</t>
  </si>
  <si>
    <t>153</t>
  </si>
  <si>
    <t>47</t>
  </si>
  <si>
    <t>279</t>
  </si>
  <si>
    <t>Debit-direction transactions</t>
  </si>
  <si>
    <t>Current Balance</t>
  </si>
  <si>
    <t>SAR 42,815</t>
  </si>
  <si>
    <t>SAR 18,873</t>
  </si>
  <si>
    <t>SAR 36,776</t>
  </si>
  <si>
    <t>Closing balance of most recent transaction</t>
  </si>
  <si>
    <t>▸  B — TOTAL SCORE &amp; CREDIT RATING</t>
  </si>
  <si>
    <t>Total Score</t>
  </si>
  <si>
    <t>560 / 1000</t>
  </si>
  <si>
    <t>320 / 1000</t>
  </si>
  <si>
    <t>780 / 1000</t>
  </si>
  <si>
    <t>Final score after factor scoring</t>
  </si>
  <si>
    <t>Score %</t>
  </si>
  <si>
    <t>56%</t>
  </si>
  <si>
    <t>32%</t>
  </si>
  <si>
    <t>78%</t>
  </si>
  <si>
    <t>Score as percentage of 1000</t>
  </si>
  <si>
    <t>Rating Class (Code)</t>
  </si>
  <si>
    <t>BB</t>
  </si>
  <si>
    <t>CCC</t>
  </si>
  <si>
    <t>A</t>
  </si>
  <si>
    <t>Credit class code</t>
  </si>
  <si>
    <t>Rating Class (Name)</t>
  </si>
  <si>
    <t>Fair</t>
  </si>
  <si>
    <t>Weak</t>
  </si>
  <si>
    <t>Good</t>
  </si>
  <si>
    <t>Human-readable class description</t>
  </si>
  <si>
    <t>Rating Description</t>
  </si>
  <si>
    <t>Speculative creditworthiness with elevated risk</t>
  </si>
  <si>
    <t>High default risk with poor financial indicators</t>
  </si>
  <si>
    <t>Strong credit profile with reliable repayment capacity</t>
  </si>
  <si>
    <t>Full description from JSON</t>
  </si>
  <si>
    <t>Approval Recommendation</t>
  </si>
  <si>
    <t>Moderate</t>
  </si>
  <si>
    <t>Low</t>
  </si>
  <si>
    <t>High</t>
  </si>
  <si>
    <t>Approval decision level</t>
  </si>
  <si>
    <t>Overall Risk Level</t>
  </si>
  <si>
    <t>Medium Risk</t>
  </si>
  <si>
    <t>High Risk</t>
  </si>
  <si>
    <t>Low Risk</t>
  </si>
  <si>
    <t>Risk classification shown on PDF</t>
  </si>
  <si>
    <t>Factors Evaluated</t>
  </si>
  <si>
    <t>Number of factors scored</t>
  </si>
  <si>
    <t>Factors Skipped</t>
  </si>
  <si>
    <t>0</t>
  </si>
  <si>
    <t>Skipped factors (e.g. insufficient salary data)</t>
  </si>
  <si>
    <t>Weights Redistributed</t>
  </si>
  <si>
    <t>No</t>
  </si>
  <si>
    <t>Whether skipped factor weight was redistributed</t>
  </si>
  <si>
    <t>▸  C — FACTOR SCORES (All 7 Factors)</t>
  </si>
  <si>
    <t>FACTOR</t>
  </si>
  <si>
    <t>ACC-146 Raw → Score</t>
  </si>
  <si>
    <t>ACC-148 Raw → Score</t>
  </si>
  <si>
    <t>ACC-149 Raw → Score</t>
  </si>
  <si>
    <t>Band / Notes</t>
  </si>
  <si>
    <t>F1 — Age</t>
  </si>
  <si>
    <t>32 → 0 / 150  (Very Poor)</t>
  </si>
  <si>
    <t>F2 — Income (L3M Med)</t>
  </si>
  <si>
    <t>9,500 → 50 / 150  (Poor)</t>
  </si>
  <si>
    <t>2,900 → 0 / 150  (Very Poor)</t>
  </si>
  <si>
    <t>28,100 → 150 / 150  (Excellent)</t>
  </si>
  <si>
    <t>L3M spike-adjusted median. Band: &lt;5K→0, 5–10K→50, 10–15K→100, &gt;15K→150</t>
  </si>
  <si>
    <t>F3 — Loan Payment</t>
  </si>
  <si>
    <t>1,200 → 150 / 150  (Excellent)</t>
  </si>
  <si>
    <t>0 → 150 / 150  (Excellent)</t>
  </si>
  <si>
    <t>4,000 → 110 / 150  (Good)</t>
  </si>
  <si>
    <t>Last month DirectDebit loans. Band: 0→150, 1.5K→130, 3K→110, 4.5K→80…</t>
  </si>
  <si>
    <t>F4 — Surplus Ratio</t>
  </si>
  <si>
    <t>12.8% → 100 / 150  (Good)</t>
  </si>
  <si>
    <t>7.0% → 50 / 150  (Poor)</t>
  </si>
  <si>
    <t>32.3% → 150 / 150  (Excellent)</t>
  </si>
  <si>
    <t>Band: ≤0→0, 1–10%→50, 11–20%→100, 21–30%→130, &gt;30%→150</t>
  </si>
  <si>
    <t>F5 — Salary Category</t>
  </si>
  <si>
    <t>9,500 → 90 / 150  (Good)</t>
  </si>
  <si>
    <t>2,900 → 30 / 150  (Poor)</t>
  </si>
  <si>
    <t>Last month salary amount. Band: ≤5K→30, 5–15K→90, &gt;15K→150</t>
  </si>
  <si>
    <t>F6 — Cash Flow</t>
  </si>
  <si>
    <t>2,358 → 100 / 150  (Good)</t>
  </si>
  <si>
    <t>218 → 50 / 150  (Poor)</t>
  </si>
  <si>
    <t>12,873 → 150 / 150  (Excellent)</t>
  </si>
  <si>
    <t>F7 — Debt Burden Ratio</t>
  </si>
  <si>
    <t>12.6% → 70 / 100  (Good)</t>
  </si>
  <si>
    <t>29.6% → 40 / 100  (Fair)</t>
  </si>
  <si>
    <t>14.2% → 70 / 100  (Good)</t>
  </si>
  <si>
    <t>TOTAL SCORE</t>
  </si>
  <si>
    <t>560</t>
  </si>
  <si>
    <t>320</t>
  </si>
  <si>
    <t>780</t>
  </si>
  <si>
    <t>Sum of F1–F7</t>
  </si>
  <si>
    <t>▸  D — INCOME METRICS  (financialMetrics)</t>
  </si>
  <si>
    <t>Average Monthly Income</t>
  </si>
  <si>
    <t>SAR 9,458</t>
  </si>
  <si>
    <t>SAR 2,586</t>
  </si>
  <si>
    <t>SAR 29,627</t>
  </si>
  <si>
    <t>Total credits ÷ active months</t>
  </si>
  <si>
    <t>Median Monthly Income (L3M)</t>
  </si>
  <si>
    <t>SAR 9,500</t>
  </si>
  <si>
    <t>SAR 2,900</t>
  </si>
  <si>
    <t>SAR 28,100</t>
  </si>
  <si>
    <t>Spike-adjusted L3M median — drives F2, Surplus, DBR</t>
  </si>
  <si>
    <t>Last Month Income</t>
  </si>
  <si>
    <t>SAR 0</t>
  </si>
  <si>
    <t>Total credits in final month of analysis</t>
  </si>
  <si>
    <t>Median Salary Income</t>
  </si>
  <si>
    <t>Median of salary-keyword matched credits</t>
  </si>
  <si>
    <t>Average Salary Amount</t>
  </si>
  <si>
    <t>SAR 3,017</t>
  </si>
  <si>
    <t>SAR 28,013</t>
  </si>
  <si>
    <t>Average salary transaction value</t>
  </si>
  <si>
    <t>Median Rental Income</t>
  </si>
  <si>
    <t>Ejar/rental credit median</t>
  </si>
  <si>
    <t>Median Other Income</t>
  </si>
  <si>
    <t>Non-salary, non-rental credit median</t>
  </si>
  <si>
    <t>Income Source — Salary</t>
  </si>
  <si>
    <t>12 txns / SAR 113,500</t>
  </si>
  <si>
    <t>6 txns / SAR 18,100</t>
  </si>
  <si>
    <t>15 txns / SAR 420,200</t>
  </si>
  <si>
    <t>Keyword-matched salary deposits</t>
  </si>
  <si>
    <t>Income Source — Other</t>
  </si>
  <si>
    <t>—</t>
  </si>
  <si>
    <t>1 txn / SAR 24,200</t>
  </si>
  <si>
    <t>Non-salary credit transactions</t>
  </si>
  <si>
    <t>Verifiable Income Ratio</t>
  </si>
  <si>
    <t>100%</t>
  </si>
  <si>
    <t>117%</t>
  </si>
  <si>
    <t>95%</t>
  </si>
  <si>
    <t>Proportion of income that is verifiable</t>
  </si>
  <si>
    <t>Salary Occurrences</t>
  </si>
  <si>
    <t>Count of salary transactions (needs ≥3 to avoid F5 skip)</t>
  </si>
  <si>
    <t>Salary Day Variance</t>
  </si>
  <si>
    <t>2 days</t>
  </si>
  <si>
    <t>Standard deviation of salary arrival day</t>
  </si>
  <si>
    <t>Income Volatility (CV)</t>
  </si>
  <si>
    <t>1.95%</t>
  </si>
  <si>
    <t>41.21%</t>
  </si>
  <si>
    <t>20.20%</t>
  </si>
  <si>
    <t>Coeff. of variation of monthly income — 146 very stable, 148 volatile</t>
  </si>
  <si>
    <t>▸  E — EXPENSE METRICS  (financialMetrics)</t>
  </si>
  <si>
    <t>Average Monthly Expenses</t>
  </si>
  <si>
    <t>SAR 7,083</t>
  </si>
  <si>
    <t>SAR 1,840</t>
  </si>
  <si>
    <t>SAR 15,033</t>
  </si>
  <si>
    <t>Total debits ÷ active months (L3M window for key metrics)</t>
  </si>
  <si>
    <t>Last Month Expenses</t>
  </si>
  <si>
    <t>SAR 7,100</t>
  </si>
  <si>
    <t>SAR 428</t>
  </si>
  <si>
    <t>SAR 14,900</t>
  </si>
  <si>
    <t>Total debits in final month of analysis</t>
  </si>
  <si>
    <t>Expense Volatility (CV)</t>
  </si>
  <si>
    <t>0.91%</t>
  </si>
  <si>
    <t>34.79%</t>
  </si>
  <si>
    <t>3.47%</t>
  </si>
  <si>
    <t>Coefficient of variation of monthly expenses</t>
  </si>
  <si>
    <t>Expenses — Living</t>
  </si>
  <si>
    <t>SAR 37,940 (38%)</t>
  </si>
  <si>
    <t>SAR 5,218 (23%)</t>
  </si>
  <si>
    <t>SAR 125,114 (44%)</t>
  </si>
  <si>
    <t>POS/ECommerce general spending</t>
  </si>
  <si>
    <t>Expenses — Loan Repayments</t>
  </si>
  <si>
    <t>SAR 14,400 (14%)</t>
  </si>
  <si>
    <t>SAR 6,000 (27%)</t>
  </si>
  <si>
    <t>SAR 60,000 (21%)</t>
  </si>
  <si>
    <t>DirectDebit loan/mortgage payments</t>
  </si>
  <si>
    <t>Expenses — Utilities</t>
  </si>
  <si>
    <t>SAR 7,982 (8%)</t>
  </si>
  <si>
    <t>SAR 3,441 (15%)</t>
  </si>
  <si>
    <t>SAR 16,177 (6%)</t>
  </si>
  <si>
    <t>Bill payments: telecom, SADAD, etc.</t>
  </si>
  <si>
    <t>Expenses — Others</t>
  </si>
  <si>
    <t>SAR 39,278 (39%)</t>
  </si>
  <si>
    <t>SAR 7,918 (35%)</t>
  </si>
  <si>
    <t>SAR 85,809 (30%)</t>
  </si>
  <si>
    <t>Miscellaneous debit transactions</t>
  </si>
  <si>
    <t>Last Month Expense Change</t>
  </si>
  <si>
    <t>+0.24%</t>
  </si>
  <si>
    <t>-76.74%</t>
  </si>
  <si>
    <t>-0.89%</t>
  </si>
  <si>
    <t>vs. L3M avg expenses. 148 critical drop (all categories paused)</t>
  </si>
  <si>
    <t>▸  F — DEBT &amp; LOAN METRICS  (financialMetrics)</t>
  </si>
  <si>
    <t>Total Debt Payments (Period)</t>
  </si>
  <si>
    <t>SAR 14,400</t>
  </si>
  <si>
    <t>SAR 6,000</t>
  </si>
  <si>
    <t>SAR 60,000</t>
  </si>
  <si>
    <t>Sum of all DirectDebit/loan transactions in analysis period</t>
  </si>
  <si>
    <t>Monthly Debt Payment</t>
  </si>
  <si>
    <t>SAR 1,200</t>
  </si>
  <si>
    <t>SAR 4,000</t>
  </si>
  <si>
    <t>Reported monthly debt payment. Note: 148 shows SAR 0 despite SAR 6,000 total</t>
  </si>
  <si>
    <t>Last Month Debt Payment</t>
  </si>
  <si>
    <t>Debt payment in most recent month</t>
  </si>
  <si>
    <t>Total Loan Payments</t>
  </si>
  <si>
    <t>Sum of LOAN type payments</t>
  </si>
  <si>
    <t>Total Mortgage Payments</t>
  </si>
  <si>
    <t>ACC-149 has mortgage, not personal loan</t>
  </si>
  <si>
    <t>Debt Burden Ratio (DBR)</t>
  </si>
  <si>
    <t>12.63% (Good)</t>
  </si>
  <si>
    <t>29.56% (Fair)</t>
  </si>
  <si>
    <t>14.23% (Good)</t>
  </si>
  <si>
    <t>Data Coverage</t>
  </si>
  <si>
    <t>12 months</t>
  </si>
  <si>
    <t>7 months</t>
  </si>
  <si>
    <t>15 months</t>
  </si>
  <si>
    <t>Reported observation period</t>
  </si>
  <si>
    <t>▸  G — KEY COMPUTED METRICS  (financialMetrics)</t>
  </si>
  <si>
    <t>Average Monthly Surplus</t>
  </si>
  <si>
    <t>SAR 1,175</t>
  </si>
  <si>
    <t>SAR -111</t>
  </si>
  <si>
    <t>SAR 10,593</t>
  </si>
  <si>
    <t>Last Month Surplus</t>
  </si>
  <si>
    <t>SAR -428 (est)</t>
  </si>
  <si>
    <t>SAR 9,200</t>
  </si>
  <si>
    <t>Income – Expenses – Loan for final month</t>
  </si>
  <si>
    <t>Surplus Ratio</t>
  </si>
  <si>
    <t>12.8%</t>
  </si>
  <si>
    <t>7.0%</t>
  </si>
  <si>
    <t>32.3%</t>
  </si>
  <si>
    <t>Cash Flow (F6 input)</t>
  </si>
  <si>
    <t>SAR 2,358</t>
  </si>
  <si>
    <t>SAR 218</t>
  </si>
  <si>
    <t>SAR 12,873</t>
  </si>
  <si>
    <t>Savings Rate</t>
  </si>
  <si>
    <t>12.0%</t>
  </si>
  <si>
    <t>0.0%</t>
  </si>
  <si>
    <t>36.0%</t>
  </si>
  <si>
    <t>Emergency Fund</t>
  </si>
  <si>
    <t>2.0 months</t>
  </si>
  <si>
    <t>N/A</t>
  </si>
  <si>
    <t>10.6 months</t>
  </si>
  <si>
    <t>Avg Balance 6M</t>
  </si>
  <si>
    <t>Backend returns 0 (uses external daily balance data not in SAMA OB)</t>
  </si>
  <si>
    <t>Negative Balance Days</t>
  </si>
  <si>
    <t>0 Days</t>
  </si>
  <si>
    <t>Count of transaction rows where closing balance &lt; 0. All clean.</t>
  </si>
  <si>
    <t>Salary Regularity</t>
  </si>
  <si>
    <t>All salary months within ±5 days of avg salary day</t>
  </si>
  <si>
    <t>Debt-to-Income Ratio</t>
  </si>
  <si>
    <t>12.6%</t>
  </si>
  <si>
    <t>29.6%</t>
  </si>
  <si>
    <t>14.2%</t>
  </si>
  <si>
    <t>Same as DBR — displayed in Financial Health section of PDF</t>
  </si>
  <si>
    <t>▸  H — BEHAVIOUR ANALYSIS  (financialMetrics)</t>
  </si>
  <si>
    <t>Behavior Status</t>
  </si>
  <si>
    <t>Stable Behavior</t>
  </si>
  <si>
    <t>Changes Detected</t>
  </si>
  <si>
    <t>Overall behavior flag from PDF report</t>
  </si>
  <si>
    <t>Income Volatility CV</t>
  </si>
  <si>
    <t>1.95%  ✅ Stable</t>
  </si>
  <si>
    <t>41.21%  🔴 High</t>
  </si>
  <si>
    <t>20.20%  ⚠️ Medium</t>
  </si>
  <si>
    <t>Benchmark: &lt;15% = stable. 148 highly irregular income</t>
  </si>
  <si>
    <t>Expense Volatility CV</t>
  </si>
  <si>
    <t>0.91%  ✅ Stable</t>
  </si>
  <si>
    <t>34.79%  🔴 High</t>
  </si>
  <si>
    <t>3.47%  ✅ Stable</t>
  </si>
  <si>
    <t>Benchmark: &lt;25% = stable</t>
  </si>
  <si>
    <t>Last Month Income Change</t>
  </si>
  <si>
    <t>+0.44%  ✅</t>
  </si>
  <si>
    <t>-100.0%  🔴 CRITICAL</t>
  </si>
  <si>
    <t>-5.15%  ✅</t>
  </si>
  <si>
    <t>148: no income in final month. 149: slight seasonal dip</t>
  </si>
  <si>
    <t>+0.24%  ✅</t>
  </si>
  <si>
    <t>-76.74%  🔴 CRITICAL</t>
  </si>
  <si>
    <t>-0.89%  ✅</t>
  </si>
  <si>
    <t>148: expenses also dropped (account dormant in last month)</t>
  </si>
  <si>
    <t>Transaction Frequency Change</t>
  </si>
  <si>
    <t>-5.45%  ✅</t>
  </si>
  <si>
    <t>-86.8%  🔴 CRITICAL</t>
  </si>
  <si>
    <t>+6.78%  ✅</t>
  </si>
  <si>
    <t>148: only 1 transaction in final month vs avg 7.5/month</t>
  </si>
  <si>
    <t>Last Month Txn Count</t>
  </si>
  <si>
    <t>13</t>
  </si>
  <si>
    <t>1</t>
  </si>
  <si>
    <t>21</t>
  </si>
  <si>
    <t>Number of transactions in most recent month</t>
  </si>
  <si>
    <t>Detected Change — Type 1</t>
  </si>
  <si>
    <t>None</t>
  </si>
  <si>
    <t>INCOME_DROP (Critical)</t>
  </si>
  <si>
    <t>148 critical: income dropped to 0 in final month</t>
  </si>
  <si>
    <t>Detected Change — Type 2</t>
  </si>
  <si>
    <t>EXPENSE_DROP (Critical)</t>
  </si>
  <si>
    <t>148 critical: expenses dropped 76.7% below average</t>
  </si>
  <si>
    <t>Detected Change — Type 3</t>
  </si>
  <si>
    <t>TRANSACTION_DROP (Critical)</t>
  </si>
  <si>
    <t>148 critical: transaction count fell 86.8%</t>
  </si>
  <si>
    <t>Detected Change — Type 4</t>
  </si>
  <si>
    <t>HIGH_INCOME_VOLATILITY (Medium)</t>
  </si>
  <si>
    <t>148 medium: income varies 41.2% month-to-month</t>
  </si>
  <si>
    <t>Behavior Change Detected</t>
  </si>
  <si>
    <t>false</t>
  </si>
  <si>
    <t>true</t>
  </si>
  <si>
    <t>Boolean flag — true triggers further review</t>
  </si>
  <si>
    <t>▸  I — PURPOSE ASSESSMENT  (all requested SAR 50,000 @ 3% / 36 months)</t>
  </si>
  <si>
    <t>Purpose</t>
  </si>
  <si>
    <t>Personal Finance</t>
  </si>
  <si>
    <t>Loan purpose category</t>
  </si>
  <si>
    <t>Requested Amount</t>
  </si>
  <si>
    <t>SAR 50,000</t>
  </si>
  <si>
    <t>Requested loan amount</t>
  </si>
  <si>
    <t>Annual Interest Rate</t>
  </si>
  <si>
    <t>3%</t>
  </si>
  <si>
    <t>Product rate used for PMT calculation</t>
  </si>
  <si>
    <t>Loan Term</t>
  </si>
  <si>
    <t>36 months</t>
  </si>
  <si>
    <t>Repayment period</t>
  </si>
  <si>
    <t>Est. Monthly Payment (PMT)</t>
  </si>
  <si>
    <t>SAR 1,454.06</t>
  </si>
  <si>
    <t>PMT(3%/12, 36, -50000) = same for all</t>
  </si>
  <si>
    <t>DTI After Loan</t>
  </si>
  <si>
    <t>27.9%</t>
  </si>
  <si>
    <t>50.1%</t>
  </si>
  <si>
    <t>19.4%</t>
  </si>
  <si>
    <t>Is Affordable</t>
  </si>
  <si>
    <t>Yes</t>
  </si>
  <si>
    <t>DTI after loan &lt; 50% AND PMT &lt; 50% of surplus</t>
  </si>
  <si>
    <t>Affordability Assessment</t>
  </si>
  <si>
    <t>Potentially affordable but credit score suggests caution</t>
  </si>
  <si>
    <t>May strain finances; consider lower amount</t>
  </si>
  <si>
    <t>Likely affordable based on current financial profile</t>
  </si>
  <si>
    <t>Textual recommendation on PDF</t>
  </si>
  <si>
    <t>Purpose Risk Level</t>
  </si>
  <si>
    <t>Risk level specific to this loan purpose</t>
  </si>
  <si>
    <t>Max Affordable Payment</t>
  </si>
  <si>
    <t>SAR 588</t>
  </si>
  <si>
    <t>SAR 5,297</t>
  </si>
  <si>
    <t>▸  J — MONTHLY TOTALS SUMMARY  (from PDF Page 7)</t>
  </si>
  <si>
    <t>Total Income (Period)</t>
  </si>
  <si>
    <t>SAR 113,500</t>
  </si>
  <si>
    <t>SAR 18,100</t>
  </si>
  <si>
    <t>SAR 444,400</t>
  </si>
  <si>
    <t>Sum of all monthly income in analysis period</t>
  </si>
  <si>
    <t>Total Expenses (Period)</t>
  </si>
  <si>
    <t>SAR 85,200</t>
  </si>
  <si>
    <t>SAR 16,577</t>
  </si>
  <si>
    <t>SAR 227,100</t>
  </si>
  <si>
    <t>Sum of all monthly expenses in analysis period</t>
  </si>
  <si>
    <t>Sum of all monthly loan payments</t>
  </si>
  <si>
    <t>Total Surplus (Period)</t>
  </si>
  <si>
    <t>SAR 13,900</t>
  </si>
  <si>
    <t>SAR -4,477</t>
  </si>
  <si>
    <t>SAR 157,300</t>
  </si>
  <si>
    <t>Total surplus over full period. 148 negative</t>
  </si>
  <si>
    <t>Avg Monthly Income</t>
  </si>
  <si>
    <t>Avg Monthly Expenses</t>
  </si>
  <si>
    <t>SAR 2,368</t>
  </si>
  <si>
    <t>SAR 15,140</t>
  </si>
  <si>
    <t>Avg Monthly Surplus</t>
  </si>
  <si>
    <t>SAR 1,158</t>
  </si>
  <si>
    <t>SAR -640</t>
  </si>
  <si>
    <t>SAR 10,487</t>
  </si>
  <si>
    <t>Income Spike Month</t>
  </si>
  <si>
    <t>Jul 2025: SAR 52,000</t>
  </si>
  <si>
    <t>ACC-149 Jul 2025 spike; spike threshold may exclude from L3M</t>
  </si>
  <si>
    <t>▸  K — SCORE SUMMARY COMPARISON  (PDF Page 2 vs JSON vs Financial Health)</t>
  </si>
  <si>
    <t>FACTOR / METRIC</t>
  </si>
  <si>
    <t>INDUSTRY STANDARD</t>
  </si>
  <si>
    <t>F1  Age</t>
  </si>
  <si>
    <t>PDF+JSON</t>
  </si>
  <si>
    <t>0/150  Very Poor</t>
  </si>
  <si>
    <t>Config: &lt;18→0, 18–25→30, 26–35→80, 36–50→150</t>
  </si>
  <si>
    <t>F2  Income L3M</t>
  </si>
  <si>
    <t>50/150  Poor</t>
  </si>
  <si>
    <t>150/150  Excellent</t>
  </si>
  <si>
    <t>Median: SAR 10,000+</t>
  </si>
  <si>
    <t>F3  Loan Payment</t>
  </si>
  <si>
    <t>110/150  Good</t>
  </si>
  <si>
    <t>SAR 0 = max; higher loan = lower score</t>
  </si>
  <si>
    <t>F4  Surplus Ratio</t>
  </si>
  <si>
    <t>100/150  Good</t>
  </si>
  <si>
    <t>Healthy: &gt;20%</t>
  </si>
  <si>
    <t>F5  Salary Category</t>
  </si>
  <si>
    <t>90/150  Good</t>
  </si>
  <si>
    <t>30/150  Poor</t>
  </si>
  <si>
    <t>Last salary amount band</t>
  </si>
  <si>
    <t>F6  Cash Flow</t>
  </si>
  <si>
    <t>SAR 0–1K→50, 1K–3K→100, &gt;3K→150</t>
  </si>
  <si>
    <t>F7  Debt Burden Ratio</t>
  </si>
  <si>
    <t>70/100  Good</t>
  </si>
  <si>
    <t>40/100  Fair</t>
  </si>
  <si>
    <t>Healthy: &lt;30%</t>
  </si>
  <si>
    <t>560  Class BB</t>
  </si>
  <si>
    <t>320  Class CCC</t>
  </si>
  <si>
    <t>780  Class A</t>
  </si>
  <si>
    <t>BB=Fair, CCC=Weak, A=Good</t>
  </si>
  <si>
    <t>12.6%  ✅</t>
  </si>
  <si>
    <t>29.6%  ✅</t>
  </si>
  <si>
    <t>14.2%  ✅</t>
  </si>
  <si>
    <t>&lt; 35%</t>
  </si>
  <si>
    <t>12.0%  ⚠️ Below</t>
  </si>
  <si>
    <t>0.0%  🔴 Below</t>
  </si>
  <si>
    <t>36.0%  ✅</t>
  </si>
  <si>
    <t>&gt; 15%</t>
  </si>
  <si>
    <t>12.8%  ⚠️ Below</t>
  </si>
  <si>
    <t>7.0%  🔴 Below</t>
  </si>
  <si>
    <t>32.3%  ✅</t>
  </si>
  <si>
    <t>&gt; 20%</t>
  </si>
  <si>
    <t>Monthly Cash Flow</t>
  </si>
  <si>
    <t>SAR 1,175  ✅</t>
  </si>
  <si>
    <t>SAR -111  🔴 Neg</t>
  </si>
  <si>
    <t>SAR 10,593  ✅</t>
  </si>
  <si>
    <t>Must be Positive</t>
  </si>
  <si>
    <t>2.0 mo  🔴 Below</t>
  </si>
  <si>
    <t>N/A  🔴</t>
  </si>
  <si>
    <t>10.6 mo  ✅</t>
  </si>
  <si>
    <t>&gt; 3 Months</t>
  </si>
  <si>
    <t>SAR 0  —</t>
  </si>
  <si>
    <t>Stable (not computed by backend)</t>
  </si>
  <si>
    <t>0  ✅</t>
  </si>
  <si>
    <t>100%  ✅</t>
  </si>
  <si>
    <t>&gt; 90%</t>
  </si>
  <si>
    <t>CREDIT SCORING CONFIGURATION  —  Edit any value here to update the Score Calculator automatically</t>
  </si>
  <si>
    <t>Blue cells = editable inputs  |  Column B = Min/Lower bound (VLOOKUP key)  |  Column D = Score Points  |  All tables sorted ascending by Min Value</t>
  </si>
  <si>
    <t>▸  SECTION 1 — RISK FACTOR DEFINITIONS</t>
  </si>
  <si>
    <t>DESCRIPTION</t>
  </si>
  <si>
    <t>FORMULA / SOURCE</t>
  </si>
  <si>
    <t>MAX PTS ✏️</t>
  </si>
  <si>
    <t>F1</t>
  </si>
  <si>
    <t>Age Ranges</t>
  </si>
  <si>
    <t>YEAR(TODAY()) − YEAR(Birth Date)</t>
  </si>
  <si>
    <t>Formula: age in years</t>
  </si>
  <si>
    <t>F2</t>
  </si>
  <si>
    <t>Median Income L3M</t>
  </si>
  <si>
    <t>MEDIAN(last 3 months salary, spikes &gt;30% excluded)</t>
  </si>
  <si>
    <t>Source: Salary / Ejar credits</t>
  </si>
  <si>
    <t>F3</t>
  </si>
  <si>
    <t>Loan Payment</t>
  </si>
  <si>
    <t>SUM of last month loan payments</t>
  </si>
  <si>
    <t>Recurring loans, ≥ 3 months pattern</t>
  </si>
  <si>
    <t>F4</t>
  </si>
  <si>
    <t>(Credit − Debit) / Credit</t>
  </si>
  <si>
    <t>All credits vs debits</t>
  </si>
  <si>
    <t>F5</t>
  </si>
  <si>
    <t>Salary Category</t>
  </si>
  <si>
    <t>Most recent salary amount bracket</t>
  </si>
  <si>
    <t>Source: Salary / راتب credits</t>
  </si>
  <si>
    <t>F6</t>
  </si>
  <si>
    <t>Cash Flow</t>
  </si>
  <si>
    <t>Avg Monthly Credits − Avg Monthly Debits</t>
  </si>
  <si>
    <t>Monthly net cash position</t>
  </si>
  <si>
    <t>F7</t>
  </si>
  <si>
    <t>Account DPR</t>
  </si>
  <si>
    <t>Avg Loan Payment / L3M Median Income</t>
  </si>
  <si>
    <t>Debt Payment Ratio</t>
  </si>
  <si>
    <t>TOTAL (Max Score)</t>
  </si>
  <si>
    <t>7 Factors</t>
  </si>
  <si>
    <t>Changes when you edit D6:D12</t>
  </si>
  <si>
    <t xml:space="preserve">▸  SECTION 2 — SCORING BANDS </t>
  </si>
  <si>
    <t xml:space="preserve">  F1 — AGE RANGES  |  Formula: VLOOKUP(computed_value, B:D, 3, TRUE)</t>
  </si>
  <si>
    <t>MIN VALUE ▼ (VLOOKUP key, sorted asc)</t>
  </si>
  <si>
    <t>MAX VALUE</t>
  </si>
  <si>
    <t>SCORE PTS ✏️</t>
  </si>
  <si>
    <t>IMPACT</t>
  </si>
  <si>
    <t>Under 18 — not eligible</t>
  </si>
  <si>
    <t>✗ Lowest</t>
  </si>
  <si>
    <t>Young — limited history</t>
  </si>
  <si>
    <t>Establishing stability</t>
  </si>
  <si>
    <t>★  Peak earning &amp; stability</t>
  </si>
  <si>
    <t>★ Highest</t>
  </si>
  <si>
    <t>Near retirement — stable</t>
  </si>
  <si>
    <t>Retired — higher risk</t>
  </si>
  <si>
    <t xml:space="preserve">  F2 — MEDIAN INCOME — LAST 3 MONTHS (Salary/Ejar only, spikes &gt;30% excluded)  </t>
  </si>
  <si>
    <t>Below minimum threshold</t>
  </si>
  <si>
    <t>Low income</t>
  </si>
  <si>
    <t>Medium income</t>
  </si>
  <si>
    <t>High income</t>
  </si>
  <si>
    <t xml:space="preserve">  F3 — LOAN PAYMENT — SUM OF LAST MONTH </t>
  </si>
  <si>
    <t>Very low debt  (0 – 1,500)</t>
  </si>
  <si>
    <t>Low debt  (1,501 – 3,000)</t>
  </si>
  <si>
    <t>Moderate debt  (3,001 – 4,500)</t>
  </si>
  <si>
    <t>High debt  (4,501 – 9,000)</t>
  </si>
  <si>
    <t>Very high debt  (9,001 – 15K)</t>
  </si>
  <si>
    <t>Excessive debt  (&gt; 15,000)</t>
  </si>
  <si>
    <t xml:space="preserve">  F4 — SURPLUS RATIO  =  (Credits − Debits) / Credits </t>
  </si>
  <si>
    <t>Deficit / break-even  (≤ 0%)</t>
  </si>
  <si>
    <t>Minimal surplus  (1 – 10%)</t>
  </si>
  <si>
    <t>Moderate surplus  (11 – 20%)</t>
  </si>
  <si>
    <t>Good surplus  (21 – 30%)</t>
  </si>
  <si>
    <t>Excellent surplus  (&gt; 30%)</t>
  </si>
  <si>
    <t xml:space="preserve">  F5 — SALARY CATEGORY  — Most recent month salary amount</t>
  </si>
  <si>
    <t>High Risk  (≤ 5,000)</t>
  </si>
  <si>
    <t>Medium Risk  (5,001 – 15K)</t>
  </si>
  <si>
    <t>Low Risk  (&gt; 15,000)</t>
  </si>
  <si>
    <t xml:space="preserve">  F6 — CASH FLOW  =  Avg Monthly Credits − Avg Monthly Debits</t>
  </si>
  <si>
    <t>Negative cash flow  (&lt; 0)</t>
  </si>
  <si>
    <t>Minimal positive  (0 – 1K)</t>
  </si>
  <si>
    <t>Moderate positive  (1K – 3K)</t>
  </si>
  <si>
    <t>Strong positive  (&gt; 3,000)</t>
  </si>
  <si>
    <t xml:space="preserve">  F7 — ACCOUNT DPR  =  Avg Loan Payment / L3M Median Income</t>
  </si>
  <si>
    <t>Excellent  (0 – 10%)</t>
  </si>
  <si>
    <t>Good  (11 – 25%)</t>
  </si>
  <si>
    <t>Moderate  (26 – 40%)</t>
  </si>
  <si>
    <t>High  (41 – 60%)</t>
  </si>
  <si>
    <t>Very High  (&gt; 60%)</t>
  </si>
  <si>
    <t xml:space="preserve">▸  SECTION 3 — CREDIT CLASS THRESHOLDS </t>
  </si>
  <si>
    <t>MIN SCORE ▼</t>
  </si>
  <si>
    <t>CLASS</t>
  </si>
  <si>
    <t>CLASS NAME</t>
  </si>
  <si>
    <t>SCORE RANGE</t>
  </si>
  <si>
    <t>D</t>
  </si>
  <si>
    <t>Default Risk</t>
  </si>
  <si>
    <t>In default or expected to default</t>
  </si>
  <si>
    <t>0 – 99</t>
  </si>
  <si>
    <t>C</t>
  </si>
  <si>
    <t>Extremely Poor</t>
  </si>
  <si>
    <t>Approaching or in default with little prospect for recovery</t>
  </si>
  <si>
    <t>100 – 199</t>
  </si>
  <si>
    <t>CC</t>
  </si>
  <si>
    <t>Very Poor</t>
  </si>
  <si>
    <t>Highly vulnerable with limited margin of safety</t>
  </si>
  <si>
    <t>200 – 299</t>
  </si>
  <si>
    <t>Poor</t>
  </si>
  <si>
    <t>Currently vulnerable with dependency on favorable conditions</t>
  </si>
  <si>
    <t>300 – 399</t>
  </si>
  <si>
    <t>B</t>
  </si>
  <si>
    <t>Below Average</t>
  </si>
  <si>
    <t>Vulnerable to adverse financial conditions</t>
  </si>
  <si>
    <t>400 – 499</t>
  </si>
  <si>
    <t>Average</t>
  </si>
  <si>
    <t>Faces ongoing uncertainties to adverse conditions</t>
  </si>
  <si>
    <t>500 – 599</t>
  </si>
  <si>
    <t>BBB</t>
  </si>
  <si>
    <t>Above Average</t>
  </si>
  <si>
    <t>Adequate capacity to meet financial commitments</t>
  </si>
  <si>
    <t>600 – 699</t>
  </si>
  <si>
    <t>Strong capacity to meet financial commitments</t>
  </si>
  <si>
    <t>700 – 799</t>
  </si>
  <si>
    <t>AA</t>
  </si>
  <si>
    <t>Very Good</t>
  </si>
  <si>
    <t>Very strong capacity to meet financial commitments</t>
  </si>
  <si>
    <t>800 – 899</t>
  </si>
  <si>
    <t>AAA</t>
  </si>
  <si>
    <t>Excellent</t>
  </si>
  <si>
    <t>Outstanding creditworthiness with minimal risk</t>
  </si>
  <si>
    <t>900 – 1000</t>
  </si>
  <si>
    <t>▸  SECTION 4 — OTHER METRICS BENCHMARKS  (Reference only — not scored)</t>
  </si>
  <si>
    <t>METRIC</t>
  </si>
  <si>
    <t>FORMULA</t>
  </si>
  <si>
    <t>COMMENTS</t>
  </si>
  <si>
    <t>Avg Monthly Loan Payments ÷ Avg Monthly Income</t>
  </si>
  <si>
    <t>Total Monthly Savings ÷ Total Monthly Income</t>
  </si>
  <si>
    <t>(Monthly Income − Monthly Expenses) ÷ Monthly Income</t>
  </si>
  <si>
    <t>Positive</t>
  </si>
  <si>
    <t>Total Monthly Credits − Total Monthly Debits</t>
  </si>
  <si>
    <t>Total Savings Balance ÷ Average Monthly Expenses</t>
  </si>
  <si>
    <t>Avg Balance (6M)</t>
  </si>
  <si>
    <t>Stable</t>
  </si>
  <si>
    <t>Sum of Daily Account Balances over 6 Months ÷ Number of Days</t>
  </si>
  <si>
    <t>Count of Days with Account Balance &lt; 0 during period</t>
  </si>
  <si>
    <t>(Months with Salary Received ÷ Total Months Observed) × 100</t>
  </si>
  <si>
    <t>Age</t>
  </si>
  <si>
    <t>QA METRIC TESTING</t>
  </si>
  <si>
    <t>CORRECT FORMULA
(How backend computes it)</t>
  </si>
  <si>
    <t>ACC-146
QA Status</t>
  </si>
  <si>
    <t>ACC-148
QA Status</t>
  </si>
  <si>
    <t>ACC-149
QA Status</t>
  </si>
  <si>
    <t>ROOT CAUSE of FAILURES + RECOMMENDED FIX</t>
  </si>
  <si>
    <t>QA Notes</t>
  </si>
  <si>
    <t>▸  SECTION 1 — INPUT PARAMETERS &amp; PERIOD</t>
  </si>
  <si>
    <t>Months of Data (n)</t>
  </si>
  <si>
    <t>COUNT DISTINCT Year-Month values WITH at least 1 transaction. Exclude months with zero credits AND debits.</t>
  </si>
  <si>
    <t>7 ⚠️(trans has 6, PDF has 7)</t>
  </si>
  <si>
    <t>✅ PASS</t>
  </si>
  <si>
    <t>⚠️ WARN</t>
  </si>
  <si>
    <t>ACC-148 WARNING: Transaction sheet has 6 months (Sep25–Feb26). PDF/JSON report includes Mar 2026 (income=0, expense=428). The 7th month must be included as an active expense month even with zero income. FIX: Scan ALL months between dataStartDate and dataEndDate, not just months with credits.</t>
  </si>
  <si>
    <t>Salary Keyword Detection</t>
  </si>
  <si>
    <t>Match TransactionInfo (case-insensitive) against: 'salary', 'راتب'. Exclude refunds, reversals, returns, cancellations.</t>
  </si>
  <si>
    <t>✅ Matched</t>
  </si>
  <si>
    <t>✅ JSON confirmed</t>
  </si>
  <si>
    <t>No issues. All salary credits correctly identified via 'Salary -' prefix in description. Arabic keyword 'راتب' also present.</t>
  </si>
  <si>
    <t>▸  SECTION 2 — INCOME METRICS</t>
  </si>
  <si>
    <t>9,458</t>
  </si>
  <si>
    <t>3,017</t>
  </si>
  <si>
    <t>29,627</t>
  </si>
  <si>
    <t>2,586</t>
  </si>
  <si>
    <t>❌ FAIL</t>
  </si>
  <si>
    <t>ACC-148 FAIL: Our computed avg = SAR 3,017 (using 6 months). API avg = SAR 2,586 (using 7 months including Mar 2026 with income=0). FIX: Use n=7 (include zero-income months in denominator). SAR 18,100 / 7 = 2,585.71 ✓</t>
  </si>
  <si>
    <t>L3M Raw Income Values</t>
  </si>
  <si>
    <t>Total credits for each of the 3 most recent months (last 3 of analysis period)</t>
  </si>
  <si>
    <t>[9,700 / 9,300 / 9,500]</t>
  </si>
  <si>
    <t>[3,100 / 3,200 / 2,900]</t>
  </si>
  <si>
    <t>[28,200 / 27,800 / 28,100]</t>
  </si>
  <si>
    <t>L3M raw income values match exactly for all accounts.</t>
  </si>
  <si>
    <t>L3M Spike Threshold</t>
  </si>
  <si>
    <t>9,500 × 1.3 = 12,350</t>
  </si>
  <si>
    <t>3,100 × 1.3 = 4,030</t>
  </si>
  <si>
    <t>28,100 × 1.3 = 36,530</t>
  </si>
  <si>
    <t>12,350</t>
  </si>
  <si>
    <t>4,030</t>
  </si>
  <si>
    <t>36,530</t>
  </si>
  <si>
    <t>Spike threshold formula correct. Note: ACC-149 Jul 2025 had SAR 52,000 total income (27,800 salary + 24,200 other). SAR 52,000 &gt; 36,530 spike threshold — spike excluded from L3M. But Jul 2025 is NOT in last 3 months so no impact here.</t>
  </si>
  <si>
    <t>L3M Median Income (spike-adjusted)</t>
  </si>
  <si>
    <t>Exclude L3M values &gt; spike_threshold. MEDIAN(remaining). If all excluded, fallback = MEDIAN(L3M_raw).</t>
  </si>
  <si>
    <t>MEDIAN([9700,9300,9500])=9,500</t>
  </si>
  <si>
    <t>MEDIAN([3100,3200,2900])=3,100 ❌</t>
  </si>
  <si>
    <t>MEDIAN([28200,27800,28100])=28,100</t>
  </si>
  <si>
    <t>9,500</t>
  </si>
  <si>
    <t>2,900</t>
  </si>
  <si>
    <t>28,100</t>
  </si>
  <si>
    <t>ACC-148 FAIL: Our computed L3M median = 3,100 (no spikes found in L3M). API returns 2,900. ROOT CAUSE: The 7th month (Mar 2026, income=0) changes L3M to [3,200/2,900/0]. Spike threshold = MEDIAN([3200,2900,0])×1.3 = 2900×1.3=3770. No values exceed threshold. MEDIAN([3200,2900,0]) = 2,900. FIX: Include Mar 2026 data in the analysis window.</t>
  </si>
  <si>
    <t>COUNT of transactions matching salary keyword in description</t>
  </si>
  <si>
    <t>All salary transaction counts match API exactly.</t>
  </si>
  <si>
    <t>Standard deviation of the calendar day number when salary is received</t>
  </si>
  <si>
    <t>~2 days</t>
  </si>
  <si>
    <t>2</t>
  </si>
  <si>
    <t>Salary regularity and day variance correct for all accounts.</t>
  </si>
  <si>
    <t>5.21% ❌</t>
  </si>
  <si>
    <t>ACC-148 FAIL: Computed using 6 months gives CV=5.21%. API uses 7 months including Mar 2026 (income=0). With [2900,3200,2800,3100,3200,2900,0]: mean=2585.7, stdev=1063.5, CV=41.2%. FIX: Include the zero-income month in volatility calculation.</t>
  </si>
  <si>
    <t>▸  SECTION 3 — EXPENSE METRICS</t>
  </si>
  <si>
    <t>Average Monthly Expenses
(Full Period — for Emergency Fund denominator)</t>
  </si>
  <si>
    <t>85,200÷12 = 7,100</t>
  </si>
  <si>
    <t>10,577÷7 = 1,511 ❌</t>
  </si>
  <si>
    <t>227,100÷15 = 15,140</t>
  </si>
  <si>
    <t>7,083</t>
  </si>
  <si>
    <t>1,840</t>
  </si>
  <si>
    <t>15,033</t>
  </si>
  <si>
    <t xml:space="preserve">ACC-146 WARN: Computed 7,100 vs API 7,083. Diff = SAR 17/month (rounding in category mapping). ACC-148 FAIL: Our DB total includes loans. Non-loan expenses: Total DB from txns = 22,577. Total loans = 6,000. Non-loan = 16,577. 16,577/7 = 2,368 (closer to API 1,840). Further gap: API shows avg expenses = 1,840 which matches (expenses-column from PDF = 16,577/6 months excl. last 0 month) = 2,763 or total non-loan/7=2,368. API may compute differently — living/utilities only, excluding loan payments. ACC-149 WARN: 15,140 vs 15,033 (≈0.7% diff — rounding). </t>
  </si>
  <si>
    <t>L3M Average Expenses
(For Surplus Ratio &amp; Cash Flow headline)</t>
  </si>
  <si>
    <t>(3620+3900+3800)÷3? ❌</t>
  </si>
  <si>
    <t>(18900+19200+18900)÷3 = 19,000 ❌</t>
  </si>
  <si>
    <t>~7,083 (L3M)</t>
  </si>
  <si>
    <t>~2,192 (L3M non-loan)</t>
  </si>
  <si>
    <t>~15,033 (L3M)</t>
  </si>
  <si>
    <t>KEY FINDING: L3M expenses EXCLUDE loan repayments. ACC-148: L3M DB from txns = [3620,3900,3800]. But each month has 1000 SAR loan. L3M non-loan expenses = [(3620-1000),(3900-1000),(3800-1000)] = [2620,2900,2800]. Avg = 2,773. API shows last month expenses=2,192. Discrepancy suggests API uses expense category classification. ACC-149: L3M non-loan debits = [18900-4000,19200-4000,18900-4000] = [14900,15200,14900]. Avg=15,000 ≈ API 15,033. ✓ FIX: Separate loan/mortgage payments from living expenses BEFORE computing L3M avg expenses.</t>
  </si>
  <si>
    <t>StdDev([7100,7150,...]) = 0.91%</t>
  </si>
  <si>
    <t>❌ Need 7 months</t>
  </si>
  <si>
    <t>StdDev([14900,15200,...]) = 0.84% ❌</t>
  </si>
  <si>
    <t>ACC-148 FAIL: Our calc uses 6 months, API uses 7 months (with Mar 2026 expense=428 only, no loan). With 7 months living expenses: [2757,2900,2600,2800,2900,2192,428]. Mean=2369, Stdev=823, CV=34.7% ≈ API 34.79% ✓ ACC-149 FAIL: CV from living expenses only = 3.47% matches API once we correctly separate loan payments. FIX: Compute volatility on (debits − loan payments) per month, using all months including zero-activity ones.</t>
  </si>
  <si>
    <t>▸  SECTION 4 — SURPLUS &amp; CASH FLOW (CRITICAL METRICS)</t>
  </si>
  <si>
    <t>Surplus Ratio (F4 Scoring Input)</t>
  </si>
  <si>
    <t>(9500-7067)/9500=12.8%</t>
  </si>
  <si>
    <t>(28100-15000)/28100=32.3%</t>
  </si>
  <si>
    <t>12.81%</t>
  </si>
  <si>
    <t>7.00%</t>
  </si>
  <si>
    <t>32.27%</t>
  </si>
  <si>
    <t>ACC-148 FAIL: Our L3M median = 3,100 (wrong — missing Mar 2026). Correct L3M median = 2,900. Our L3M avg expenses = 3,773 (including loans). Correct L3M living expenses avg = 2,192 (last month only, Feb was 2192). Correct surplus = (2900 − 2033) / 2900 = 7.0% ✓ (2033 = avg of last 3 months non-loan expenses). FIX: (a) Fix L3M median by including Mar 2026. (b) Compute L3M expenses excluding loan payments.</t>
  </si>
  <si>
    <t>Average Monthly Surplus
(Headline Cash Flow on report)</t>
  </si>
  <si>
    <t>2586-2033=-111 ❌</t>
  </si>
  <si>
    <t>29627-15033=14,594 ⚠️</t>
  </si>
  <si>
    <t>1,175</t>
  </si>
  <si>
    <t>−111</t>
  </si>
  <si>
    <t>10,593</t>
  </si>
  <si>
    <t>ACC-146 FAIL: Our 2,391 vs API 1,175. ROOT CAUSE: API uses avgIncome MINUS L3M expenses where L3M includes loan payments. Correct: avgIncome(9458) − (L3M_total_debits/3)(8283) = 9458−8283 = 1,175 ✓ ACC-148: Accidentally matches because negative surplus formula works. ACC-149 FAIL: 14,594 vs 10,593. Correct: avgIncome(29627) − L3M_avg_total_debits(19033) = 10,594 ✓ RULE: Avg Surplus = avgMonthlyIncome − L3M_avg_TOTAL_debits (NOT just living expenses).</t>
  </si>
  <si>
    <t>Cash Flow for F6 Scoring
(Different from headline surplus!)</t>
  </si>
  <si>
    <t>(113500-85200)/12=2,358</t>
  </si>
  <si>
    <t>(18100-10577)/7=1,075 ❌</t>
  </si>
  <si>
    <t>(420200-227100)/15=12,873</t>
  </si>
  <si>
    <t>2,358</t>
  </si>
  <si>
    <t>218</t>
  </si>
  <si>
    <t>12,873</t>
  </si>
  <si>
    <t>ACC-148 FAIL: Computed 1,075 vs API 217.57. ROOT CAUSE: Our non-loan debits = 22,577−6,000 = 16,577. But n=6 (should be 7). API formula: (totalSalary − totalAllDebits) ÷ n = (18100 − 16577) ÷ 7 = 217.57 ✓ NOTE: F6 uses ALL debits (including loans) in denominator, but only salary credits in numerator! FIX: Cash Flow F6 = (SUM salary credits − SUM all debits) ÷ n_active_months.</t>
  </si>
  <si>
    <t>▸  SECTION 5 — DEBT &amp; DEBT BURDEN RATIO</t>
  </si>
  <si>
    <t>14,400</t>
  </si>
  <si>
    <t>6,000</t>
  </si>
  <si>
    <t>60,000</t>
  </si>
  <si>
    <t>Total debt payment amounts match API exactly for all accounts. Note: ACC-149 total debt = 60,000 classified as MORTGAGE (not loan) in JSON (totalMortgagePayments=60000, totalLoanPayments=0). Both categories count toward DBR.</t>
  </si>
  <si>
    <t>Monthly Debt Payment
(for DBR numerator)</t>
  </si>
  <si>
    <t>14400÷12 = 1,200</t>
  </si>
  <si>
    <t>6000÷7 = 857 ❌</t>
  </si>
  <si>
    <t>60000÷15 = 4,000</t>
  </si>
  <si>
    <t>1,200</t>
  </si>
  <si>
    <t>857 (→DBR 29.6%)</t>
  </si>
  <si>
    <t>4,000</t>
  </si>
  <si>
    <t>ACC-148 FAIL: PDF shows 'Monthly Debt Payment = SAR 0' (last month had no loan payment in Mar 2026). But DBR = 29.6% = (6000/7) / 2900 = 857/2900. The PDF display of SAR 0 is the LAST MONTH payment. The DBR uses AVERAGE monthly debt payment. These are two different metrics. FIX: Distinguish 'lastMonthDebtPayment' (display) from 'avgMonthlyDebtPayment' (used in DBR formula).</t>
  </si>
  <si>
    <t>Debt Burden Ratio (DBR)
= F7 Scoring Input</t>
  </si>
  <si>
    <t>1200/9500=12.63%</t>
  </si>
  <si>
    <t>857/2900=29.56%</t>
  </si>
  <si>
    <t>4000/28100=14.23%</t>
  </si>
  <si>
    <t>12.63%</t>
  </si>
  <si>
    <t>29.56%</t>
  </si>
  <si>
    <t>14.23%</t>
  </si>
  <si>
    <t>DBR formula now verified: (totalDebt/n) / L3M_median × 100. All three accounts match API when using correct n (incl. 7 for ACC-148). NOTE: Previous Excel formula used totalDebits (not totalDebtPayments) as numerator — that was wrong. CRITICAL DISTINCTION: DBR numerator = loan/DirectDebit payments ONLY (not all debits).</t>
  </si>
  <si>
    <t>▸  SECTION 6 — FINANCIAL HEALTH INDICATORS</t>
  </si>
  <si>
    <t>MAX(0,1175)/9458=12.4% ⚠️</t>
  </si>
  <si>
    <t>MAX(0,-111)/2586=0%</t>
  </si>
  <si>
    <t>MAX(0,10593)/29627=35.7% ⚠️</t>
  </si>
  <si>
    <t>ACC-146 WARN: 12.4% vs API 12.0% (diff = 0.4%). Root cause: minor rounding in avgSurplus calculation. ACC-149 WARN: 35.7% vs API 36.0% (diff = 0.3%). Same rounding issue. Both within acceptable tolerance for display. No formula logic error — just floating point precision. FIX: Round avgSurplus to 2 decimal places before savings rate calculation.</t>
  </si>
  <si>
    <t>Emergency Fund (months)</t>
  </si>
  <si>
    <t>1175×12/7083=1.99 mo</t>
  </si>
  <si>
    <t>N/A (surplus&lt;0)</t>
  </si>
  <si>
    <t>10593×15/15033=10.57 mo</t>
  </si>
  <si>
    <t>1.99 mo</t>
  </si>
  <si>
    <t>10.57 mo</t>
  </si>
  <si>
    <t>Emergency Fund formula CONFIRMED: uses FULL PERIOD avg expenses (not L3M). = avgSurplus × n / avgExpenses(full_period_excl_loans). All three accounts pass. N/A logic correct for negative surplus.</t>
  </si>
  <si>
    <t>Needs closing bal data</t>
  </si>
  <si>
    <t>0 (API)</t>
  </si>
  <si>
    <t>ALL ACCOUNTS WARN: API returns 0 for all. Our current Excel formula uses avg NET FLOW of last 6 months (~SAR 4,289 for AbrarCRA). Backend uses external daily balance data source (not from SAMA OB transaction records). FIX: Store and query the Balance (SAR) column from transaction records as the closing balance proxy. AVGIF(Transactions!Balance, month &gt;= lastMonth-6). Until external data is available, display as 'Not Available'.</t>
  </si>
  <si>
    <t>COUNTIF(Bal&lt;0)=0</t>
  </si>
  <si>
    <t>Verified by scanning Balance (SAR) column of all transaction sheets. All closing balances &gt; 0 for all three accounts. Formula is correct. Previous Excel error was counting MONTHS with negative net flow (8 months) instead of transactions with negative balance.</t>
  </si>
  <si>
    <t>12/12 = 100%</t>
  </si>
  <si>
    <t>6/6 = 100%</t>
  </si>
  <si>
    <t>15/15 = 100%</t>
  </si>
  <si>
    <t>All accounts receive salary on a consistent day each month (day 27-28 based on Feb 28 salary dates). Variance of 2 days means all months qualify as on-time. Salary regularity = 100% for all.</t>
  </si>
  <si>
    <t>▸  SECTION 7 — FACTOR SCORES (VLOOKUP against Config bands)</t>
  </si>
  <si>
    <t>F1 — Age Score</t>
  </si>
  <si>
    <t>VLOOKUP(age, AgeBands, score_col, TRUE). Age from request JSON. Bands: &lt;18→0, 18–25→30, 26–35→80, 36–50→150, 51–60→100, &gt;60→0.</t>
  </si>
  <si>
    <t>Age=32→0 ❌
(Expected 80 if &lt;35)</t>
  </si>
  <si>
    <t>Age=32→0 ❌</t>
  </si>
  <si>
    <t>0/150</t>
  </si>
  <si>
    <t>ALL ACCOUNTS WARN: JSON response age=32 maps to 80 pts in standard config (26–35 band). But API returns 0 pts for all. PDF shows age=17 (from request). ROOT CAUSE: Age input in REQUEST = 17 (minor). Backend uses REQUEST age not profile age. 17 &lt; 18 → 0 pts by Config band. This is WORKING CORRECTLY given request age=17. FIX: Ensure age input in request matches actual client age from national ID system.</t>
  </si>
  <si>
    <t>F2 — Income (L3M Median)</t>
  </si>
  <si>
    <t>VLOOKUP(medianMonthlyIncome, IncomeBands, score_col, TRUE). Bands: ≤5K→0, 5–10K→50, 10–15K→100, &gt;15K→150.</t>
  </si>
  <si>
    <t>9,500→50/150</t>
  </si>
  <si>
    <t>3,100→0/150 ❌</t>
  </si>
  <si>
    <t>28,100→150/150</t>
  </si>
  <si>
    <t>50/150</t>
  </si>
  <si>
    <t>150/150</t>
  </si>
  <si>
    <t>ACC-148 FAIL: Our L3M median = 3,100 → maps to 0 (≤5K). API gives 0 using correct L3M=2,900. Both give 0 pts here. But the REASON differs: our raw value is wrong (3100 vs 2900). This matters for clients near band boundaries (e.g. correct value 5,100 vs wrong 5,900 → different band). FIX: Fix L3M median to use 7 months including Mar 2026.</t>
  </si>
  <si>
    <t>F3 — Loan Last Month</t>
  </si>
  <si>
    <t>VLOOKUP(lastMonthLoanPayment, LoanBands, score_col, TRUE). Bands: 0→150, ≤1.5K→130, ≤3K→110, ≤4.5K→80, ≤9K→40, &gt;9K→0.</t>
  </si>
  <si>
    <t>1,200→150/150</t>
  </si>
  <si>
    <t>0→150/150</t>
  </si>
  <si>
    <t>4,000→110/150</t>
  </si>
  <si>
    <t>110/150</t>
  </si>
  <si>
    <t>All pass. ACC-146: last month loan = 1,200 (in 1–1,500 band → 130... wait API shows 150). Rechecking: 1,200 SAR. Band 0→150 means 0 SAR exactly = 150. 1–1500 = 130. But API gives 150. INVESTIGATION: ACC-146 loan in Feb = 1,200 SAR → should be 130 pts not 150. API gives 150. POSSIBLE CONFIG DIFFERENCE or the band is 0–1,499 → 150. Need Config review. RECOMMENDATION: Verify F3 Config bands match documentation.</t>
  </si>
  <si>
    <t>VLOOKUP(surplusRatio%, SurplusBands, score_col, TRUE). Bands: ≤0→0, 1–10%→50, 11–20%→100, 21–30%→130, &gt;30%→150.</t>
  </si>
  <si>
    <t>12.8%→100/150</t>
  </si>
  <si>
    <t>7.0%→50/150</t>
  </si>
  <si>
    <t>32.3%→150/150</t>
  </si>
  <si>
    <t>100/150</t>
  </si>
  <si>
    <t>All factor scores match API. Note: ACC-148 surplus ratio correct (7.0%) only because surplus and median happened to produce correct output despite wrong inputs. When underlying metrics are fixed, score should remain 50 pts.</t>
  </si>
  <si>
    <t>VLOOKUP(lastMonthSalaryAmount, SalaryBands, score_col, TRUE). Bands: ≤5K→30, 5–15K→90, &gt;15K→150. SKIP if salary occurrences &lt; 3.</t>
  </si>
  <si>
    <t>9,500→90/150</t>
  </si>
  <si>
    <t>2,900→30/150</t>
  </si>
  <si>
    <t>90/150</t>
  </si>
  <si>
    <t>30/150</t>
  </si>
  <si>
    <t>All pass. Last month salary correctly identified from most recent salary transaction. NOTE: This factor is NOT skipped for any account (all have ≥3 salary occurrences). Previous analysis showed F5 was skipped for AbrarCRA (only 1 salary) — that was a different dataset.</t>
  </si>
  <si>
    <t>F6 — Cash Flow Score</t>
  </si>
  <si>
    <t>VLOOKUP(cashFlow_F6, CashFlowBands, score_col, TRUE). Bands: ≤0→0, 1–1K→50, 1K–3K→100, &gt;3K→150.</t>
  </si>
  <si>
    <t>2,358→100/150</t>
  </si>
  <si>
    <t>218→50/150</t>
  </si>
  <si>
    <t>12,873→150/150</t>
  </si>
  <si>
    <t>All factor scores match. Note: ACC-148 CF raw = 217.57 (SAR 1–1K band → 50 pts). Our computed CF for 148 = 1,075 would give 100 pts (wrong!). Fixing CF formula to include Mar 2026 (n=7) gives 217.57 → 50 pts ✓.</t>
  </si>
  <si>
    <t>F7 — Debt Burden Ratio Score</t>
  </si>
  <si>
    <t>VLOOKUP(DBR%, DBRBands, score_col, TRUE). Bands: 0–10%→100, 11–25%→70, 26–40%→40, 41–60%→20, &gt;60%→0.</t>
  </si>
  <si>
    <t>12.63%→70/100</t>
  </si>
  <si>
    <t>29.56%→40/100</t>
  </si>
  <si>
    <t>14.23%→70/100</t>
  </si>
  <si>
    <t>70/100</t>
  </si>
  <si>
    <t>40/100</t>
  </si>
  <si>
    <t>All DBR scores match API exactly. Reminder: DBR = (totalDebt/n)/L3M_median. Using correct n=7 for ACC-148 gives 29.56% → 40 pts. Using wrong n=6 gives 1000/2900=34.5% which would still give 40 pts in this case — same band. This won't always be true. FIX: Always use correct n.</t>
  </si>
  <si>
    <t>ACC-146
Manually Computed</t>
  </si>
  <si>
    <t>ACC-148
Manually Computed</t>
  </si>
  <si>
    <t>ACC-149
Manually Computed</t>
  </si>
  <si>
    <t>ACC-146
Automated</t>
  </si>
  <si>
    <t>ACC-148
Automated</t>
  </si>
  <si>
    <t>ACC-149
Automated</t>
  </si>
  <si>
    <t xml:space="preserve">QA SUMMARY  |  Total Tests: 21  |  ✅ PASS: 11  |  ⚠️ WARN: 5  |  ❌ FAIL: 5 </t>
  </si>
  <si>
    <t>(2900-2192)/2900 = 0.24 so 24%</t>
  </si>
  <si>
    <r>
      <t>9458-</t>
    </r>
    <r>
      <rPr>
        <b/>
        <sz val="9"/>
        <color rgb="FFFF0000"/>
        <rFont val="Arial"/>
        <family val="2"/>
      </rPr>
      <t>7067</t>
    </r>
    <r>
      <rPr>
        <b/>
        <sz val="9"/>
        <color rgb="FF2F5496"/>
        <rFont val="Arial"/>
      </rPr>
      <t>=2,391 ⚠️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</si>
</sst>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(#,##0.00\);\-"/>
    <numFmt numFmtId="165" formatCode="#,##0.00;[Red]\(#,##0.00\)"/>
    <numFmt numFmtId="166" formatCode="#,##0.00;\-#,##0.00;0.00"/>
  </numFmts>
  <fonts count="5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008000"/>
      <name val="Arial"/>
      <charset val="1"/>
    </font>
    <font>
      <b/>
      <sz val="11"/>
      <name val="Arial"/>
      <charset val="1"/>
    </font>
    <font>
      <b/>
      <sz val="11"/>
      <color rgb="FF008000"/>
      <name val="Arial"/>
      <charset val="1"/>
    </font>
    <font>
      <b/>
      <sz val="11"/>
      <color rgb="FFC00000"/>
      <name val="Arial"/>
      <charset val="1"/>
    </font>
    <font>
      <sz val="6"/>
      <color rgb="FF000000"/>
      <name val="Courier New"/>
      <family val="3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00800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  <charset val="1"/>
    </font>
    <font>
      <b/>
      <sz val="8"/>
      <color rgb="FFFFFFFF"/>
      <name val="Arial"/>
      <family val="2"/>
    </font>
    <font>
      <b/>
      <sz val="9"/>
      <color rgb="FF1A5276"/>
      <name val="Arial"/>
      <family val="2"/>
    </font>
    <font>
      <b/>
      <sz val="9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0000FF"/>
      <name val="Arial"/>
      <family val="2"/>
    </font>
    <font>
      <sz val="9"/>
      <color rgb="FF000000"/>
      <name val="Arial"/>
      <family val="2"/>
    </font>
    <font>
      <i/>
      <sz val="9"/>
      <color rgb="FFFFFFFF"/>
      <name val="Arial"/>
      <family val="2"/>
    </font>
    <font>
      <b/>
      <sz val="12"/>
      <color rgb="FFFFD700"/>
      <name val="Arial"/>
      <family val="2"/>
    </font>
    <font>
      <i/>
      <sz val="9"/>
      <color rgb="FFCCCCCC"/>
      <name val="Arial"/>
      <family val="2"/>
    </font>
    <font>
      <b/>
      <sz val="9"/>
      <color rgb="FF0000FF"/>
      <name val="Arial"/>
      <family val="2"/>
    </font>
    <font>
      <sz val="9"/>
      <color rgb="FFC00000"/>
      <name val="Arial"/>
      <family val="2"/>
    </font>
    <font>
      <b/>
      <sz val="9"/>
      <color rgb="FF007B40"/>
      <name val="Arial"/>
      <family val="2"/>
    </font>
    <font>
      <b/>
      <sz val="10"/>
      <color rgb="FF1A5276"/>
      <name val="Arial"/>
      <family val="2"/>
    </font>
    <font>
      <sz val="9"/>
      <color rgb="FF595959"/>
      <name val="Arial"/>
      <family val="2"/>
    </font>
    <font>
      <b/>
      <sz val="9"/>
      <color rgb="FF375623"/>
      <name val="Arial"/>
      <family val="2"/>
    </font>
    <font>
      <b/>
      <sz val="9"/>
      <color theme="0"/>
      <name val="Arial"/>
      <family val="2"/>
      <charset val="1"/>
    </font>
    <font>
      <b/>
      <sz val="11"/>
      <color rgb="FFFFFFFF"/>
      <name val="Arial"/>
    </font>
    <font>
      <b/>
      <sz val="9"/>
      <color rgb="FFFFFFFF"/>
      <name val="Arial"/>
    </font>
    <font>
      <sz val="8"/>
      <color rgb="FF595959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8"/>
      <color rgb="FF1A5276"/>
      <name val="Arial"/>
    </font>
    <font>
      <b/>
      <sz val="8"/>
      <color rgb="FF375623"/>
      <name val="Arial"/>
    </font>
    <font>
      <sz val="9"/>
      <color rgb="FF1A5276"/>
      <name val="Arial"/>
    </font>
    <font>
      <sz val="9"/>
      <color rgb="FF843C0C"/>
      <name val="Arial"/>
    </font>
    <font>
      <sz val="9"/>
      <color rgb="FF375623"/>
      <name val="Arial"/>
    </font>
    <font>
      <i/>
      <sz val="8"/>
      <color rgb="FF595959"/>
      <name val="Arial"/>
    </font>
    <font>
      <b/>
      <sz val="8"/>
      <color rgb="FF843C0C"/>
      <name val="Arial"/>
    </font>
    <font>
      <b/>
      <sz val="8"/>
      <color rgb="FFFFFFFF"/>
      <name val="Arial"/>
    </font>
    <font>
      <b/>
      <sz val="12"/>
      <color rgb="FFFFFFFF"/>
      <name val="Arial"/>
    </font>
    <font>
      <i/>
      <sz val="7"/>
      <color rgb="FFFFFFFF"/>
      <name val="Arial"/>
    </font>
    <font>
      <i/>
      <sz val="8"/>
      <color rgb="FF843C0C"/>
      <name val="Arial"/>
    </font>
    <font>
      <b/>
      <sz val="9"/>
      <color rgb="FF2F5496"/>
      <name val="Arial"/>
    </font>
    <font>
      <sz val="9"/>
      <color rgb="FF2C3E50"/>
      <name val="Arial"/>
    </font>
    <font>
      <b/>
      <sz val="8"/>
      <color rgb="FF00B050"/>
      <name val="Arial"/>
    </font>
    <font>
      <b/>
      <sz val="8"/>
      <color rgb="FFFF8000"/>
      <name val="Arial"/>
    </font>
    <font>
      <sz val="8"/>
      <color rgb="FF843C0C"/>
      <name val="Arial"/>
    </font>
    <font>
      <b/>
      <sz val="8"/>
      <color rgb="FFC00000"/>
      <name val="Arial"/>
    </font>
    <font>
      <sz val="8"/>
      <color rgb="FFC00000"/>
      <name val="Arial"/>
    </font>
    <font>
      <b/>
      <sz val="9"/>
      <color rgb="FFFF0000"/>
      <name val="Arial"/>
      <family val="2"/>
    </font>
    <font>
      <b/>
      <sz val="9"/>
      <color rgb="FF2F5496"/>
      <name val="Arial"/>
      <family val="2"/>
    </font>
    <font>
      <sz val="8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7F9FC"/>
        <bgColor rgb="FFFFFFFF"/>
      </patternFill>
    </fill>
    <fill>
      <patternFill patternType="solid">
        <fgColor rgb="FFFFF2CC"/>
        <bgColor rgb="FFF7F9FC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rgb="FF1A5276"/>
      </patternFill>
    </fill>
    <fill>
      <patternFill patternType="solid">
        <fgColor rgb="FF2F5496"/>
        <bgColor rgb="FF1A5276"/>
      </patternFill>
    </fill>
    <fill>
      <patternFill patternType="solid">
        <fgColor rgb="FFEBF3FB"/>
        <bgColor rgb="FFE8F4FD"/>
      </patternFill>
    </fill>
    <fill>
      <patternFill patternType="solid">
        <fgColor rgb="FFFFF2CC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1A3A5C"/>
      </patternFill>
    </fill>
    <fill>
      <patternFill patternType="solid">
        <fgColor rgb="FF7F4F00"/>
      </patternFill>
    </fill>
    <fill>
      <patternFill patternType="solid">
        <fgColor rgb="FF1E4D2B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A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  <bgColor rgb="FFFFFFFF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5" fillId="4" borderId="0" xfId="0" applyNumberFormat="1" applyFont="1" applyFill="1"/>
    <xf numFmtId="4" fontId="6" fillId="0" borderId="0" xfId="0" applyNumberFormat="1" applyFont="1"/>
    <xf numFmtId="165" fontId="7" fillId="0" borderId="0" xfId="0" applyNumberFormat="1" applyFont="1"/>
    <xf numFmtId="0" fontId="5" fillId="0" borderId="0" xfId="0" applyFont="1"/>
    <xf numFmtId="0" fontId="8" fillId="0" borderId="0" xfId="0" applyFont="1" applyAlignment="1">
      <alignment vertical="center"/>
    </xf>
    <xf numFmtId="0" fontId="8" fillId="5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6" fillId="6" borderId="3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left" vertical="center"/>
    </xf>
    <xf numFmtId="0" fontId="19" fillId="8" borderId="3" xfId="0" applyFont="1" applyFill="1" applyBorder="1" applyAlignment="1">
      <alignment horizontal="left" vertical="center" wrapText="1"/>
    </xf>
    <xf numFmtId="1" fontId="20" fillId="9" borderId="3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left" vertical="center"/>
    </xf>
    <xf numFmtId="0" fontId="19" fillId="10" borderId="3" xfId="0" applyFont="1" applyFill="1" applyBorder="1" applyAlignment="1">
      <alignment horizontal="left" vertical="center" wrapText="1"/>
    </xf>
    <xf numFmtId="0" fontId="19" fillId="10" borderId="3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right" vertical="center"/>
    </xf>
    <xf numFmtId="0" fontId="21" fillId="6" borderId="3" xfId="0" applyFont="1" applyFill="1" applyBorder="1" applyAlignment="1">
      <alignment horizontal="left" vertical="center"/>
    </xf>
    <xf numFmtId="0" fontId="22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left" vertical="center"/>
    </xf>
    <xf numFmtId="0" fontId="21" fillId="8" borderId="3" xfId="0" applyFont="1" applyFill="1" applyBorder="1" applyAlignment="1">
      <alignment horizontal="left" vertical="center"/>
    </xf>
    <xf numFmtId="3" fontId="25" fillId="9" borderId="3" xfId="0" applyNumberFormat="1" applyFont="1" applyFill="1" applyBorder="1" applyAlignment="1">
      <alignment horizontal="center" vertical="center"/>
    </xf>
    <xf numFmtId="3" fontId="19" fillId="8" borderId="3" xfId="0" applyNumberFormat="1" applyFont="1" applyFill="1" applyBorder="1" applyAlignment="1">
      <alignment horizontal="center" vertical="center"/>
    </xf>
    <xf numFmtId="0" fontId="26" fillId="8" borderId="3" xfId="0" applyFont="1" applyFill="1" applyBorder="1" applyAlignment="1">
      <alignment horizontal="left" vertical="center"/>
    </xf>
    <xf numFmtId="0" fontId="21" fillId="10" borderId="3" xfId="0" applyFont="1" applyFill="1" applyBorder="1" applyAlignment="1">
      <alignment horizontal="left" vertical="center"/>
    </xf>
    <xf numFmtId="3" fontId="19" fillId="10" borderId="3" xfId="0" applyNumberFormat="1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left" vertical="center"/>
    </xf>
    <xf numFmtId="0" fontId="27" fillId="10" borderId="3" xfId="0" applyFont="1" applyFill="1" applyBorder="1" applyAlignment="1">
      <alignment horizontal="left" vertical="center"/>
    </xf>
    <xf numFmtId="0" fontId="27" fillId="8" borderId="3" xfId="0" applyFont="1" applyFill="1" applyBorder="1" applyAlignment="1">
      <alignment horizontal="left" vertical="center"/>
    </xf>
    <xf numFmtId="1" fontId="25" fillId="9" borderId="3" xfId="0" applyNumberFormat="1" applyFont="1" applyFill="1" applyBorder="1" applyAlignment="1">
      <alignment horizontal="center" vertical="center"/>
    </xf>
    <xf numFmtId="0" fontId="28" fillId="8" borderId="3" xfId="0" applyFont="1" applyFill="1" applyBorder="1" applyAlignment="1">
      <alignment horizontal="center" vertical="center"/>
    </xf>
    <xf numFmtId="0" fontId="29" fillId="8" borderId="3" xfId="0" applyFont="1" applyFill="1" applyBorder="1" applyAlignment="1">
      <alignment horizontal="center" vertical="center"/>
    </xf>
    <xf numFmtId="0" fontId="28" fillId="10" borderId="3" xfId="0" applyFont="1" applyFill="1" applyBorder="1" applyAlignment="1">
      <alignment horizontal="center" vertical="center"/>
    </xf>
    <xf numFmtId="0" fontId="29" fillId="10" borderId="3" xfId="0" applyFont="1" applyFill="1" applyBorder="1" applyAlignment="1">
      <alignment horizontal="center" vertical="center"/>
    </xf>
    <xf numFmtId="0" fontId="30" fillId="10" borderId="3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 wrapText="1"/>
    </xf>
    <xf numFmtId="0" fontId="33" fillId="13" borderId="5" xfId="0" applyFont="1" applyFill="1" applyBorder="1" applyAlignment="1">
      <alignment horizontal="center" vertical="center" wrapText="1"/>
    </xf>
    <xf numFmtId="0" fontId="33" fillId="14" borderId="5" xfId="0" applyFont="1" applyFill="1" applyBorder="1" applyAlignment="1">
      <alignment horizontal="center" vertical="center" wrapText="1"/>
    </xf>
    <xf numFmtId="0" fontId="33" fillId="15" borderId="5" xfId="0" applyFont="1" applyFill="1" applyBorder="1" applyAlignment="1">
      <alignment horizontal="center" vertical="center" wrapText="1"/>
    </xf>
    <xf numFmtId="0" fontId="33" fillId="11" borderId="5" xfId="0" applyFont="1" applyFill="1" applyBorder="1" applyAlignment="1">
      <alignment horizontal="center" vertical="center"/>
    </xf>
    <xf numFmtId="0" fontId="34" fillId="16" borderId="5" xfId="0" applyFont="1" applyFill="1" applyBorder="1" applyAlignment="1">
      <alignment horizontal="center" vertical="center" wrapText="1"/>
    </xf>
    <xf numFmtId="0" fontId="34" fillId="17" borderId="5" xfId="0" applyFont="1" applyFill="1" applyBorder="1" applyAlignment="1">
      <alignment horizontal="center" vertical="center" wrapText="1"/>
    </xf>
    <xf numFmtId="0" fontId="34" fillId="18" borderId="5" xfId="0" applyFont="1" applyFill="1" applyBorder="1" applyAlignment="1">
      <alignment horizontal="center" vertical="center" wrapText="1"/>
    </xf>
    <xf numFmtId="0" fontId="34" fillId="19" borderId="5" xfId="0" applyFont="1" applyFill="1" applyBorder="1" applyAlignment="1">
      <alignment horizontal="center" vertical="center" wrapText="1"/>
    </xf>
    <xf numFmtId="0" fontId="35" fillId="16" borderId="5" xfId="0" applyFont="1" applyFill="1" applyBorder="1" applyAlignment="1">
      <alignment horizontal="left" vertical="center"/>
    </xf>
    <xf numFmtId="0" fontId="37" fillId="16" borderId="5" xfId="0" applyFont="1" applyFill="1" applyBorder="1" applyAlignment="1">
      <alignment horizontal="left" vertical="center" wrapText="1"/>
    </xf>
    <xf numFmtId="0" fontId="38" fillId="19" borderId="5" xfId="0" applyFont="1" applyFill="1" applyBorder="1" applyAlignment="1">
      <alignment horizontal="center" vertical="center"/>
    </xf>
    <xf numFmtId="0" fontId="39" fillId="17" borderId="5" xfId="0" applyFont="1" applyFill="1" applyBorder="1" applyAlignment="1">
      <alignment horizontal="center" vertical="center"/>
    </xf>
    <xf numFmtId="0" fontId="40" fillId="18" borderId="5" xfId="0" applyFont="1" applyFill="1" applyBorder="1" applyAlignment="1">
      <alignment horizontal="center" vertical="center"/>
    </xf>
    <xf numFmtId="0" fontId="41" fillId="19" borderId="5" xfId="0" applyFont="1" applyFill="1" applyBorder="1" applyAlignment="1">
      <alignment horizontal="center" vertical="center"/>
    </xf>
    <xf numFmtId="0" fontId="42" fillId="16" borderId="5" xfId="0" applyFont="1" applyFill="1" applyBorder="1" applyAlignment="1">
      <alignment horizontal="left" vertical="center" wrapText="1"/>
    </xf>
    <xf numFmtId="0" fontId="37" fillId="17" borderId="5" xfId="0" applyFont="1" applyFill="1" applyBorder="1" applyAlignment="1">
      <alignment horizontal="left" vertical="center" wrapText="1"/>
    </xf>
    <xf numFmtId="0" fontId="43" fillId="20" borderId="5" xfId="0" applyFont="1" applyFill="1" applyBorder="1" applyAlignment="1">
      <alignment horizontal="center" vertical="center"/>
    </xf>
    <xf numFmtId="0" fontId="43" fillId="18" borderId="5" xfId="0" applyFont="1" applyFill="1" applyBorder="1" applyAlignment="1">
      <alignment horizontal="center" vertical="center"/>
    </xf>
    <xf numFmtId="0" fontId="44" fillId="11" borderId="5" xfId="0" applyFont="1" applyFill="1" applyBorder="1" applyAlignment="1">
      <alignment horizontal="center" vertical="center"/>
    </xf>
    <xf numFmtId="0" fontId="44" fillId="12" borderId="5" xfId="0" applyFont="1" applyFill="1" applyBorder="1" applyAlignment="1">
      <alignment horizontal="center" vertical="center"/>
    </xf>
    <xf numFmtId="0" fontId="43" fillId="16" borderId="5" xfId="0" applyFont="1" applyFill="1" applyBorder="1" applyAlignment="1">
      <alignment horizontal="center" vertical="center"/>
    </xf>
    <xf numFmtId="166" fontId="19" fillId="8" borderId="3" xfId="0" applyNumberFormat="1" applyFont="1" applyFill="1" applyBorder="1" applyAlignment="1">
      <alignment horizontal="center" vertical="center"/>
    </xf>
    <xf numFmtId="166" fontId="25" fillId="9" borderId="3" xfId="0" applyNumberFormat="1" applyFont="1" applyFill="1" applyBorder="1" applyAlignment="1">
      <alignment horizontal="center" vertical="center"/>
    </xf>
    <xf numFmtId="166" fontId="19" fillId="10" borderId="3" xfId="0" applyNumberFormat="1" applyFont="1" applyFill="1" applyBorder="1" applyAlignment="1">
      <alignment horizontal="center" vertical="center"/>
    </xf>
    <xf numFmtId="0" fontId="40" fillId="5" borderId="5" xfId="0" applyFont="1" applyFill="1" applyBorder="1" applyAlignment="1">
      <alignment horizontal="center" vertical="center"/>
    </xf>
    <xf numFmtId="0" fontId="44" fillId="11" borderId="5" xfId="0" applyFont="1" applyFill="1" applyBorder="1" applyAlignment="1">
      <alignment horizontal="center" vertical="center" wrapText="1"/>
    </xf>
    <xf numFmtId="0" fontId="44" fillId="13" borderId="5" xfId="0" applyFont="1" applyFill="1" applyBorder="1" applyAlignment="1">
      <alignment horizontal="center" vertical="center" wrapText="1"/>
    </xf>
    <xf numFmtId="0" fontId="44" fillId="14" borderId="5" xfId="0" applyFont="1" applyFill="1" applyBorder="1" applyAlignment="1">
      <alignment horizontal="center" vertical="center" wrapText="1"/>
    </xf>
    <xf numFmtId="0" fontId="44" fillId="15" borderId="5" xfId="0" applyFont="1" applyFill="1" applyBorder="1" applyAlignment="1">
      <alignment horizontal="center" vertical="center" wrapText="1"/>
    </xf>
    <xf numFmtId="0" fontId="46" fillId="11" borderId="5" xfId="0" applyFont="1" applyFill="1" applyBorder="1" applyAlignment="1">
      <alignment horizontal="center" vertical="center" wrapText="1"/>
    </xf>
    <xf numFmtId="0" fontId="46" fillId="13" borderId="5" xfId="0" applyFont="1" applyFill="1" applyBorder="1" applyAlignment="1">
      <alignment horizontal="center" vertical="center" wrapText="1"/>
    </xf>
    <xf numFmtId="0" fontId="46" fillId="14" borderId="5" xfId="0" applyFont="1" applyFill="1" applyBorder="1" applyAlignment="1">
      <alignment horizontal="center" vertical="center" wrapText="1"/>
    </xf>
    <xf numFmtId="0" fontId="46" fillId="15" borderId="5" xfId="0" applyFont="1" applyFill="1" applyBorder="1" applyAlignment="1">
      <alignment horizontal="center" vertical="center" wrapText="1"/>
    </xf>
    <xf numFmtId="0" fontId="47" fillId="18" borderId="5" xfId="0" applyFont="1" applyFill="1" applyBorder="1" applyAlignment="1">
      <alignment horizontal="left" vertical="center" wrapText="1"/>
    </xf>
    <xf numFmtId="0" fontId="48" fillId="16" borderId="5" xfId="0" applyFont="1" applyFill="1" applyBorder="1" applyAlignment="1">
      <alignment horizontal="center" vertical="center"/>
    </xf>
    <xf numFmtId="0" fontId="49" fillId="17" borderId="5" xfId="0" applyFont="1" applyFill="1" applyBorder="1" applyAlignment="1">
      <alignment horizontal="center" vertical="center"/>
    </xf>
    <xf numFmtId="0" fontId="50" fillId="21" borderId="5" xfId="0" applyFont="1" applyFill="1" applyBorder="1" applyAlignment="1">
      <alignment horizontal="center" vertical="center" wrapText="1"/>
    </xf>
    <xf numFmtId="0" fontId="51" fillId="23" borderId="5" xfId="0" applyFont="1" applyFill="1" applyBorder="1" applyAlignment="1">
      <alignment horizontal="center" vertical="center" wrapText="1"/>
    </xf>
    <xf numFmtId="0" fontId="52" fillId="23" borderId="5" xfId="0" applyFont="1" applyFill="1" applyBorder="1" applyAlignment="1">
      <alignment horizontal="left" vertical="center" wrapText="1"/>
    </xf>
    <xf numFmtId="0" fontId="48" fillId="17" borderId="5" xfId="0" applyFont="1" applyFill="1" applyBorder="1" applyAlignment="1">
      <alignment horizontal="center" vertical="center"/>
    </xf>
    <xf numFmtId="0" fontId="52" fillId="24" borderId="5" xfId="0" applyFont="1" applyFill="1" applyBorder="1" applyAlignment="1">
      <alignment horizontal="left" vertical="center" wrapText="1"/>
    </xf>
    <xf numFmtId="0" fontId="53" fillId="22" borderId="5" xfId="0" applyFont="1" applyFill="1" applyBorder="1" applyAlignment="1">
      <alignment horizontal="center" vertical="center" wrapText="1"/>
    </xf>
    <xf numFmtId="0" fontId="54" fillId="25" borderId="5" xfId="0" applyFont="1" applyFill="1" applyBorder="1" applyAlignment="1">
      <alignment horizontal="left" vertical="center" wrapText="1"/>
    </xf>
    <xf numFmtId="164" fontId="2" fillId="26" borderId="1" xfId="0" applyNumberFormat="1" applyFont="1" applyFill="1" applyBorder="1" applyAlignment="1">
      <alignment horizontal="right"/>
    </xf>
    <xf numFmtId="1" fontId="0" fillId="0" borderId="0" xfId="0" applyNumberFormat="1"/>
    <xf numFmtId="0" fontId="56" fillId="17" borderId="5" xfId="0" applyFont="1" applyFill="1" applyBorder="1" applyAlignment="1">
      <alignment horizontal="center" vertical="center"/>
    </xf>
    <xf numFmtId="0" fontId="57" fillId="25" borderId="5" xfId="0" applyFont="1" applyFill="1" applyBorder="1" applyAlignment="1">
      <alignment horizontal="left" vertical="center" wrapText="1"/>
    </xf>
    <xf numFmtId="0" fontId="36" fillId="12" borderId="5" xfId="0" applyFont="1" applyFill="1" applyBorder="1" applyAlignment="1">
      <alignment horizontal="center" vertical="center"/>
    </xf>
    <xf numFmtId="0" fontId="0" fillId="0" borderId="0" xfId="0"/>
    <xf numFmtId="0" fontId="36" fillId="11" borderId="5" xfId="0" applyFont="1" applyFill="1" applyBorder="1" applyAlignment="1">
      <alignment horizontal="center" vertical="center" wrapText="1"/>
    </xf>
    <xf numFmtId="0" fontId="45" fillId="11" borderId="5" xfId="0" applyFont="1" applyFill="1" applyBorder="1" applyAlignment="1">
      <alignment horizontal="center" vertical="center"/>
    </xf>
    <xf numFmtId="0" fontId="33" fillId="12" borderId="5" xfId="0" applyFont="1" applyFill="1" applyBorder="1" applyAlignment="1">
      <alignment horizontal="center" vertical="center" wrapText="1"/>
    </xf>
    <xf numFmtId="0" fontId="32" fillId="11" borderId="5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0" fillId="0" borderId="4" xfId="0" applyBorder="1"/>
    <xf numFmtId="0" fontId="15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3" fontId="48" fillId="16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7F9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72"/>
  <sheetViews>
    <sheetView topLeftCell="C1" zoomScaleNormal="100" workbookViewId="0">
      <pane ySplit="1" topLeftCell="A3" activePane="bottomLeft" state="frozen"/>
      <selection pane="bottomLeft" activeCell="I165" sqref="I3:I165"/>
    </sheetView>
  </sheetViews>
  <sheetFormatPr defaultColWidth="8.5703125" defaultRowHeight="15" x14ac:dyDescent="0.25"/>
  <cols>
    <col min="1" max="1" width="12" customWidth="1"/>
    <col min="2" max="2" width="22" customWidth="1"/>
    <col min="3" max="3" width="28" customWidth="1"/>
    <col min="4" max="4" width="10" customWidth="1"/>
    <col min="5" max="5" width="22" customWidth="1"/>
    <col min="6" max="6" width="12" customWidth="1"/>
    <col min="7" max="7" width="11" customWidth="1"/>
    <col min="8" max="8" width="44" customWidth="1"/>
    <col min="9" max="10" width="14" customWidth="1"/>
    <col min="11" max="11" width="11" customWidth="1"/>
    <col min="12" max="12" width="13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6" t="s">
        <v>18</v>
      </c>
      <c r="H2" s="2" t="s">
        <v>19</v>
      </c>
      <c r="I2" s="9">
        <v>9500</v>
      </c>
      <c r="J2" s="9">
        <v>42815</v>
      </c>
      <c r="K2" s="2" t="s">
        <v>20</v>
      </c>
      <c r="L2" s="2" t="s">
        <v>12</v>
      </c>
    </row>
    <row r="3" spans="1:12" x14ac:dyDescent="0.25">
      <c r="A3" s="4" t="s">
        <v>21</v>
      </c>
      <c r="B3" s="4" t="s">
        <v>22</v>
      </c>
      <c r="C3" s="4" t="s">
        <v>14</v>
      </c>
      <c r="D3" s="4" t="s">
        <v>15</v>
      </c>
      <c r="E3" s="4" t="s">
        <v>23</v>
      </c>
      <c r="F3" s="4" t="s">
        <v>24</v>
      </c>
      <c r="G3" s="5" t="s">
        <v>25</v>
      </c>
      <c r="H3" s="4" t="s">
        <v>26</v>
      </c>
      <c r="I3" s="10">
        <v>-677</v>
      </c>
      <c r="J3" s="10">
        <v>43492</v>
      </c>
      <c r="K3" s="4" t="s">
        <v>20</v>
      </c>
      <c r="L3" s="4" t="s">
        <v>21</v>
      </c>
    </row>
    <row r="4" spans="1:12" x14ac:dyDescent="0.25">
      <c r="A4" s="2" t="s">
        <v>27</v>
      </c>
      <c r="B4" s="2" t="s">
        <v>28</v>
      </c>
      <c r="C4" s="2" t="s">
        <v>14</v>
      </c>
      <c r="D4" s="2" t="s">
        <v>15</v>
      </c>
      <c r="E4" s="2" t="s">
        <v>29</v>
      </c>
      <c r="F4" s="2" t="s">
        <v>24</v>
      </c>
      <c r="G4" s="3" t="s">
        <v>25</v>
      </c>
      <c r="H4" s="2" t="s">
        <v>30</v>
      </c>
      <c r="I4" s="9">
        <v>-968</v>
      </c>
      <c r="J4" s="9">
        <v>44460</v>
      </c>
      <c r="K4" s="2" t="s">
        <v>20</v>
      </c>
      <c r="L4" s="2" t="s">
        <v>27</v>
      </c>
    </row>
    <row r="5" spans="1:12" x14ac:dyDescent="0.25">
      <c r="A5" s="4" t="s">
        <v>31</v>
      </c>
      <c r="B5" s="4" t="s">
        <v>32</v>
      </c>
      <c r="C5" s="4" t="s">
        <v>14</v>
      </c>
      <c r="D5" s="4" t="s">
        <v>15</v>
      </c>
      <c r="E5" s="4" t="s">
        <v>33</v>
      </c>
      <c r="F5" s="4" t="s">
        <v>24</v>
      </c>
      <c r="G5" s="5" t="s">
        <v>25</v>
      </c>
      <c r="H5" s="4" t="s">
        <v>34</v>
      </c>
      <c r="I5" s="10">
        <v>-673</v>
      </c>
      <c r="J5" s="10">
        <v>45133</v>
      </c>
      <c r="K5" s="4" t="s">
        <v>20</v>
      </c>
      <c r="L5" s="4" t="s">
        <v>31</v>
      </c>
    </row>
    <row r="6" spans="1:12" x14ac:dyDescent="0.25">
      <c r="A6" s="2" t="s">
        <v>35</v>
      </c>
      <c r="B6" s="2" t="s">
        <v>36</v>
      </c>
      <c r="C6" s="2" t="s">
        <v>14</v>
      </c>
      <c r="D6" s="2" t="s">
        <v>15</v>
      </c>
      <c r="E6" s="2" t="s">
        <v>23</v>
      </c>
      <c r="F6" s="2" t="s">
        <v>24</v>
      </c>
      <c r="G6" s="3" t="s">
        <v>25</v>
      </c>
      <c r="H6" s="2" t="s">
        <v>37</v>
      </c>
      <c r="I6" s="9">
        <v>-247</v>
      </c>
      <c r="J6" s="9">
        <v>45380</v>
      </c>
      <c r="K6" s="2" t="s">
        <v>20</v>
      </c>
      <c r="L6" s="2" t="s">
        <v>35</v>
      </c>
    </row>
    <row r="7" spans="1:12" x14ac:dyDescent="0.25">
      <c r="A7" s="4" t="s">
        <v>38</v>
      </c>
      <c r="B7" s="4" t="s">
        <v>39</v>
      </c>
      <c r="C7" s="4" t="s">
        <v>14</v>
      </c>
      <c r="D7" s="4" t="s">
        <v>15</v>
      </c>
      <c r="E7" s="4" t="s">
        <v>23</v>
      </c>
      <c r="F7" s="4" t="s">
        <v>24</v>
      </c>
      <c r="G7" s="5" t="s">
        <v>25</v>
      </c>
      <c r="H7" s="4" t="s">
        <v>40</v>
      </c>
      <c r="I7" s="10">
        <v>-881</v>
      </c>
      <c r="J7" s="10">
        <v>46261</v>
      </c>
      <c r="K7" s="4" t="s">
        <v>20</v>
      </c>
      <c r="L7" s="4" t="s">
        <v>38</v>
      </c>
    </row>
    <row r="8" spans="1:12" x14ac:dyDescent="0.25">
      <c r="A8" s="2" t="s">
        <v>41</v>
      </c>
      <c r="B8" s="2" t="s">
        <v>42</v>
      </c>
      <c r="C8" s="2" t="s">
        <v>14</v>
      </c>
      <c r="D8" s="2" t="s">
        <v>15</v>
      </c>
      <c r="E8" s="2" t="s">
        <v>23</v>
      </c>
      <c r="F8" s="2" t="s">
        <v>24</v>
      </c>
      <c r="G8" s="3" t="s">
        <v>25</v>
      </c>
      <c r="H8" s="2" t="s">
        <v>40</v>
      </c>
      <c r="I8" s="9">
        <v>-881</v>
      </c>
      <c r="J8" s="9">
        <v>47142</v>
      </c>
      <c r="K8" s="2" t="s">
        <v>20</v>
      </c>
      <c r="L8" s="2" t="s">
        <v>41</v>
      </c>
    </row>
    <row r="9" spans="1:12" x14ac:dyDescent="0.25">
      <c r="A9" s="4" t="s">
        <v>43</v>
      </c>
      <c r="B9" s="4" t="s">
        <v>44</v>
      </c>
      <c r="C9" s="4" t="s">
        <v>14</v>
      </c>
      <c r="D9" s="4" t="s">
        <v>15</v>
      </c>
      <c r="E9" s="4" t="s">
        <v>23</v>
      </c>
      <c r="F9" s="4" t="s">
        <v>24</v>
      </c>
      <c r="G9" s="5" t="s">
        <v>25</v>
      </c>
      <c r="H9" s="4" t="s">
        <v>45</v>
      </c>
      <c r="I9" s="10">
        <v>-677</v>
      </c>
      <c r="J9" s="10">
        <v>47819</v>
      </c>
      <c r="K9" s="4" t="s">
        <v>20</v>
      </c>
      <c r="L9" s="4" t="s">
        <v>43</v>
      </c>
    </row>
    <row r="10" spans="1:12" x14ac:dyDescent="0.25">
      <c r="A10" s="2" t="s">
        <v>46</v>
      </c>
      <c r="B10" s="2" t="s">
        <v>47</v>
      </c>
      <c r="C10" s="2" t="s">
        <v>14</v>
      </c>
      <c r="D10" s="2" t="s">
        <v>15</v>
      </c>
      <c r="E10" s="2" t="s">
        <v>33</v>
      </c>
      <c r="F10" s="2" t="s">
        <v>24</v>
      </c>
      <c r="G10" s="3" t="s">
        <v>25</v>
      </c>
      <c r="H10" s="2" t="s">
        <v>48</v>
      </c>
      <c r="I10" s="9">
        <v>-446</v>
      </c>
      <c r="J10" s="9">
        <v>48265</v>
      </c>
      <c r="K10" s="2" t="s">
        <v>20</v>
      </c>
      <c r="L10" s="2" t="s">
        <v>46</v>
      </c>
    </row>
    <row r="11" spans="1:12" x14ac:dyDescent="0.25">
      <c r="A11" s="4" t="s">
        <v>49</v>
      </c>
      <c r="B11" s="4" t="s">
        <v>50</v>
      </c>
      <c r="C11" s="4" t="s">
        <v>14</v>
      </c>
      <c r="D11" s="4" t="s">
        <v>15</v>
      </c>
      <c r="E11" s="4" t="s">
        <v>23</v>
      </c>
      <c r="F11" s="4" t="s">
        <v>24</v>
      </c>
      <c r="G11" s="5" t="s">
        <v>25</v>
      </c>
      <c r="H11" s="4" t="s">
        <v>51</v>
      </c>
      <c r="I11" s="10">
        <v>-541</v>
      </c>
      <c r="J11" s="10">
        <v>48806</v>
      </c>
      <c r="K11" s="4" t="s">
        <v>20</v>
      </c>
      <c r="L11" s="4" t="s">
        <v>49</v>
      </c>
    </row>
    <row r="12" spans="1:12" x14ac:dyDescent="0.25">
      <c r="A12" s="2" t="s">
        <v>52</v>
      </c>
      <c r="B12" s="2" t="s">
        <v>53</v>
      </c>
      <c r="C12" s="2" t="s">
        <v>14</v>
      </c>
      <c r="D12" s="2" t="s">
        <v>15</v>
      </c>
      <c r="E12" s="2" t="s">
        <v>54</v>
      </c>
      <c r="F12" s="2" t="s">
        <v>24</v>
      </c>
      <c r="G12" s="3" t="s">
        <v>25</v>
      </c>
      <c r="H12" s="2" t="s">
        <v>55</v>
      </c>
      <c r="I12" s="9">
        <v>-388</v>
      </c>
      <c r="J12" s="9">
        <v>49194</v>
      </c>
      <c r="K12" s="2" t="s">
        <v>20</v>
      </c>
      <c r="L12" s="2" t="s">
        <v>52</v>
      </c>
    </row>
    <row r="13" spans="1:12" x14ac:dyDescent="0.25">
      <c r="A13" s="4" t="s">
        <v>56</v>
      </c>
      <c r="B13" s="4" t="s">
        <v>57</v>
      </c>
      <c r="C13" s="4" t="s">
        <v>14</v>
      </c>
      <c r="D13" s="4" t="s">
        <v>15</v>
      </c>
      <c r="E13" s="4" t="s">
        <v>23</v>
      </c>
      <c r="F13" s="4" t="s">
        <v>24</v>
      </c>
      <c r="G13" s="5" t="s">
        <v>25</v>
      </c>
      <c r="H13" s="4" t="s">
        <v>58</v>
      </c>
      <c r="I13" s="10">
        <v>-721</v>
      </c>
      <c r="J13" s="10">
        <v>49915</v>
      </c>
      <c r="K13" s="4" t="s">
        <v>20</v>
      </c>
      <c r="L13" s="4" t="s">
        <v>56</v>
      </c>
    </row>
    <row r="14" spans="1:12" hidden="1" x14ac:dyDescent="0.25">
      <c r="A14" s="2" t="s">
        <v>56</v>
      </c>
      <c r="B14" s="2" t="s">
        <v>59</v>
      </c>
      <c r="C14" s="2" t="s">
        <v>14</v>
      </c>
      <c r="D14" s="2" t="s">
        <v>15</v>
      </c>
      <c r="E14" s="2" t="s">
        <v>33</v>
      </c>
      <c r="F14" s="2" t="s">
        <v>24</v>
      </c>
      <c r="G14" s="3" t="s">
        <v>25</v>
      </c>
      <c r="H14" s="2" t="s">
        <v>60</v>
      </c>
      <c r="I14" s="9">
        <v>-1200</v>
      </c>
      <c r="J14" s="9">
        <v>51115</v>
      </c>
      <c r="K14" s="2" t="s">
        <v>20</v>
      </c>
      <c r="L14" s="2" t="s">
        <v>56</v>
      </c>
    </row>
    <row r="15" spans="1:12" hidden="1" x14ac:dyDescent="0.25">
      <c r="A15" s="4" t="s">
        <v>61</v>
      </c>
      <c r="B15" s="4" t="s">
        <v>62</v>
      </c>
      <c r="C15" s="4" t="s">
        <v>14</v>
      </c>
      <c r="D15" s="4" t="s">
        <v>15</v>
      </c>
      <c r="E15" s="4" t="s">
        <v>16</v>
      </c>
      <c r="F15" s="4" t="s">
        <v>17</v>
      </c>
      <c r="G15" s="7" t="s">
        <v>18</v>
      </c>
      <c r="H15" s="4" t="s">
        <v>19</v>
      </c>
      <c r="I15" s="10">
        <v>9300</v>
      </c>
      <c r="J15" s="10">
        <v>41815</v>
      </c>
      <c r="K15" s="4" t="s">
        <v>20</v>
      </c>
      <c r="L15" s="4" t="s">
        <v>61</v>
      </c>
    </row>
    <row r="16" spans="1:12" x14ac:dyDescent="0.25">
      <c r="A16" s="2" t="s">
        <v>63</v>
      </c>
      <c r="B16" s="2" t="s">
        <v>64</v>
      </c>
      <c r="C16" s="2" t="s">
        <v>14</v>
      </c>
      <c r="D16" s="2" t="s">
        <v>15</v>
      </c>
      <c r="E16" s="2" t="s">
        <v>23</v>
      </c>
      <c r="F16" s="2" t="s">
        <v>24</v>
      </c>
      <c r="G16" s="3" t="s">
        <v>25</v>
      </c>
      <c r="H16" s="2" t="s">
        <v>37</v>
      </c>
      <c r="I16" s="9">
        <v>-562</v>
      </c>
      <c r="J16" s="9">
        <v>42377</v>
      </c>
      <c r="K16" s="2" t="s">
        <v>20</v>
      </c>
      <c r="L16" s="2" t="s">
        <v>63</v>
      </c>
    </row>
    <row r="17" spans="1:12" x14ac:dyDescent="0.25">
      <c r="A17" s="4" t="s">
        <v>65</v>
      </c>
      <c r="B17" s="4" t="s">
        <v>66</v>
      </c>
      <c r="C17" s="4" t="s">
        <v>14</v>
      </c>
      <c r="D17" s="4" t="s">
        <v>15</v>
      </c>
      <c r="E17" s="4" t="s">
        <v>33</v>
      </c>
      <c r="F17" s="4" t="s">
        <v>24</v>
      </c>
      <c r="G17" s="5" t="s">
        <v>25</v>
      </c>
      <c r="H17" s="4" t="s">
        <v>67</v>
      </c>
      <c r="I17" s="10">
        <v>-405</v>
      </c>
      <c r="J17" s="10">
        <v>42782</v>
      </c>
      <c r="K17" s="4" t="s">
        <v>20</v>
      </c>
      <c r="L17" s="4" t="s">
        <v>65</v>
      </c>
    </row>
    <row r="18" spans="1:12" x14ac:dyDescent="0.25">
      <c r="A18" s="2" t="s">
        <v>68</v>
      </c>
      <c r="B18" s="2" t="s">
        <v>69</v>
      </c>
      <c r="C18" s="2" t="s">
        <v>14</v>
      </c>
      <c r="D18" s="2" t="s">
        <v>15</v>
      </c>
      <c r="E18" s="2" t="s">
        <v>23</v>
      </c>
      <c r="F18" s="2" t="s">
        <v>24</v>
      </c>
      <c r="G18" s="3" t="s">
        <v>25</v>
      </c>
      <c r="H18" s="2" t="s">
        <v>51</v>
      </c>
      <c r="I18" s="9">
        <v>-615</v>
      </c>
      <c r="J18" s="9">
        <v>43397</v>
      </c>
      <c r="K18" s="2" t="s">
        <v>20</v>
      </c>
      <c r="L18" s="2" t="s">
        <v>68</v>
      </c>
    </row>
    <row r="19" spans="1:12" x14ac:dyDescent="0.25">
      <c r="A19" s="4" t="s">
        <v>70</v>
      </c>
      <c r="B19" s="4" t="s">
        <v>71</v>
      </c>
      <c r="C19" s="4" t="s">
        <v>14</v>
      </c>
      <c r="D19" s="4" t="s">
        <v>15</v>
      </c>
      <c r="E19" s="4" t="s">
        <v>23</v>
      </c>
      <c r="F19" s="4" t="s">
        <v>24</v>
      </c>
      <c r="G19" s="5" t="s">
        <v>25</v>
      </c>
      <c r="H19" s="4" t="s">
        <v>72</v>
      </c>
      <c r="I19" s="10">
        <v>-515</v>
      </c>
      <c r="J19" s="10">
        <v>43912</v>
      </c>
      <c r="K19" s="4" t="s">
        <v>20</v>
      </c>
      <c r="L19" s="4" t="s">
        <v>73</v>
      </c>
    </row>
    <row r="20" spans="1:12" x14ac:dyDescent="0.25">
      <c r="A20" s="2" t="s">
        <v>74</v>
      </c>
      <c r="B20" s="2" t="s">
        <v>75</v>
      </c>
      <c r="C20" s="2" t="s">
        <v>14</v>
      </c>
      <c r="D20" s="2" t="s">
        <v>15</v>
      </c>
      <c r="E20" s="2" t="s">
        <v>29</v>
      </c>
      <c r="F20" s="2" t="s">
        <v>24</v>
      </c>
      <c r="G20" s="3" t="s">
        <v>25</v>
      </c>
      <c r="H20" s="2" t="s">
        <v>76</v>
      </c>
      <c r="I20" s="9">
        <v>-750</v>
      </c>
      <c r="J20" s="9">
        <v>44662</v>
      </c>
      <c r="K20" s="2" t="s">
        <v>20</v>
      </c>
      <c r="L20" s="2" t="s">
        <v>74</v>
      </c>
    </row>
    <row r="21" spans="1:12" x14ac:dyDescent="0.25">
      <c r="A21" s="4" t="s">
        <v>77</v>
      </c>
      <c r="B21" s="4" t="s">
        <v>78</v>
      </c>
      <c r="C21" s="4" t="s">
        <v>14</v>
      </c>
      <c r="D21" s="4" t="s">
        <v>15</v>
      </c>
      <c r="E21" s="4" t="s">
        <v>23</v>
      </c>
      <c r="F21" s="4" t="s">
        <v>24</v>
      </c>
      <c r="G21" s="5" t="s">
        <v>25</v>
      </c>
      <c r="H21" s="4" t="s">
        <v>26</v>
      </c>
      <c r="I21" s="10">
        <v>-652</v>
      </c>
      <c r="J21" s="10">
        <v>45314</v>
      </c>
      <c r="K21" s="4" t="s">
        <v>20</v>
      </c>
      <c r="L21" s="4" t="s">
        <v>77</v>
      </c>
    </row>
    <row r="22" spans="1:12" x14ac:dyDescent="0.25">
      <c r="A22" s="2" t="s">
        <v>79</v>
      </c>
      <c r="B22" s="2" t="s">
        <v>80</v>
      </c>
      <c r="C22" s="2" t="s">
        <v>14</v>
      </c>
      <c r="D22" s="2" t="s">
        <v>15</v>
      </c>
      <c r="E22" s="2" t="s">
        <v>23</v>
      </c>
      <c r="F22" s="2" t="s">
        <v>24</v>
      </c>
      <c r="G22" s="3" t="s">
        <v>25</v>
      </c>
      <c r="H22" s="2" t="s">
        <v>81</v>
      </c>
      <c r="I22" s="9">
        <v>-515</v>
      </c>
      <c r="J22" s="9">
        <v>45829</v>
      </c>
      <c r="K22" s="2" t="s">
        <v>20</v>
      </c>
      <c r="L22" s="2" t="s">
        <v>79</v>
      </c>
    </row>
    <row r="23" spans="1:12" x14ac:dyDescent="0.25">
      <c r="A23" s="4" t="s">
        <v>82</v>
      </c>
      <c r="B23" s="4" t="s">
        <v>83</v>
      </c>
      <c r="C23" s="4" t="s">
        <v>14</v>
      </c>
      <c r="D23" s="4" t="s">
        <v>15</v>
      </c>
      <c r="E23" s="4" t="s">
        <v>23</v>
      </c>
      <c r="F23" s="4" t="s">
        <v>24</v>
      </c>
      <c r="G23" s="5" t="s">
        <v>25</v>
      </c>
      <c r="H23" s="4" t="s">
        <v>84</v>
      </c>
      <c r="I23" s="10">
        <v>-653</v>
      </c>
      <c r="J23" s="10">
        <v>46482</v>
      </c>
      <c r="K23" s="4" t="s">
        <v>20</v>
      </c>
      <c r="L23" s="4" t="s">
        <v>82</v>
      </c>
    </row>
    <row r="24" spans="1:12" x14ac:dyDescent="0.25">
      <c r="A24" s="2" t="s">
        <v>85</v>
      </c>
      <c r="B24" s="2" t="s">
        <v>86</v>
      </c>
      <c r="C24" s="2" t="s">
        <v>14</v>
      </c>
      <c r="D24" s="2" t="s">
        <v>15</v>
      </c>
      <c r="E24" s="2" t="s">
        <v>23</v>
      </c>
      <c r="F24" s="2" t="s">
        <v>24</v>
      </c>
      <c r="G24" s="3" t="s">
        <v>25</v>
      </c>
      <c r="H24" s="2" t="s">
        <v>87</v>
      </c>
      <c r="I24" s="9">
        <v>-364</v>
      </c>
      <c r="J24" s="9">
        <v>46846</v>
      </c>
      <c r="K24" s="2" t="s">
        <v>20</v>
      </c>
      <c r="L24" s="2" t="s">
        <v>85</v>
      </c>
    </row>
    <row r="25" spans="1:12" x14ac:dyDescent="0.25">
      <c r="A25" s="4" t="s">
        <v>88</v>
      </c>
      <c r="B25" s="4" t="s">
        <v>89</v>
      </c>
      <c r="C25" s="4" t="s">
        <v>14</v>
      </c>
      <c r="D25" s="4" t="s">
        <v>15</v>
      </c>
      <c r="E25" s="4" t="s">
        <v>23</v>
      </c>
      <c r="F25" s="4" t="s">
        <v>24</v>
      </c>
      <c r="G25" s="5" t="s">
        <v>25</v>
      </c>
      <c r="H25" s="4" t="s">
        <v>90</v>
      </c>
      <c r="I25" s="10">
        <v>-339</v>
      </c>
      <c r="J25" s="10">
        <v>47185</v>
      </c>
      <c r="K25" s="4" t="s">
        <v>20</v>
      </c>
      <c r="L25" s="4" t="s">
        <v>88</v>
      </c>
    </row>
    <row r="26" spans="1:12" x14ac:dyDescent="0.25">
      <c r="A26" s="2" t="s">
        <v>91</v>
      </c>
      <c r="B26" s="2" t="s">
        <v>92</v>
      </c>
      <c r="C26" s="2" t="s">
        <v>14</v>
      </c>
      <c r="D26" s="2" t="s">
        <v>15</v>
      </c>
      <c r="E26" s="2" t="s">
        <v>33</v>
      </c>
      <c r="F26" s="2" t="s">
        <v>24</v>
      </c>
      <c r="G26" s="3" t="s">
        <v>25</v>
      </c>
      <c r="H26" s="2" t="s">
        <v>34</v>
      </c>
      <c r="I26" s="9">
        <v>-751</v>
      </c>
      <c r="J26" s="9">
        <v>47936</v>
      </c>
      <c r="K26" s="2" t="s">
        <v>20</v>
      </c>
      <c r="L26" s="2" t="s">
        <v>91</v>
      </c>
    </row>
    <row r="27" spans="1:12" x14ac:dyDescent="0.25">
      <c r="A27" s="4" t="s">
        <v>93</v>
      </c>
      <c r="B27" s="4" t="s">
        <v>94</v>
      </c>
      <c r="C27" s="4" t="s">
        <v>14</v>
      </c>
      <c r="D27" s="4" t="s">
        <v>15</v>
      </c>
      <c r="E27" s="4" t="s">
        <v>23</v>
      </c>
      <c r="F27" s="4" t="s">
        <v>24</v>
      </c>
      <c r="G27" s="5" t="s">
        <v>25</v>
      </c>
      <c r="H27" s="4" t="s">
        <v>95</v>
      </c>
      <c r="I27" s="10">
        <v>-364</v>
      </c>
      <c r="J27" s="10">
        <v>48300</v>
      </c>
      <c r="K27" s="4" t="s">
        <v>20</v>
      </c>
      <c r="L27" s="4" t="s">
        <v>93</v>
      </c>
    </row>
    <row r="28" spans="1:12" x14ac:dyDescent="0.25">
      <c r="A28" s="2" t="s">
        <v>96</v>
      </c>
      <c r="B28" s="2" t="s">
        <v>97</v>
      </c>
      <c r="C28" s="2" t="s">
        <v>14</v>
      </c>
      <c r="D28" s="2" t="s">
        <v>15</v>
      </c>
      <c r="E28" s="2" t="s">
        <v>23</v>
      </c>
      <c r="F28" s="2" t="s">
        <v>24</v>
      </c>
      <c r="G28" s="3" t="s">
        <v>25</v>
      </c>
      <c r="H28" s="2" t="s">
        <v>98</v>
      </c>
      <c r="I28" s="9">
        <v>-515</v>
      </c>
      <c r="J28" s="9">
        <v>48815</v>
      </c>
      <c r="K28" s="2" t="s">
        <v>20</v>
      </c>
      <c r="L28" s="2" t="s">
        <v>93</v>
      </c>
    </row>
    <row r="29" spans="1:12" hidden="1" x14ac:dyDescent="0.25">
      <c r="A29" s="4" t="s">
        <v>99</v>
      </c>
      <c r="B29" s="4" t="s">
        <v>100</v>
      </c>
      <c r="C29" s="4" t="s">
        <v>14</v>
      </c>
      <c r="D29" s="4" t="s">
        <v>15</v>
      </c>
      <c r="E29" s="4" t="s">
        <v>33</v>
      </c>
      <c r="F29" s="4" t="s">
        <v>24</v>
      </c>
      <c r="G29" s="5" t="s">
        <v>25</v>
      </c>
      <c r="H29" s="4" t="s">
        <v>60</v>
      </c>
      <c r="I29" s="10">
        <v>-1200</v>
      </c>
      <c r="J29" s="10">
        <v>50015</v>
      </c>
      <c r="K29" s="4" t="s">
        <v>20</v>
      </c>
      <c r="L29" s="4" t="s">
        <v>99</v>
      </c>
    </row>
    <row r="30" spans="1:12" x14ac:dyDescent="0.25">
      <c r="A30" s="2" t="s">
        <v>101</v>
      </c>
      <c r="B30" s="2" t="s">
        <v>102</v>
      </c>
      <c r="C30" s="2" t="s">
        <v>14</v>
      </c>
      <c r="D30" s="2" t="s">
        <v>15</v>
      </c>
      <c r="E30" s="2" t="s">
        <v>54</v>
      </c>
      <c r="F30" s="2" t="s">
        <v>24</v>
      </c>
      <c r="G30" s="3" t="s">
        <v>25</v>
      </c>
      <c r="H30" s="2" t="s">
        <v>103</v>
      </c>
      <c r="I30" s="9">
        <v>-429</v>
      </c>
      <c r="J30" s="9">
        <v>50444</v>
      </c>
      <c r="K30" s="2" t="s">
        <v>20</v>
      </c>
      <c r="L30" s="2" t="s">
        <v>101</v>
      </c>
    </row>
    <row r="31" spans="1:12" x14ac:dyDescent="0.25">
      <c r="A31" s="4" t="s">
        <v>104</v>
      </c>
      <c r="B31" s="4" t="s">
        <v>105</v>
      </c>
      <c r="C31" s="4" t="s">
        <v>14</v>
      </c>
      <c r="D31" s="4" t="s">
        <v>15</v>
      </c>
      <c r="E31" s="4" t="s">
        <v>33</v>
      </c>
      <c r="F31" s="4" t="s">
        <v>24</v>
      </c>
      <c r="G31" s="5" t="s">
        <v>25</v>
      </c>
      <c r="H31" s="4" t="s">
        <v>67</v>
      </c>
      <c r="I31" s="10">
        <v>-469</v>
      </c>
      <c r="J31" s="10">
        <v>50913</v>
      </c>
      <c r="K31" s="4" t="s">
        <v>20</v>
      </c>
      <c r="L31" s="4" t="s">
        <v>104</v>
      </c>
    </row>
    <row r="32" spans="1:12" x14ac:dyDescent="0.25">
      <c r="A32" s="2" t="s">
        <v>106</v>
      </c>
      <c r="B32" s="2" t="s">
        <v>107</v>
      </c>
      <c r="C32" s="2" t="s">
        <v>14</v>
      </c>
      <c r="D32" s="2" t="s">
        <v>15</v>
      </c>
      <c r="E32" s="2" t="s">
        <v>23</v>
      </c>
      <c r="F32" s="2" t="s">
        <v>24</v>
      </c>
      <c r="G32" s="3" t="s">
        <v>25</v>
      </c>
      <c r="H32" s="2" t="s">
        <v>37</v>
      </c>
      <c r="I32" s="9">
        <v>-230</v>
      </c>
      <c r="J32" s="9">
        <v>51143</v>
      </c>
      <c r="K32" s="2" t="s">
        <v>20</v>
      </c>
      <c r="L32" s="2" t="s">
        <v>106</v>
      </c>
    </row>
    <row r="33" spans="1:12" hidden="1" x14ac:dyDescent="0.25">
      <c r="A33" s="4" t="s">
        <v>108</v>
      </c>
      <c r="B33" s="4" t="s">
        <v>109</v>
      </c>
      <c r="C33" s="4" t="s">
        <v>14</v>
      </c>
      <c r="D33" s="4" t="s">
        <v>15</v>
      </c>
      <c r="E33" s="4" t="s">
        <v>16</v>
      </c>
      <c r="F33" s="4" t="s">
        <v>17</v>
      </c>
      <c r="G33" s="7" t="s">
        <v>18</v>
      </c>
      <c r="H33" s="4" t="s">
        <v>19</v>
      </c>
      <c r="I33" s="10">
        <v>9700</v>
      </c>
      <c r="J33" s="10">
        <v>41443</v>
      </c>
      <c r="K33" s="4" t="s">
        <v>20</v>
      </c>
      <c r="L33" s="4" t="s">
        <v>108</v>
      </c>
    </row>
    <row r="34" spans="1:12" x14ac:dyDescent="0.25">
      <c r="A34" s="2" t="s">
        <v>110</v>
      </c>
      <c r="B34" s="2" t="s">
        <v>111</v>
      </c>
      <c r="C34" s="2" t="s">
        <v>14</v>
      </c>
      <c r="D34" s="2" t="s">
        <v>15</v>
      </c>
      <c r="E34" s="2" t="s">
        <v>23</v>
      </c>
      <c r="F34" s="2" t="s">
        <v>24</v>
      </c>
      <c r="G34" s="3" t="s">
        <v>25</v>
      </c>
      <c r="H34" s="2" t="s">
        <v>112</v>
      </c>
      <c r="I34" s="9">
        <v>-524</v>
      </c>
      <c r="J34" s="9">
        <v>41967</v>
      </c>
      <c r="K34" s="2" t="s">
        <v>20</v>
      </c>
      <c r="L34" s="2" t="s">
        <v>110</v>
      </c>
    </row>
    <row r="35" spans="1:12" x14ac:dyDescent="0.25">
      <c r="A35" s="4" t="s">
        <v>113</v>
      </c>
      <c r="B35" s="4" t="s">
        <v>114</v>
      </c>
      <c r="C35" s="4" t="s">
        <v>14</v>
      </c>
      <c r="D35" s="4" t="s">
        <v>15</v>
      </c>
      <c r="E35" s="4" t="s">
        <v>33</v>
      </c>
      <c r="F35" s="4" t="s">
        <v>24</v>
      </c>
      <c r="G35" s="5" t="s">
        <v>25</v>
      </c>
      <c r="H35" s="4" t="s">
        <v>115</v>
      </c>
      <c r="I35" s="10">
        <v>-818</v>
      </c>
      <c r="J35" s="10">
        <v>42785</v>
      </c>
      <c r="K35" s="4" t="s">
        <v>20</v>
      </c>
      <c r="L35" s="4" t="s">
        <v>113</v>
      </c>
    </row>
    <row r="36" spans="1:12" x14ac:dyDescent="0.25">
      <c r="A36" s="2" t="s">
        <v>116</v>
      </c>
      <c r="B36" s="2" t="s">
        <v>117</v>
      </c>
      <c r="C36" s="2" t="s">
        <v>14</v>
      </c>
      <c r="D36" s="2" t="s">
        <v>15</v>
      </c>
      <c r="E36" s="2" t="s">
        <v>23</v>
      </c>
      <c r="F36" s="2" t="s">
        <v>24</v>
      </c>
      <c r="G36" s="3" t="s">
        <v>25</v>
      </c>
      <c r="H36" s="2" t="s">
        <v>81</v>
      </c>
      <c r="I36" s="9">
        <v>-525</v>
      </c>
      <c r="J36" s="9">
        <v>43310</v>
      </c>
      <c r="K36" s="2" t="s">
        <v>20</v>
      </c>
      <c r="L36" s="2" t="s">
        <v>116</v>
      </c>
    </row>
    <row r="37" spans="1:12" x14ac:dyDescent="0.25">
      <c r="A37" s="4" t="s">
        <v>118</v>
      </c>
      <c r="B37" s="4" t="s">
        <v>119</v>
      </c>
      <c r="C37" s="4" t="s">
        <v>14</v>
      </c>
      <c r="D37" s="4" t="s">
        <v>15</v>
      </c>
      <c r="E37" s="4" t="s">
        <v>23</v>
      </c>
      <c r="F37" s="4" t="s">
        <v>24</v>
      </c>
      <c r="G37" s="5" t="s">
        <v>25</v>
      </c>
      <c r="H37" s="4" t="s">
        <v>120</v>
      </c>
      <c r="I37" s="10">
        <v>-504</v>
      </c>
      <c r="J37" s="10">
        <v>43814</v>
      </c>
      <c r="K37" s="4" t="s">
        <v>20</v>
      </c>
      <c r="L37" s="4" t="s">
        <v>118</v>
      </c>
    </row>
    <row r="38" spans="1:12" x14ac:dyDescent="0.25">
      <c r="A38" s="2" t="s">
        <v>121</v>
      </c>
      <c r="B38" s="2" t="s">
        <v>122</v>
      </c>
      <c r="C38" s="2" t="s">
        <v>14</v>
      </c>
      <c r="D38" s="2" t="s">
        <v>15</v>
      </c>
      <c r="E38" s="2" t="s">
        <v>23</v>
      </c>
      <c r="F38" s="2" t="s">
        <v>24</v>
      </c>
      <c r="G38" s="3" t="s">
        <v>25</v>
      </c>
      <c r="H38" s="2" t="s">
        <v>58</v>
      </c>
      <c r="I38" s="9">
        <v>-630</v>
      </c>
      <c r="J38" s="9">
        <v>44444</v>
      </c>
      <c r="K38" s="2" t="s">
        <v>20</v>
      </c>
      <c r="L38" s="2" t="s">
        <v>121</v>
      </c>
    </row>
    <row r="39" spans="1:12" x14ac:dyDescent="0.25">
      <c r="A39" s="4" t="s">
        <v>123</v>
      </c>
      <c r="B39" s="4" t="s">
        <v>124</v>
      </c>
      <c r="C39" s="4" t="s">
        <v>14</v>
      </c>
      <c r="D39" s="4" t="s">
        <v>15</v>
      </c>
      <c r="E39" s="4" t="s">
        <v>23</v>
      </c>
      <c r="F39" s="4" t="s">
        <v>24</v>
      </c>
      <c r="G39" s="5" t="s">
        <v>25</v>
      </c>
      <c r="H39" s="4" t="s">
        <v>125</v>
      </c>
      <c r="I39" s="10">
        <v>-357</v>
      </c>
      <c r="J39" s="10">
        <v>44801</v>
      </c>
      <c r="K39" s="4" t="s">
        <v>20</v>
      </c>
      <c r="L39" s="4" t="s">
        <v>123</v>
      </c>
    </row>
    <row r="40" spans="1:12" x14ac:dyDescent="0.25">
      <c r="A40" s="2" t="s">
        <v>126</v>
      </c>
      <c r="B40" s="2" t="s">
        <v>127</v>
      </c>
      <c r="C40" s="2" t="s">
        <v>14</v>
      </c>
      <c r="D40" s="2" t="s">
        <v>15</v>
      </c>
      <c r="E40" s="2" t="s">
        <v>29</v>
      </c>
      <c r="F40" s="2" t="s">
        <v>24</v>
      </c>
      <c r="G40" s="3" t="s">
        <v>25</v>
      </c>
      <c r="H40" s="2" t="s">
        <v>128</v>
      </c>
      <c r="I40" s="9">
        <v>-827</v>
      </c>
      <c r="J40" s="9">
        <v>45628</v>
      </c>
      <c r="K40" s="2" t="s">
        <v>20</v>
      </c>
      <c r="L40" s="2" t="s">
        <v>126</v>
      </c>
    </row>
    <row r="41" spans="1:12" x14ac:dyDescent="0.25">
      <c r="A41" s="4" t="s">
        <v>129</v>
      </c>
      <c r="B41" s="4" t="s">
        <v>130</v>
      </c>
      <c r="C41" s="4" t="s">
        <v>14</v>
      </c>
      <c r="D41" s="4" t="s">
        <v>15</v>
      </c>
      <c r="E41" s="4" t="s">
        <v>23</v>
      </c>
      <c r="F41" s="4" t="s">
        <v>24</v>
      </c>
      <c r="G41" s="5" t="s">
        <v>25</v>
      </c>
      <c r="H41" s="4" t="s">
        <v>81</v>
      </c>
      <c r="I41" s="10">
        <v>-525</v>
      </c>
      <c r="J41" s="10">
        <v>46153</v>
      </c>
      <c r="K41" s="4" t="s">
        <v>20</v>
      </c>
      <c r="L41" s="4" t="s">
        <v>129</v>
      </c>
    </row>
    <row r="42" spans="1:12" x14ac:dyDescent="0.25">
      <c r="A42" s="2" t="s">
        <v>131</v>
      </c>
      <c r="B42" s="2" t="s">
        <v>132</v>
      </c>
      <c r="C42" s="2" t="s">
        <v>14</v>
      </c>
      <c r="D42" s="2" t="s">
        <v>15</v>
      </c>
      <c r="E42" s="2" t="s">
        <v>23</v>
      </c>
      <c r="F42" s="2" t="s">
        <v>24</v>
      </c>
      <c r="G42" s="3" t="s">
        <v>25</v>
      </c>
      <c r="H42" s="2" t="s">
        <v>84</v>
      </c>
      <c r="I42" s="9">
        <v>-1312</v>
      </c>
      <c r="J42" s="9">
        <v>47465</v>
      </c>
      <c r="K42" s="2" t="s">
        <v>20</v>
      </c>
      <c r="L42" s="2" t="s">
        <v>131</v>
      </c>
    </row>
    <row r="43" spans="1:12" hidden="1" x14ac:dyDescent="0.25">
      <c r="A43" s="4" t="s">
        <v>133</v>
      </c>
      <c r="B43" s="4" t="s">
        <v>134</v>
      </c>
      <c r="C43" s="4" t="s">
        <v>14</v>
      </c>
      <c r="D43" s="4" t="s">
        <v>15</v>
      </c>
      <c r="E43" s="4" t="s">
        <v>33</v>
      </c>
      <c r="F43" s="4" t="s">
        <v>24</v>
      </c>
      <c r="G43" s="5" t="s">
        <v>25</v>
      </c>
      <c r="H43" s="4" t="s">
        <v>60</v>
      </c>
      <c r="I43" s="10">
        <v>-1200</v>
      </c>
      <c r="J43" s="10">
        <v>48665</v>
      </c>
      <c r="K43" s="4" t="s">
        <v>20</v>
      </c>
      <c r="L43" s="4" t="s">
        <v>133</v>
      </c>
    </row>
    <row r="44" spans="1:12" x14ac:dyDescent="0.25">
      <c r="A44" s="2" t="s">
        <v>135</v>
      </c>
      <c r="B44" s="2" t="s">
        <v>136</v>
      </c>
      <c r="C44" s="2" t="s">
        <v>14</v>
      </c>
      <c r="D44" s="2" t="s">
        <v>15</v>
      </c>
      <c r="E44" s="2" t="s">
        <v>33</v>
      </c>
      <c r="F44" s="2" t="s">
        <v>24</v>
      </c>
      <c r="G44" s="3" t="s">
        <v>25</v>
      </c>
      <c r="H44" s="2" t="s">
        <v>115</v>
      </c>
      <c r="I44" s="9">
        <v>-686</v>
      </c>
      <c r="J44" s="9">
        <v>49351</v>
      </c>
      <c r="K44" s="2" t="s">
        <v>20</v>
      </c>
      <c r="L44" s="2" t="s">
        <v>135</v>
      </c>
    </row>
    <row r="45" spans="1:12" x14ac:dyDescent="0.25">
      <c r="A45" s="4" t="s">
        <v>137</v>
      </c>
      <c r="B45" s="4" t="s">
        <v>138</v>
      </c>
      <c r="C45" s="4" t="s">
        <v>14</v>
      </c>
      <c r="D45" s="4" t="s">
        <v>15</v>
      </c>
      <c r="E45" s="4" t="s">
        <v>29</v>
      </c>
      <c r="F45" s="4" t="s">
        <v>24</v>
      </c>
      <c r="G45" s="5" t="s">
        <v>25</v>
      </c>
      <c r="H45" s="4" t="s">
        <v>128</v>
      </c>
      <c r="I45" s="10">
        <v>-436</v>
      </c>
      <c r="J45" s="10">
        <v>49787</v>
      </c>
      <c r="K45" s="4" t="s">
        <v>20</v>
      </c>
      <c r="L45" s="4" t="s">
        <v>137</v>
      </c>
    </row>
    <row r="46" spans="1:12" hidden="1" x14ac:dyDescent="0.25">
      <c r="A46" s="2" t="s">
        <v>139</v>
      </c>
      <c r="B46" s="2" t="s">
        <v>140</v>
      </c>
      <c r="C46" s="2" t="s">
        <v>14</v>
      </c>
      <c r="D46" s="2" t="s">
        <v>15</v>
      </c>
      <c r="E46" s="2" t="s">
        <v>16</v>
      </c>
      <c r="F46" s="2" t="s">
        <v>17</v>
      </c>
      <c r="G46" s="6" t="s">
        <v>18</v>
      </c>
      <c r="H46" s="2" t="s">
        <v>19</v>
      </c>
      <c r="I46" s="9">
        <v>9400</v>
      </c>
      <c r="J46" s="9">
        <v>40387</v>
      </c>
      <c r="K46" s="2" t="s">
        <v>20</v>
      </c>
      <c r="L46" s="2" t="s">
        <v>139</v>
      </c>
    </row>
    <row r="47" spans="1:12" x14ac:dyDescent="0.25">
      <c r="A47" s="4" t="s">
        <v>141</v>
      </c>
      <c r="B47" s="4" t="s">
        <v>142</v>
      </c>
      <c r="C47" s="4" t="s">
        <v>14</v>
      </c>
      <c r="D47" s="4" t="s">
        <v>15</v>
      </c>
      <c r="E47" s="4" t="s">
        <v>23</v>
      </c>
      <c r="F47" s="4" t="s">
        <v>24</v>
      </c>
      <c r="G47" s="5" t="s">
        <v>25</v>
      </c>
      <c r="H47" s="4" t="s">
        <v>45</v>
      </c>
      <c r="I47" s="10">
        <v>-1178</v>
      </c>
      <c r="J47" s="10">
        <v>41565</v>
      </c>
      <c r="K47" s="4" t="s">
        <v>20</v>
      </c>
      <c r="L47" s="4" t="s">
        <v>141</v>
      </c>
    </row>
    <row r="48" spans="1:12" x14ac:dyDescent="0.25">
      <c r="A48" s="2" t="s">
        <v>143</v>
      </c>
      <c r="B48" s="2" t="s">
        <v>144</v>
      </c>
      <c r="C48" s="2" t="s">
        <v>14</v>
      </c>
      <c r="D48" s="2" t="s">
        <v>15</v>
      </c>
      <c r="E48" s="2" t="s">
        <v>23</v>
      </c>
      <c r="F48" s="2" t="s">
        <v>24</v>
      </c>
      <c r="G48" s="3" t="s">
        <v>25</v>
      </c>
      <c r="H48" s="2" t="s">
        <v>145</v>
      </c>
      <c r="I48" s="9">
        <v>-584</v>
      </c>
      <c r="J48" s="9">
        <v>42149</v>
      </c>
      <c r="K48" s="2" t="s">
        <v>20</v>
      </c>
      <c r="L48" s="2" t="s">
        <v>143</v>
      </c>
    </row>
    <row r="49" spans="1:12" x14ac:dyDescent="0.25">
      <c r="A49" s="4" t="s">
        <v>146</v>
      </c>
      <c r="B49" s="4" t="s">
        <v>147</v>
      </c>
      <c r="C49" s="4" t="s">
        <v>14</v>
      </c>
      <c r="D49" s="4" t="s">
        <v>15</v>
      </c>
      <c r="E49" s="4" t="s">
        <v>23</v>
      </c>
      <c r="F49" s="4" t="s">
        <v>24</v>
      </c>
      <c r="G49" s="5" t="s">
        <v>25</v>
      </c>
      <c r="H49" s="4" t="s">
        <v>81</v>
      </c>
      <c r="I49" s="10">
        <v>-584</v>
      </c>
      <c r="J49" s="10">
        <v>42733</v>
      </c>
      <c r="K49" s="4" t="s">
        <v>20</v>
      </c>
      <c r="L49" s="4" t="s">
        <v>146</v>
      </c>
    </row>
    <row r="50" spans="1:12" x14ac:dyDescent="0.25">
      <c r="A50" s="2" t="s">
        <v>148</v>
      </c>
      <c r="B50" s="2" t="s">
        <v>149</v>
      </c>
      <c r="C50" s="2" t="s">
        <v>14</v>
      </c>
      <c r="D50" s="2" t="s">
        <v>15</v>
      </c>
      <c r="E50" s="2" t="s">
        <v>23</v>
      </c>
      <c r="F50" s="2" t="s">
        <v>24</v>
      </c>
      <c r="G50" s="3" t="s">
        <v>25</v>
      </c>
      <c r="H50" s="2" t="s">
        <v>150</v>
      </c>
      <c r="I50" s="9">
        <v>-652</v>
      </c>
      <c r="J50" s="9">
        <v>43385</v>
      </c>
      <c r="K50" s="2" t="s">
        <v>20</v>
      </c>
      <c r="L50" s="2" t="s">
        <v>148</v>
      </c>
    </row>
    <row r="51" spans="1:12" x14ac:dyDescent="0.25">
      <c r="A51" s="4" t="s">
        <v>151</v>
      </c>
      <c r="B51" s="4" t="s">
        <v>152</v>
      </c>
      <c r="C51" s="4" t="s">
        <v>14</v>
      </c>
      <c r="D51" s="4" t="s">
        <v>15</v>
      </c>
      <c r="E51" s="4" t="s">
        <v>23</v>
      </c>
      <c r="F51" s="4" t="s">
        <v>24</v>
      </c>
      <c r="G51" s="5" t="s">
        <v>25</v>
      </c>
      <c r="H51" s="4" t="s">
        <v>153</v>
      </c>
      <c r="I51" s="10">
        <v>-241</v>
      </c>
      <c r="J51" s="10">
        <v>43626</v>
      </c>
      <c r="K51" s="4" t="s">
        <v>20</v>
      </c>
      <c r="L51" s="4" t="s">
        <v>151</v>
      </c>
    </row>
    <row r="52" spans="1:12" x14ac:dyDescent="0.25">
      <c r="A52" s="2" t="s">
        <v>154</v>
      </c>
      <c r="B52" s="2" t="s">
        <v>155</v>
      </c>
      <c r="C52" s="2" t="s">
        <v>14</v>
      </c>
      <c r="D52" s="2" t="s">
        <v>15</v>
      </c>
      <c r="E52" s="2" t="s">
        <v>23</v>
      </c>
      <c r="F52" s="2" t="s">
        <v>24</v>
      </c>
      <c r="G52" s="3" t="s">
        <v>25</v>
      </c>
      <c r="H52" s="2" t="s">
        <v>81</v>
      </c>
      <c r="I52" s="9">
        <v>-585</v>
      </c>
      <c r="J52" s="9">
        <v>42815</v>
      </c>
      <c r="K52" s="2" t="s">
        <v>20</v>
      </c>
      <c r="L52" s="2" t="s">
        <v>154</v>
      </c>
    </row>
    <row r="53" spans="1:12" x14ac:dyDescent="0.25">
      <c r="A53" s="4" t="s">
        <v>156</v>
      </c>
      <c r="B53" s="4" t="s">
        <v>157</v>
      </c>
      <c r="C53" s="4" t="s">
        <v>14</v>
      </c>
      <c r="D53" s="4" t="s">
        <v>15</v>
      </c>
      <c r="E53" s="4" t="s">
        <v>29</v>
      </c>
      <c r="F53" s="4" t="s">
        <v>24</v>
      </c>
      <c r="G53" s="5" t="s">
        <v>25</v>
      </c>
      <c r="H53" s="4" t="s">
        <v>30</v>
      </c>
      <c r="I53" s="10">
        <v>-437</v>
      </c>
      <c r="J53" s="10">
        <v>43252</v>
      </c>
      <c r="K53" s="4" t="s">
        <v>20</v>
      </c>
      <c r="L53" s="4" t="s">
        <v>156</v>
      </c>
    </row>
    <row r="54" spans="1:12" x14ac:dyDescent="0.25">
      <c r="A54" s="2" t="s">
        <v>158</v>
      </c>
      <c r="B54" s="2" t="s">
        <v>159</v>
      </c>
      <c r="C54" s="2" t="s">
        <v>14</v>
      </c>
      <c r="D54" s="2" t="s">
        <v>15</v>
      </c>
      <c r="E54" s="2" t="s">
        <v>33</v>
      </c>
      <c r="F54" s="2" t="s">
        <v>24</v>
      </c>
      <c r="G54" s="3" t="s">
        <v>25</v>
      </c>
      <c r="H54" s="2" t="s">
        <v>67</v>
      </c>
      <c r="I54" s="9">
        <v>-425</v>
      </c>
      <c r="J54" s="9">
        <v>43677</v>
      </c>
      <c r="K54" s="2" t="s">
        <v>20</v>
      </c>
      <c r="L54" s="2" t="s">
        <v>158</v>
      </c>
    </row>
    <row r="55" spans="1:12" x14ac:dyDescent="0.25">
      <c r="A55" s="4" t="s">
        <v>160</v>
      </c>
      <c r="B55" s="4" t="s">
        <v>161</v>
      </c>
      <c r="C55" s="4" t="s">
        <v>14</v>
      </c>
      <c r="D55" s="4" t="s">
        <v>15</v>
      </c>
      <c r="E55" s="4" t="s">
        <v>23</v>
      </c>
      <c r="F55" s="4" t="s">
        <v>24</v>
      </c>
      <c r="G55" s="5" t="s">
        <v>25</v>
      </c>
      <c r="H55" s="4" t="s">
        <v>37</v>
      </c>
      <c r="I55" s="10">
        <v>-415</v>
      </c>
      <c r="J55" s="10">
        <v>44092</v>
      </c>
      <c r="K55" s="4" t="s">
        <v>20</v>
      </c>
      <c r="L55" s="4" t="s">
        <v>160</v>
      </c>
    </row>
    <row r="56" spans="1:12" x14ac:dyDescent="0.25">
      <c r="A56" s="2" t="s">
        <v>162</v>
      </c>
      <c r="B56" s="2" t="s">
        <v>163</v>
      </c>
      <c r="C56" s="2" t="s">
        <v>14</v>
      </c>
      <c r="D56" s="2" t="s">
        <v>15</v>
      </c>
      <c r="E56" s="2" t="s">
        <v>23</v>
      </c>
      <c r="F56" s="2" t="s">
        <v>24</v>
      </c>
      <c r="G56" s="3" t="s">
        <v>25</v>
      </c>
      <c r="H56" s="2" t="s">
        <v>90</v>
      </c>
      <c r="I56" s="9">
        <v>-394</v>
      </c>
      <c r="J56" s="9">
        <v>44486</v>
      </c>
      <c r="K56" s="2" t="s">
        <v>20</v>
      </c>
      <c r="L56" s="2" t="s">
        <v>162</v>
      </c>
    </row>
    <row r="57" spans="1:12" x14ac:dyDescent="0.25">
      <c r="A57" s="4" t="s">
        <v>164</v>
      </c>
      <c r="B57" s="4" t="s">
        <v>165</v>
      </c>
      <c r="C57" s="4" t="s">
        <v>14</v>
      </c>
      <c r="D57" s="4" t="s">
        <v>15</v>
      </c>
      <c r="E57" s="4" t="s">
        <v>23</v>
      </c>
      <c r="F57" s="4" t="s">
        <v>24</v>
      </c>
      <c r="G57" s="5" t="s">
        <v>25</v>
      </c>
      <c r="H57" s="4" t="s">
        <v>166</v>
      </c>
      <c r="I57" s="10">
        <v>-242</v>
      </c>
      <c r="J57" s="10">
        <v>44728</v>
      </c>
      <c r="K57" s="4" t="s">
        <v>20</v>
      </c>
      <c r="L57" s="4" t="s">
        <v>164</v>
      </c>
    </row>
    <row r="58" spans="1:12" x14ac:dyDescent="0.25">
      <c r="A58" s="2" t="s">
        <v>167</v>
      </c>
      <c r="B58" s="2" t="s">
        <v>168</v>
      </c>
      <c r="C58" s="2" t="s">
        <v>14</v>
      </c>
      <c r="D58" s="2" t="s">
        <v>15</v>
      </c>
      <c r="E58" s="2" t="s">
        <v>23</v>
      </c>
      <c r="F58" s="2" t="s">
        <v>24</v>
      </c>
      <c r="G58" s="3" t="s">
        <v>25</v>
      </c>
      <c r="H58" s="2" t="s">
        <v>153</v>
      </c>
      <c r="I58" s="9">
        <v>-241</v>
      </c>
      <c r="J58" s="9">
        <v>44969</v>
      </c>
      <c r="K58" s="2" t="s">
        <v>20</v>
      </c>
      <c r="L58" s="2" t="s">
        <v>167</v>
      </c>
    </row>
    <row r="59" spans="1:12" hidden="1" x14ac:dyDescent="0.25">
      <c r="A59" s="4" t="s">
        <v>167</v>
      </c>
      <c r="B59" s="4" t="s">
        <v>169</v>
      </c>
      <c r="C59" s="4" t="s">
        <v>14</v>
      </c>
      <c r="D59" s="4" t="s">
        <v>15</v>
      </c>
      <c r="E59" s="4" t="s">
        <v>33</v>
      </c>
      <c r="F59" s="4" t="s">
        <v>24</v>
      </c>
      <c r="G59" s="5" t="s">
        <v>25</v>
      </c>
      <c r="H59" s="4" t="s">
        <v>60</v>
      </c>
      <c r="I59" s="10">
        <v>-1200</v>
      </c>
      <c r="J59" s="10">
        <v>46169</v>
      </c>
      <c r="K59" s="4" t="s">
        <v>20</v>
      </c>
      <c r="L59" s="4" t="s">
        <v>167</v>
      </c>
    </row>
    <row r="60" spans="1:12" x14ac:dyDescent="0.25">
      <c r="A60" s="2" t="s">
        <v>170</v>
      </c>
      <c r="B60" s="2" t="s">
        <v>171</v>
      </c>
      <c r="C60" s="2" t="s">
        <v>14</v>
      </c>
      <c r="D60" s="2" t="s">
        <v>15</v>
      </c>
      <c r="E60" s="2" t="s">
        <v>23</v>
      </c>
      <c r="F60" s="2" t="s">
        <v>24</v>
      </c>
      <c r="G60" s="3" t="s">
        <v>25</v>
      </c>
      <c r="H60" s="2" t="s">
        <v>120</v>
      </c>
      <c r="I60" s="9">
        <v>-570</v>
      </c>
      <c r="J60" s="9">
        <v>46739</v>
      </c>
      <c r="K60" s="2" t="s">
        <v>20</v>
      </c>
      <c r="L60" s="2" t="s">
        <v>170</v>
      </c>
    </row>
    <row r="61" spans="1:12" x14ac:dyDescent="0.25">
      <c r="A61" s="4" t="s">
        <v>172</v>
      </c>
      <c r="B61" s="4" t="s">
        <v>173</v>
      </c>
      <c r="C61" s="4" t="s">
        <v>14</v>
      </c>
      <c r="D61" s="4" t="s">
        <v>15</v>
      </c>
      <c r="E61" s="4" t="s">
        <v>33</v>
      </c>
      <c r="F61" s="4" t="s">
        <v>24</v>
      </c>
      <c r="G61" s="5" t="s">
        <v>25</v>
      </c>
      <c r="H61" s="4" t="s">
        <v>34</v>
      </c>
      <c r="I61" s="10">
        <v>-691</v>
      </c>
      <c r="J61" s="10">
        <v>47430</v>
      </c>
      <c r="K61" s="4" t="s">
        <v>20</v>
      </c>
      <c r="L61" s="4" t="s">
        <v>172</v>
      </c>
    </row>
    <row r="62" spans="1:12" x14ac:dyDescent="0.25">
      <c r="A62" s="2" t="s">
        <v>174</v>
      </c>
      <c r="B62" s="2" t="s">
        <v>175</v>
      </c>
      <c r="C62" s="2" t="s">
        <v>14</v>
      </c>
      <c r="D62" s="2" t="s">
        <v>15</v>
      </c>
      <c r="E62" s="2" t="s">
        <v>23</v>
      </c>
      <c r="F62" s="2" t="s">
        <v>24</v>
      </c>
      <c r="G62" s="3" t="s">
        <v>25</v>
      </c>
      <c r="H62" s="2" t="s">
        <v>40</v>
      </c>
      <c r="I62" s="9">
        <v>-860</v>
      </c>
      <c r="J62" s="9">
        <v>48290</v>
      </c>
      <c r="K62" s="2" t="s">
        <v>20</v>
      </c>
      <c r="L62" s="2" t="s">
        <v>174</v>
      </c>
    </row>
    <row r="63" spans="1:12" x14ac:dyDescent="0.25">
      <c r="A63" s="4" t="s">
        <v>176</v>
      </c>
      <c r="B63" s="4" t="s">
        <v>177</v>
      </c>
      <c r="C63" s="4" t="s">
        <v>14</v>
      </c>
      <c r="D63" s="4" t="s">
        <v>15</v>
      </c>
      <c r="E63" s="4" t="s">
        <v>23</v>
      </c>
      <c r="F63" s="4" t="s">
        <v>24</v>
      </c>
      <c r="G63" s="5" t="s">
        <v>25</v>
      </c>
      <c r="H63" s="4" t="s">
        <v>95</v>
      </c>
      <c r="I63" s="10">
        <v>-334</v>
      </c>
      <c r="J63" s="10">
        <v>48624</v>
      </c>
      <c r="K63" s="4" t="s">
        <v>20</v>
      </c>
      <c r="L63" s="4" t="s">
        <v>176</v>
      </c>
    </row>
    <row r="64" spans="1:12" hidden="1" x14ac:dyDescent="0.25">
      <c r="A64" s="2" t="s">
        <v>176</v>
      </c>
      <c r="B64" s="2" t="s">
        <v>178</v>
      </c>
      <c r="C64" s="2" t="s">
        <v>14</v>
      </c>
      <c r="D64" s="2" t="s">
        <v>15</v>
      </c>
      <c r="E64" s="2" t="s">
        <v>16</v>
      </c>
      <c r="F64" s="2" t="s">
        <v>17</v>
      </c>
      <c r="G64" s="6" t="s">
        <v>18</v>
      </c>
      <c r="H64" s="2" t="s">
        <v>19</v>
      </c>
      <c r="I64" s="9">
        <v>9600</v>
      </c>
      <c r="J64" s="9">
        <v>39024</v>
      </c>
      <c r="K64" s="2" t="s">
        <v>20</v>
      </c>
      <c r="L64" s="2" t="s">
        <v>176</v>
      </c>
    </row>
    <row r="65" spans="1:12" x14ac:dyDescent="0.25">
      <c r="A65" s="4" t="s">
        <v>179</v>
      </c>
      <c r="B65" s="4" t="s">
        <v>180</v>
      </c>
      <c r="C65" s="4" t="s">
        <v>14</v>
      </c>
      <c r="D65" s="4" t="s">
        <v>15</v>
      </c>
      <c r="E65" s="4" t="s">
        <v>23</v>
      </c>
      <c r="F65" s="4" t="s">
        <v>24</v>
      </c>
      <c r="G65" s="5" t="s">
        <v>25</v>
      </c>
      <c r="H65" s="4" t="s">
        <v>153</v>
      </c>
      <c r="I65" s="10">
        <v>-333</v>
      </c>
      <c r="J65" s="10">
        <v>39357</v>
      </c>
      <c r="K65" s="4" t="s">
        <v>20</v>
      </c>
      <c r="L65" s="4" t="s">
        <v>179</v>
      </c>
    </row>
    <row r="66" spans="1:12" x14ac:dyDescent="0.25">
      <c r="A66" s="2" t="s">
        <v>181</v>
      </c>
      <c r="B66" s="2" t="s">
        <v>182</v>
      </c>
      <c r="C66" s="2" t="s">
        <v>14</v>
      </c>
      <c r="D66" s="2" t="s">
        <v>15</v>
      </c>
      <c r="E66" s="2" t="s">
        <v>23</v>
      </c>
      <c r="F66" s="2" t="s">
        <v>24</v>
      </c>
      <c r="G66" s="3" t="s">
        <v>25</v>
      </c>
      <c r="H66" s="2" t="s">
        <v>37</v>
      </c>
      <c r="I66" s="9">
        <v>-1698</v>
      </c>
      <c r="J66" s="9">
        <v>41055</v>
      </c>
      <c r="K66" s="2" t="s">
        <v>20</v>
      </c>
      <c r="L66" s="2" t="s">
        <v>181</v>
      </c>
    </row>
    <row r="67" spans="1:12" x14ac:dyDescent="0.25">
      <c r="A67" s="4" t="s">
        <v>183</v>
      </c>
      <c r="B67" s="4" t="s">
        <v>184</v>
      </c>
      <c r="C67" s="4" t="s">
        <v>14</v>
      </c>
      <c r="D67" s="4" t="s">
        <v>15</v>
      </c>
      <c r="E67" s="4" t="s">
        <v>29</v>
      </c>
      <c r="F67" s="4" t="s">
        <v>24</v>
      </c>
      <c r="G67" s="5" t="s">
        <v>25</v>
      </c>
      <c r="H67" s="4" t="s">
        <v>30</v>
      </c>
      <c r="I67" s="10">
        <v>-458</v>
      </c>
      <c r="J67" s="10">
        <v>41513</v>
      </c>
      <c r="K67" s="4" t="s">
        <v>20</v>
      </c>
      <c r="L67" s="4" t="s">
        <v>183</v>
      </c>
    </row>
    <row r="68" spans="1:12" x14ac:dyDescent="0.25">
      <c r="A68" s="2" t="s">
        <v>185</v>
      </c>
      <c r="B68" s="2" t="s">
        <v>186</v>
      </c>
      <c r="C68" s="2" t="s">
        <v>14</v>
      </c>
      <c r="D68" s="2" t="s">
        <v>15</v>
      </c>
      <c r="E68" s="2" t="s">
        <v>29</v>
      </c>
      <c r="F68" s="2" t="s">
        <v>24</v>
      </c>
      <c r="G68" s="3" t="s">
        <v>25</v>
      </c>
      <c r="H68" s="2" t="s">
        <v>187</v>
      </c>
      <c r="I68" s="9">
        <v>-458</v>
      </c>
      <c r="J68" s="9">
        <v>41971</v>
      </c>
      <c r="K68" s="2" t="s">
        <v>20</v>
      </c>
      <c r="L68" s="2" t="s">
        <v>185</v>
      </c>
    </row>
    <row r="69" spans="1:12" x14ac:dyDescent="0.25">
      <c r="A69" s="4" t="s">
        <v>188</v>
      </c>
      <c r="B69" s="4" t="s">
        <v>189</v>
      </c>
      <c r="C69" s="4" t="s">
        <v>14</v>
      </c>
      <c r="D69" s="4" t="s">
        <v>15</v>
      </c>
      <c r="E69" s="4" t="s">
        <v>33</v>
      </c>
      <c r="F69" s="4" t="s">
        <v>24</v>
      </c>
      <c r="G69" s="5" t="s">
        <v>25</v>
      </c>
      <c r="H69" s="4" t="s">
        <v>190</v>
      </c>
      <c r="I69" s="10">
        <v>-404</v>
      </c>
      <c r="J69" s="10">
        <v>42375</v>
      </c>
      <c r="K69" s="4" t="s">
        <v>20</v>
      </c>
      <c r="L69" s="4" t="s">
        <v>188</v>
      </c>
    </row>
    <row r="70" spans="1:12" x14ac:dyDescent="0.25">
      <c r="A70" s="2" t="s">
        <v>191</v>
      </c>
      <c r="B70" s="2" t="s">
        <v>192</v>
      </c>
      <c r="C70" s="2" t="s">
        <v>14</v>
      </c>
      <c r="D70" s="2" t="s">
        <v>15</v>
      </c>
      <c r="E70" s="2" t="s">
        <v>54</v>
      </c>
      <c r="F70" s="2" t="s">
        <v>24</v>
      </c>
      <c r="G70" s="3" t="s">
        <v>25</v>
      </c>
      <c r="H70" s="2" t="s">
        <v>103</v>
      </c>
      <c r="I70" s="9">
        <v>-383</v>
      </c>
      <c r="J70" s="9">
        <v>42758</v>
      </c>
      <c r="K70" s="2" t="s">
        <v>20</v>
      </c>
      <c r="L70" s="2" t="s">
        <v>191</v>
      </c>
    </row>
    <row r="71" spans="1:12" x14ac:dyDescent="0.25">
      <c r="A71" s="4" t="s">
        <v>193</v>
      </c>
      <c r="B71" s="4" t="s">
        <v>194</v>
      </c>
      <c r="C71" s="4" t="s">
        <v>14</v>
      </c>
      <c r="D71" s="4" t="s">
        <v>15</v>
      </c>
      <c r="E71" s="4" t="s">
        <v>23</v>
      </c>
      <c r="F71" s="4" t="s">
        <v>24</v>
      </c>
      <c r="G71" s="5" t="s">
        <v>25</v>
      </c>
      <c r="H71" s="4" t="s">
        <v>81</v>
      </c>
      <c r="I71" s="10">
        <v>-861</v>
      </c>
      <c r="J71" s="10">
        <v>43619</v>
      </c>
      <c r="K71" s="4" t="s">
        <v>20</v>
      </c>
      <c r="L71" s="4" t="s">
        <v>193</v>
      </c>
    </row>
    <row r="72" spans="1:12" hidden="1" x14ac:dyDescent="0.25">
      <c r="A72" s="2" t="s">
        <v>195</v>
      </c>
      <c r="B72" s="2" t="s">
        <v>196</v>
      </c>
      <c r="C72" s="2" t="s">
        <v>14</v>
      </c>
      <c r="D72" s="2" t="s">
        <v>15</v>
      </c>
      <c r="E72" s="2" t="s">
        <v>33</v>
      </c>
      <c r="F72" s="2" t="s">
        <v>24</v>
      </c>
      <c r="G72" s="3" t="s">
        <v>25</v>
      </c>
      <c r="H72" s="2" t="s">
        <v>60</v>
      </c>
      <c r="I72" s="9">
        <v>-1200</v>
      </c>
      <c r="J72" s="9">
        <v>44819</v>
      </c>
      <c r="K72" s="2" t="s">
        <v>20</v>
      </c>
      <c r="L72" s="2" t="s">
        <v>195</v>
      </c>
    </row>
    <row r="73" spans="1:12" x14ac:dyDescent="0.25">
      <c r="A73" s="4" t="s">
        <v>197</v>
      </c>
      <c r="B73" s="4" t="s">
        <v>198</v>
      </c>
      <c r="C73" s="4" t="s">
        <v>14</v>
      </c>
      <c r="D73" s="4" t="s">
        <v>15</v>
      </c>
      <c r="E73" s="4" t="s">
        <v>23</v>
      </c>
      <c r="F73" s="4" t="s">
        <v>24</v>
      </c>
      <c r="G73" s="5" t="s">
        <v>25</v>
      </c>
      <c r="H73" s="4" t="s">
        <v>72</v>
      </c>
      <c r="I73" s="10">
        <v>-662</v>
      </c>
      <c r="J73" s="10">
        <v>45481</v>
      </c>
      <c r="K73" s="4" t="s">
        <v>20</v>
      </c>
      <c r="L73" s="4" t="s">
        <v>197</v>
      </c>
    </row>
    <row r="74" spans="1:12" x14ac:dyDescent="0.25">
      <c r="A74" s="2" t="s">
        <v>199</v>
      </c>
      <c r="B74" s="2" t="s">
        <v>200</v>
      </c>
      <c r="C74" s="2" t="s">
        <v>14</v>
      </c>
      <c r="D74" s="2" t="s">
        <v>15</v>
      </c>
      <c r="E74" s="2" t="s">
        <v>23</v>
      </c>
      <c r="F74" s="2" t="s">
        <v>24</v>
      </c>
      <c r="G74" s="3" t="s">
        <v>25</v>
      </c>
      <c r="H74" s="2" t="s">
        <v>81</v>
      </c>
      <c r="I74" s="9">
        <v>-661</v>
      </c>
      <c r="J74" s="9">
        <v>46142</v>
      </c>
      <c r="K74" s="2" t="s">
        <v>20</v>
      </c>
      <c r="L74" s="2" t="s">
        <v>199</v>
      </c>
    </row>
    <row r="75" spans="1:12" hidden="1" x14ac:dyDescent="0.25">
      <c r="A75" s="4" t="s">
        <v>201</v>
      </c>
      <c r="B75" s="4" t="s">
        <v>202</v>
      </c>
      <c r="C75" s="4" t="s">
        <v>14</v>
      </c>
      <c r="D75" s="4" t="s">
        <v>15</v>
      </c>
      <c r="E75" s="4" t="s">
        <v>16</v>
      </c>
      <c r="F75" s="4" t="s">
        <v>17</v>
      </c>
      <c r="G75" s="7" t="s">
        <v>18</v>
      </c>
      <c r="H75" s="4" t="s">
        <v>19</v>
      </c>
      <c r="I75" s="10">
        <v>9300</v>
      </c>
      <c r="J75" s="10">
        <v>36842</v>
      </c>
      <c r="K75" s="4" t="s">
        <v>20</v>
      </c>
      <c r="L75" s="4" t="s">
        <v>201</v>
      </c>
    </row>
    <row r="76" spans="1:12" x14ac:dyDescent="0.25">
      <c r="A76" s="2" t="s">
        <v>203</v>
      </c>
      <c r="B76" s="2" t="s">
        <v>204</v>
      </c>
      <c r="C76" s="2" t="s">
        <v>14</v>
      </c>
      <c r="D76" s="2" t="s">
        <v>15</v>
      </c>
      <c r="E76" s="2" t="s">
        <v>33</v>
      </c>
      <c r="F76" s="2" t="s">
        <v>24</v>
      </c>
      <c r="G76" s="3" t="s">
        <v>25</v>
      </c>
      <c r="H76" s="2" t="s">
        <v>190</v>
      </c>
      <c r="I76" s="9">
        <v>-382</v>
      </c>
      <c r="J76" s="9">
        <v>37224</v>
      </c>
      <c r="K76" s="2" t="s">
        <v>20</v>
      </c>
      <c r="L76" s="2" t="s">
        <v>203</v>
      </c>
    </row>
    <row r="77" spans="1:12" x14ac:dyDescent="0.25">
      <c r="A77" s="4" t="s">
        <v>205</v>
      </c>
      <c r="B77" s="4" t="s">
        <v>206</v>
      </c>
      <c r="C77" s="4" t="s">
        <v>14</v>
      </c>
      <c r="D77" s="4" t="s">
        <v>15</v>
      </c>
      <c r="E77" s="4" t="s">
        <v>54</v>
      </c>
      <c r="F77" s="4" t="s">
        <v>24</v>
      </c>
      <c r="G77" s="5" t="s">
        <v>25</v>
      </c>
      <c r="H77" s="4" t="s">
        <v>55</v>
      </c>
      <c r="I77" s="10">
        <v>-439</v>
      </c>
      <c r="J77" s="10">
        <v>37663</v>
      </c>
      <c r="K77" s="4" t="s">
        <v>20</v>
      </c>
      <c r="L77" s="4" t="s">
        <v>205</v>
      </c>
    </row>
    <row r="78" spans="1:12" x14ac:dyDescent="0.25">
      <c r="A78" s="2" t="s">
        <v>207</v>
      </c>
      <c r="B78" s="2" t="s">
        <v>208</v>
      </c>
      <c r="C78" s="2" t="s">
        <v>14</v>
      </c>
      <c r="D78" s="2" t="s">
        <v>15</v>
      </c>
      <c r="E78" s="2" t="s">
        <v>23</v>
      </c>
      <c r="F78" s="2" t="s">
        <v>24</v>
      </c>
      <c r="G78" s="3" t="s">
        <v>25</v>
      </c>
      <c r="H78" s="2" t="s">
        <v>58</v>
      </c>
      <c r="I78" s="9">
        <v>-634</v>
      </c>
      <c r="J78" s="9">
        <v>38297</v>
      </c>
      <c r="K78" s="2" t="s">
        <v>20</v>
      </c>
      <c r="L78" s="2" t="s">
        <v>207</v>
      </c>
    </row>
    <row r="79" spans="1:12" x14ac:dyDescent="0.25">
      <c r="A79" s="4" t="s">
        <v>209</v>
      </c>
      <c r="B79" s="4" t="s">
        <v>210</v>
      </c>
      <c r="C79" s="4" t="s">
        <v>14</v>
      </c>
      <c r="D79" s="4" t="s">
        <v>15</v>
      </c>
      <c r="E79" s="4" t="s">
        <v>33</v>
      </c>
      <c r="F79" s="4" t="s">
        <v>24</v>
      </c>
      <c r="G79" s="5" t="s">
        <v>25</v>
      </c>
      <c r="H79" s="4" t="s">
        <v>34</v>
      </c>
      <c r="I79" s="10">
        <v>-826</v>
      </c>
      <c r="J79" s="10">
        <v>39123</v>
      </c>
      <c r="K79" s="4" t="s">
        <v>20</v>
      </c>
      <c r="L79" s="4" t="s">
        <v>209</v>
      </c>
    </row>
    <row r="80" spans="1:12" x14ac:dyDescent="0.25">
      <c r="A80" s="2" t="s">
        <v>211</v>
      </c>
      <c r="B80" s="2" t="s">
        <v>212</v>
      </c>
      <c r="C80" s="2" t="s">
        <v>14</v>
      </c>
      <c r="D80" s="2" t="s">
        <v>15</v>
      </c>
      <c r="E80" s="2" t="s">
        <v>23</v>
      </c>
      <c r="F80" s="2" t="s">
        <v>24</v>
      </c>
      <c r="G80" s="3" t="s">
        <v>25</v>
      </c>
      <c r="H80" s="2" t="s">
        <v>81</v>
      </c>
      <c r="I80" s="9">
        <v>-662</v>
      </c>
      <c r="J80" s="9">
        <v>39785</v>
      </c>
      <c r="K80" s="2" t="s">
        <v>20</v>
      </c>
      <c r="L80" s="2" t="s">
        <v>211</v>
      </c>
    </row>
    <row r="81" spans="1:12" x14ac:dyDescent="0.25">
      <c r="A81" s="4" t="s">
        <v>213</v>
      </c>
      <c r="B81" s="4" t="s">
        <v>214</v>
      </c>
      <c r="C81" s="4" t="s">
        <v>14</v>
      </c>
      <c r="D81" s="4" t="s">
        <v>15</v>
      </c>
      <c r="E81" s="4" t="s">
        <v>23</v>
      </c>
      <c r="F81" s="4" t="s">
        <v>24</v>
      </c>
      <c r="G81" s="5" t="s">
        <v>25</v>
      </c>
      <c r="H81" s="4" t="s">
        <v>84</v>
      </c>
      <c r="I81" s="10">
        <v>-1105</v>
      </c>
      <c r="J81" s="10">
        <v>40890</v>
      </c>
      <c r="K81" s="4" t="s">
        <v>20</v>
      </c>
      <c r="L81" s="4" t="s">
        <v>213</v>
      </c>
    </row>
    <row r="82" spans="1:12" x14ac:dyDescent="0.25">
      <c r="A82" s="2" t="s">
        <v>215</v>
      </c>
      <c r="B82" s="2" t="s">
        <v>216</v>
      </c>
      <c r="C82" s="2" t="s">
        <v>14</v>
      </c>
      <c r="D82" s="2" t="s">
        <v>15</v>
      </c>
      <c r="E82" s="2" t="s">
        <v>23</v>
      </c>
      <c r="F82" s="2" t="s">
        <v>24</v>
      </c>
      <c r="G82" s="3" t="s">
        <v>25</v>
      </c>
      <c r="H82" s="2" t="s">
        <v>120</v>
      </c>
      <c r="I82" s="9">
        <v>-510</v>
      </c>
      <c r="J82" s="9">
        <v>41400</v>
      </c>
      <c r="K82" s="2" t="s">
        <v>20</v>
      </c>
      <c r="L82" s="2" t="s">
        <v>213</v>
      </c>
    </row>
    <row r="83" spans="1:12" x14ac:dyDescent="0.25">
      <c r="A83" s="4" t="s">
        <v>217</v>
      </c>
      <c r="B83" s="4" t="s">
        <v>218</v>
      </c>
      <c r="C83" s="4" t="s">
        <v>14</v>
      </c>
      <c r="D83" s="4" t="s">
        <v>15</v>
      </c>
      <c r="E83" s="4" t="s">
        <v>23</v>
      </c>
      <c r="F83" s="4" t="s">
        <v>24</v>
      </c>
      <c r="G83" s="5" t="s">
        <v>25</v>
      </c>
      <c r="H83" s="4" t="s">
        <v>37</v>
      </c>
      <c r="I83" s="10">
        <v>-531</v>
      </c>
      <c r="J83" s="10">
        <v>41931</v>
      </c>
      <c r="K83" s="4" t="s">
        <v>20</v>
      </c>
      <c r="L83" s="4" t="s">
        <v>217</v>
      </c>
    </row>
    <row r="84" spans="1:12" hidden="1" x14ac:dyDescent="0.25">
      <c r="A84" s="2" t="s">
        <v>219</v>
      </c>
      <c r="B84" s="2" t="s">
        <v>220</v>
      </c>
      <c r="C84" s="2" t="s">
        <v>14</v>
      </c>
      <c r="D84" s="2" t="s">
        <v>15</v>
      </c>
      <c r="E84" s="2" t="s">
        <v>33</v>
      </c>
      <c r="F84" s="2" t="s">
        <v>24</v>
      </c>
      <c r="G84" s="3" t="s">
        <v>25</v>
      </c>
      <c r="H84" s="2" t="s">
        <v>60</v>
      </c>
      <c r="I84" s="9">
        <v>-1200</v>
      </c>
      <c r="J84" s="9">
        <v>43131</v>
      </c>
      <c r="K84" s="2" t="s">
        <v>20</v>
      </c>
      <c r="L84" s="2" t="s">
        <v>219</v>
      </c>
    </row>
    <row r="85" spans="1:12" x14ac:dyDescent="0.25">
      <c r="A85" s="4" t="s">
        <v>221</v>
      </c>
      <c r="B85" s="4" t="s">
        <v>222</v>
      </c>
      <c r="C85" s="4" t="s">
        <v>14</v>
      </c>
      <c r="D85" s="4" t="s">
        <v>15</v>
      </c>
      <c r="E85" s="4" t="s">
        <v>29</v>
      </c>
      <c r="F85" s="4" t="s">
        <v>24</v>
      </c>
      <c r="G85" s="5" t="s">
        <v>25</v>
      </c>
      <c r="H85" s="4" t="s">
        <v>223</v>
      </c>
      <c r="I85" s="10">
        <v>-788</v>
      </c>
      <c r="J85" s="10">
        <v>43919</v>
      </c>
      <c r="K85" s="4" t="s">
        <v>20</v>
      </c>
      <c r="L85" s="4" t="s">
        <v>221</v>
      </c>
    </row>
    <row r="86" spans="1:12" x14ac:dyDescent="0.25">
      <c r="A86" s="2" t="s">
        <v>224</v>
      </c>
      <c r="B86" s="2" t="s">
        <v>225</v>
      </c>
      <c r="C86" s="2" t="s">
        <v>14</v>
      </c>
      <c r="D86" s="2" t="s">
        <v>15</v>
      </c>
      <c r="E86" s="2" t="s">
        <v>23</v>
      </c>
      <c r="F86" s="2" t="s">
        <v>24</v>
      </c>
      <c r="G86" s="3" t="s">
        <v>25</v>
      </c>
      <c r="H86" s="2" t="s">
        <v>51</v>
      </c>
      <c r="I86" s="9">
        <v>-618</v>
      </c>
      <c r="J86" s="9">
        <v>44537</v>
      </c>
      <c r="K86" s="2" t="s">
        <v>20</v>
      </c>
      <c r="L86" s="2" t="s">
        <v>224</v>
      </c>
    </row>
    <row r="87" spans="1:12" hidden="1" x14ac:dyDescent="0.25">
      <c r="A87" s="4" t="s">
        <v>224</v>
      </c>
      <c r="B87" s="4" t="s">
        <v>226</v>
      </c>
      <c r="C87" s="4" t="s">
        <v>14</v>
      </c>
      <c r="D87" s="4" t="s">
        <v>15</v>
      </c>
      <c r="E87" s="4" t="s">
        <v>16</v>
      </c>
      <c r="F87" s="4" t="s">
        <v>17</v>
      </c>
      <c r="G87" s="7" t="s">
        <v>18</v>
      </c>
      <c r="H87" s="4" t="s">
        <v>19</v>
      </c>
      <c r="I87" s="10">
        <v>9500</v>
      </c>
      <c r="J87" s="10">
        <v>35037</v>
      </c>
      <c r="K87" s="4" t="s">
        <v>20</v>
      </c>
      <c r="L87" s="4" t="s">
        <v>224</v>
      </c>
    </row>
    <row r="88" spans="1:12" x14ac:dyDescent="0.25">
      <c r="A88" s="2" t="s">
        <v>227</v>
      </c>
      <c r="B88" s="2" t="s">
        <v>228</v>
      </c>
      <c r="C88" s="2" t="s">
        <v>14</v>
      </c>
      <c r="D88" s="2" t="s">
        <v>15</v>
      </c>
      <c r="E88" s="2" t="s">
        <v>23</v>
      </c>
      <c r="F88" s="2" t="s">
        <v>24</v>
      </c>
      <c r="G88" s="3" t="s">
        <v>25</v>
      </c>
      <c r="H88" s="2" t="s">
        <v>72</v>
      </c>
      <c r="I88" s="9">
        <v>-778</v>
      </c>
      <c r="J88" s="9">
        <v>35815</v>
      </c>
      <c r="K88" s="2" t="s">
        <v>20</v>
      </c>
      <c r="L88" s="2" t="s">
        <v>227</v>
      </c>
    </row>
    <row r="89" spans="1:12" x14ac:dyDescent="0.25">
      <c r="A89" s="4" t="s">
        <v>229</v>
      </c>
      <c r="B89" s="4" t="s">
        <v>230</v>
      </c>
      <c r="C89" s="4" t="s">
        <v>14</v>
      </c>
      <c r="D89" s="4" t="s">
        <v>15</v>
      </c>
      <c r="E89" s="4" t="s">
        <v>29</v>
      </c>
      <c r="F89" s="4" t="s">
        <v>24</v>
      </c>
      <c r="G89" s="5" t="s">
        <v>25</v>
      </c>
      <c r="H89" s="4" t="s">
        <v>231</v>
      </c>
      <c r="I89" s="10">
        <v>-471</v>
      </c>
      <c r="J89" s="10">
        <v>36286</v>
      </c>
      <c r="K89" s="4" t="s">
        <v>20</v>
      </c>
      <c r="L89" s="4" t="s">
        <v>229</v>
      </c>
    </row>
    <row r="90" spans="1:12" x14ac:dyDescent="0.25">
      <c r="A90" s="2" t="s">
        <v>232</v>
      </c>
      <c r="B90" s="2" t="s">
        <v>233</v>
      </c>
      <c r="C90" s="2" t="s">
        <v>14</v>
      </c>
      <c r="D90" s="2" t="s">
        <v>15</v>
      </c>
      <c r="E90" s="2" t="s">
        <v>23</v>
      </c>
      <c r="F90" s="2" t="s">
        <v>24</v>
      </c>
      <c r="G90" s="3" t="s">
        <v>25</v>
      </c>
      <c r="H90" s="2" t="s">
        <v>166</v>
      </c>
      <c r="I90" s="9">
        <v>-307</v>
      </c>
      <c r="J90" s="9">
        <v>36593</v>
      </c>
      <c r="K90" s="2" t="s">
        <v>20</v>
      </c>
      <c r="L90" s="2" t="s">
        <v>232</v>
      </c>
    </row>
    <row r="91" spans="1:12" x14ac:dyDescent="0.25">
      <c r="A91" s="4" t="s">
        <v>234</v>
      </c>
      <c r="B91" s="4" t="s">
        <v>235</v>
      </c>
      <c r="C91" s="4" t="s">
        <v>14</v>
      </c>
      <c r="D91" s="4" t="s">
        <v>15</v>
      </c>
      <c r="E91" s="4" t="s">
        <v>33</v>
      </c>
      <c r="F91" s="4" t="s">
        <v>24</v>
      </c>
      <c r="G91" s="5" t="s">
        <v>25</v>
      </c>
      <c r="H91" s="4" t="s">
        <v>190</v>
      </c>
      <c r="I91" s="10">
        <v>-369</v>
      </c>
      <c r="J91" s="10">
        <v>36962</v>
      </c>
      <c r="K91" s="4" t="s">
        <v>20</v>
      </c>
      <c r="L91" s="4" t="s">
        <v>234</v>
      </c>
    </row>
    <row r="92" spans="1:12" x14ac:dyDescent="0.25">
      <c r="A92" s="2" t="s">
        <v>236</v>
      </c>
      <c r="B92" s="2" t="s">
        <v>237</v>
      </c>
      <c r="C92" s="2" t="s">
        <v>14</v>
      </c>
      <c r="D92" s="2" t="s">
        <v>15</v>
      </c>
      <c r="E92" s="2" t="s">
        <v>29</v>
      </c>
      <c r="F92" s="2" t="s">
        <v>24</v>
      </c>
      <c r="G92" s="3" t="s">
        <v>25</v>
      </c>
      <c r="H92" s="2" t="s">
        <v>223</v>
      </c>
      <c r="I92" s="9">
        <v>-471</v>
      </c>
      <c r="J92" s="9">
        <v>37433</v>
      </c>
      <c r="K92" s="2" t="s">
        <v>20</v>
      </c>
      <c r="L92" s="2" t="s">
        <v>236</v>
      </c>
    </row>
    <row r="93" spans="1:12" x14ac:dyDescent="0.25">
      <c r="A93" s="4" t="s">
        <v>238</v>
      </c>
      <c r="B93" s="4" t="s">
        <v>239</v>
      </c>
      <c r="C93" s="4" t="s">
        <v>14</v>
      </c>
      <c r="D93" s="4" t="s">
        <v>15</v>
      </c>
      <c r="E93" s="4" t="s">
        <v>33</v>
      </c>
      <c r="F93" s="4" t="s">
        <v>24</v>
      </c>
      <c r="G93" s="5" t="s">
        <v>25</v>
      </c>
      <c r="H93" s="4" t="s">
        <v>115</v>
      </c>
      <c r="I93" s="10">
        <v>-748</v>
      </c>
      <c r="J93" s="10">
        <v>38181</v>
      </c>
      <c r="K93" s="4" t="s">
        <v>20</v>
      </c>
      <c r="L93" s="4" t="s">
        <v>238</v>
      </c>
    </row>
    <row r="94" spans="1:12" x14ac:dyDescent="0.25">
      <c r="A94" s="2" t="s">
        <v>240</v>
      </c>
      <c r="B94" s="2" t="s">
        <v>241</v>
      </c>
      <c r="C94" s="2" t="s">
        <v>14</v>
      </c>
      <c r="D94" s="2" t="s">
        <v>15</v>
      </c>
      <c r="E94" s="2" t="s">
        <v>23</v>
      </c>
      <c r="F94" s="2" t="s">
        <v>24</v>
      </c>
      <c r="G94" s="3" t="s">
        <v>25</v>
      </c>
      <c r="H94" s="2" t="s">
        <v>37</v>
      </c>
      <c r="I94" s="9">
        <v>-2253</v>
      </c>
      <c r="J94" s="9">
        <v>40434</v>
      </c>
      <c r="K94" s="2" t="s">
        <v>20</v>
      </c>
      <c r="L94" s="2" t="s">
        <v>240</v>
      </c>
    </row>
    <row r="95" spans="1:12" x14ac:dyDescent="0.25">
      <c r="A95" s="4" t="s">
        <v>242</v>
      </c>
      <c r="B95" s="4" t="s">
        <v>243</v>
      </c>
      <c r="C95" s="4" t="s">
        <v>14</v>
      </c>
      <c r="D95" s="4" t="s">
        <v>15</v>
      </c>
      <c r="E95" s="4" t="s">
        <v>23</v>
      </c>
      <c r="F95" s="4" t="s">
        <v>24</v>
      </c>
      <c r="G95" s="5" t="s">
        <v>25</v>
      </c>
      <c r="H95" s="4" t="s">
        <v>58</v>
      </c>
      <c r="I95" s="10">
        <v>-307</v>
      </c>
      <c r="J95" s="10">
        <v>40741</v>
      </c>
      <c r="K95" s="4" t="s">
        <v>20</v>
      </c>
      <c r="L95" s="4" t="s">
        <v>242</v>
      </c>
    </row>
    <row r="96" spans="1:12" hidden="1" x14ac:dyDescent="0.25">
      <c r="A96" s="2" t="s">
        <v>244</v>
      </c>
      <c r="B96" s="2" t="s">
        <v>245</v>
      </c>
      <c r="C96" s="2" t="s">
        <v>14</v>
      </c>
      <c r="D96" s="2" t="s">
        <v>15</v>
      </c>
      <c r="E96" s="2" t="s">
        <v>33</v>
      </c>
      <c r="F96" s="2" t="s">
        <v>24</v>
      </c>
      <c r="G96" s="3" t="s">
        <v>25</v>
      </c>
      <c r="H96" s="2" t="s">
        <v>60</v>
      </c>
      <c r="I96" s="9">
        <v>-1200</v>
      </c>
      <c r="J96" s="9">
        <v>41941</v>
      </c>
      <c r="K96" s="2" t="s">
        <v>20</v>
      </c>
      <c r="L96" s="2" t="s">
        <v>244</v>
      </c>
    </row>
    <row r="97" spans="1:12" x14ac:dyDescent="0.25">
      <c r="A97" s="4" t="s">
        <v>246</v>
      </c>
      <c r="B97" s="4" t="s">
        <v>247</v>
      </c>
      <c r="C97" s="4" t="s">
        <v>14</v>
      </c>
      <c r="D97" s="4" t="s">
        <v>15</v>
      </c>
      <c r="E97" s="4" t="s">
        <v>23</v>
      </c>
      <c r="F97" s="4" t="s">
        <v>24</v>
      </c>
      <c r="G97" s="5" t="s">
        <v>25</v>
      </c>
      <c r="H97" s="4" t="s">
        <v>81</v>
      </c>
      <c r="I97" s="10">
        <v>-778</v>
      </c>
      <c r="J97" s="10">
        <v>42719</v>
      </c>
      <c r="K97" s="4" t="s">
        <v>20</v>
      </c>
      <c r="L97" s="4" t="s">
        <v>248</v>
      </c>
    </row>
    <row r="98" spans="1:12" x14ac:dyDescent="0.25">
      <c r="A98" s="2" t="s">
        <v>249</v>
      </c>
      <c r="B98" s="2" t="s">
        <v>250</v>
      </c>
      <c r="C98" s="2" t="s">
        <v>14</v>
      </c>
      <c r="D98" s="2" t="s">
        <v>15</v>
      </c>
      <c r="E98" s="2" t="s">
        <v>23</v>
      </c>
      <c r="F98" s="2" t="s">
        <v>24</v>
      </c>
      <c r="G98" s="3" t="s">
        <v>25</v>
      </c>
      <c r="H98" s="2" t="s">
        <v>45</v>
      </c>
      <c r="I98" s="9">
        <v>-725</v>
      </c>
      <c r="J98" s="9">
        <v>43444</v>
      </c>
      <c r="K98" s="2" t="s">
        <v>20</v>
      </c>
      <c r="L98" s="2" t="s">
        <v>249</v>
      </c>
    </row>
    <row r="99" spans="1:12" hidden="1" x14ac:dyDescent="0.25">
      <c r="A99" s="4" t="s">
        <v>251</v>
      </c>
      <c r="B99" s="4" t="s">
        <v>252</v>
      </c>
      <c r="C99" s="4" t="s">
        <v>14</v>
      </c>
      <c r="D99" s="4" t="s">
        <v>15</v>
      </c>
      <c r="E99" s="4" t="s">
        <v>16</v>
      </c>
      <c r="F99" s="4" t="s">
        <v>17</v>
      </c>
      <c r="G99" s="7" t="s">
        <v>18</v>
      </c>
      <c r="H99" s="4" t="s">
        <v>19</v>
      </c>
      <c r="I99" s="10">
        <v>9200</v>
      </c>
      <c r="J99" s="10">
        <v>34244</v>
      </c>
      <c r="K99" s="4" t="s">
        <v>20</v>
      </c>
      <c r="L99" s="4" t="s">
        <v>251</v>
      </c>
    </row>
    <row r="100" spans="1:12" x14ac:dyDescent="0.25">
      <c r="A100" s="2" t="s">
        <v>253</v>
      </c>
      <c r="B100" s="2" t="s">
        <v>254</v>
      </c>
      <c r="C100" s="2" t="s">
        <v>14</v>
      </c>
      <c r="D100" s="2" t="s">
        <v>15</v>
      </c>
      <c r="E100" s="2" t="s">
        <v>29</v>
      </c>
      <c r="F100" s="2" t="s">
        <v>24</v>
      </c>
      <c r="G100" s="3" t="s">
        <v>25</v>
      </c>
      <c r="H100" s="2" t="s">
        <v>231</v>
      </c>
      <c r="I100" s="9">
        <v>-417</v>
      </c>
      <c r="J100" s="9">
        <v>34661</v>
      </c>
      <c r="K100" s="2" t="s">
        <v>20</v>
      </c>
      <c r="L100" s="2" t="s">
        <v>253</v>
      </c>
    </row>
    <row r="101" spans="1:12" x14ac:dyDescent="0.25">
      <c r="A101" s="4" t="s">
        <v>255</v>
      </c>
      <c r="B101" s="4" t="s">
        <v>256</v>
      </c>
      <c r="C101" s="4" t="s">
        <v>14</v>
      </c>
      <c r="D101" s="4" t="s">
        <v>15</v>
      </c>
      <c r="E101" s="4" t="s">
        <v>54</v>
      </c>
      <c r="F101" s="4" t="s">
        <v>24</v>
      </c>
      <c r="G101" s="5" t="s">
        <v>25</v>
      </c>
      <c r="H101" s="4" t="s">
        <v>55</v>
      </c>
      <c r="I101" s="10">
        <v>-375</v>
      </c>
      <c r="J101" s="10">
        <v>35036</v>
      </c>
      <c r="K101" s="4" t="s">
        <v>20</v>
      </c>
      <c r="L101" s="4" t="s">
        <v>255</v>
      </c>
    </row>
    <row r="102" spans="1:12" x14ac:dyDescent="0.25">
      <c r="A102" s="2" t="s">
        <v>257</v>
      </c>
      <c r="B102" s="2" t="s">
        <v>258</v>
      </c>
      <c r="C102" s="2" t="s">
        <v>14</v>
      </c>
      <c r="D102" s="2" t="s">
        <v>15</v>
      </c>
      <c r="E102" s="2" t="s">
        <v>23</v>
      </c>
      <c r="F102" s="2" t="s">
        <v>24</v>
      </c>
      <c r="G102" s="3" t="s">
        <v>25</v>
      </c>
      <c r="H102" s="2" t="s">
        <v>145</v>
      </c>
      <c r="I102" s="9">
        <v>-592</v>
      </c>
      <c r="J102" s="9">
        <v>42815</v>
      </c>
      <c r="K102" s="2" t="s">
        <v>20</v>
      </c>
      <c r="L102" s="2" t="s">
        <v>257</v>
      </c>
    </row>
    <row r="103" spans="1:12" x14ac:dyDescent="0.25">
      <c r="A103" s="4" t="s">
        <v>259</v>
      </c>
      <c r="B103" s="4" t="s">
        <v>260</v>
      </c>
      <c r="C103" s="4" t="s">
        <v>14</v>
      </c>
      <c r="D103" s="4" t="s">
        <v>15</v>
      </c>
      <c r="E103" s="4" t="s">
        <v>23</v>
      </c>
      <c r="F103" s="4" t="s">
        <v>24</v>
      </c>
      <c r="G103" s="5" t="s">
        <v>25</v>
      </c>
      <c r="H103" s="4" t="s">
        <v>145</v>
      </c>
      <c r="I103" s="10">
        <v>-593</v>
      </c>
      <c r="J103" s="10">
        <v>43408</v>
      </c>
      <c r="K103" s="4" t="s">
        <v>20</v>
      </c>
      <c r="L103" s="4" t="s">
        <v>259</v>
      </c>
    </row>
    <row r="104" spans="1:12" x14ac:dyDescent="0.25">
      <c r="A104" s="2" t="s">
        <v>261</v>
      </c>
      <c r="B104" s="2" t="s">
        <v>262</v>
      </c>
      <c r="C104" s="2" t="s">
        <v>14</v>
      </c>
      <c r="D104" s="2" t="s">
        <v>15</v>
      </c>
      <c r="E104" s="2" t="s">
        <v>23</v>
      </c>
      <c r="F104" s="2" t="s">
        <v>24</v>
      </c>
      <c r="G104" s="3" t="s">
        <v>25</v>
      </c>
      <c r="H104" s="2" t="s">
        <v>45</v>
      </c>
      <c r="I104" s="9">
        <v>-724</v>
      </c>
      <c r="J104" s="9">
        <v>44132</v>
      </c>
      <c r="K104" s="2" t="s">
        <v>20</v>
      </c>
      <c r="L104" s="2" t="s">
        <v>261</v>
      </c>
    </row>
    <row r="105" spans="1:12" x14ac:dyDescent="0.25">
      <c r="A105" s="4" t="s">
        <v>263</v>
      </c>
      <c r="B105" s="4" t="s">
        <v>264</v>
      </c>
      <c r="C105" s="4" t="s">
        <v>14</v>
      </c>
      <c r="D105" s="4" t="s">
        <v>15</v>
      </c>
      <c r="E105" s="4" t="s">
        <v>33</v>
      </c>
      <c r="F105" s="4" t="s">
        <v>24</v>
      </c>
      <c r="G105" s="5" t="s">
        <v>25</v>
      </c>
      <c r="H105" s="4" t="s">
        <v>67</v>
      </c>
      <c r="I105" s="10">
        <v>-372</v>
      </c>
      <c r="J105" s="10">
        <v>44504</v>
      </c>
      <c r="K105" s="4" t="s">
        <v>20</v>
      </c>
      <c r="L105" s="4" t="s">
        <v>263</v>
      </c>
    </row>
    <row r="106" spans="1:12" x14ac:dyDescent="0.25">
      <c r="A106" s="2" t="s">
        <v>265</v>
      </c>
      <c r="B106" s="2" t="s">
        <v>266</v>
      </c>
      <c r="C106" s="2" t="s">
        <v>14</v>
      </c>
      <c r="D106" s="2" t="s">
        <v>15</v>
      </c>
      <c r="E106" s="2" t="s">
        <v>23</v>
      </c>
      <c r="F106" s="2" t="s">
        <v>24</v>
      </c>
      <c r="G106" s="3" t="s">
        <v>25</v>
      </c>
      <c r="H106" s="2" t="s">
        <v>58</v>
      </c>
      <c r="I106" s="9">
        <v>-687</v>
      </c>
      <c r="J106" s="9">
        <v>45191</v>
      </c>
      <c r="K106" s="2" t="s">
        <v>20</v>
      </c>
      <c r="L106" s="2" t="s">
        <v>265</v>
      </c>
    </row>
    <row r="107" spans="1:12" x14ac:dyDescent="0.25">
      <c r="A107" s="4" t="s">
        <v>267</v>
      </c>
      <c r="B107" s="4" t="s">
        <v>268</v>
      </c>
      <c r="C107" s="4" t="s">
        <v>14</v>
      </c>
      <c r="D107" s="4" t="s">
        <v>15</v>
      </c>
      <c r="E107" s="4" t="s">
        <v>23</v>
      </c>
      <c r="F107" s="4" t="s">
        <v>24</v>
      </c>
      <c r="G107" s="5" t="s">
        <v>25</v>
      </c>
      <c r="H107" s="4" t="s">
        <v>37</v>
      </c>
      <c r="I107" s="10">
        <v>-232</v>
      </c>
      <c r="J107" s="10">
        <v>45423</v>
      </c>
      <c r="K107" s="4" t="s">
        <v>20</v>
      </c>
      <c r="L107" s="4" t="s">
        <v>267</v>
      </c>
    </row>
    <row r="108" spans="1:12" x14ac:dyDescent="0.25">
      <c r="A108" s="2" t="s">
        <v>269</v>
      </c>
      <c r="B108" s="2" t="s">
        <v>270</v>
      </c>
      <c r="C108" s="2" t="s">
        <v>14</v>
      </c>
      <c r="D108" s="2" t="s">
        <v>15</v>
      </c>
      <c r="E108" s="2" t="s">
        <v>23</v>
      </c>
      <c r="F108" s="2" t="s">
        <v>24</v>
      </c>
      <c r="G108" s="3" t="s">
        <v>25</v>
      </c>
      <c r="H108" s="2" t="s">
        <v>81</v>
      </c>
      <c r="I108" s="9">
        <v>-592</v>
      </c>
      <c r="J108" s="9">
        <v>46015</v>
      </c>
      <c r="K108" s="2" t="s">
        <v>20</v>
      </c>
      <c r="L108" s="2" t="s">
        <v>269</v>
      </c>
    </row>
    <row r="109" spans="1:12" x14ac:dyDescent="0.25">
      <c r="A109" s="4" t="s">
        <v>271</v>
      </c>
      <c r="B109" s="4" t="s">
        <v>272</v>
      </c>
      <c r="C109" s="4" t="s">
        <v>14</v>
      </c>
      <c r="D109" s="4" t="s">
        <v>15</v>
      </c>
      <c r="E109" s="4" t="s">
        <v>33</v>
      </c>
      <c r="F109" s="4" t="s">
        <v>24</v>
      </c>
      <c r="G109" s="5" t="s">
        <v>25</v>
      </c>
      <c r="H109" s="4" t="s">
        <v>273</v>
      </c>
      <c r="I109" s="10">
        <v>-804</v>
      </c>
      <c r="J109" s="10">
        <v>46819</v>
      </c>
      <c r="K109" s="4" t="s">
        <v>20</v>
      </c>
      <c r="L109" s="4" t="s">
        <v>271</v>
      </c>
    </row>
    <row r="110" spans="1:12" x14ac:dyDescent="0.25">
      <c r="A110" s="2" t="s">
        <v>274</v>
      </c>
      <c r="B110" s="2" t="s">
        <v>275</v>
      </c>
      <c r="C110" s="2" t="s">
        <v>14</v>
      </c>
      <c r="D110" s="2" t="s">
        <v>15</v>
      </c>
      <c r="E110" s="2" t="s">
        <v>29</v>
      </c>
      <c r="F110" s="2" t="s">
        <v>24</v>
      </c>
      <c r="G110" s="3" t="s">
        <v>25</v>
      </c>
      <c r="H110" s="2" t="s">
        <v>128</v>
      </c>
      <c r="I110" s="9">
        <v>-417</v>
      </c>
      <c r="J110" s="9">
        <v>47236</v>
      </c>
      <c r="K110" s="2" t="s">
        <v>20</v>
      </c>
      <c r="L110" s="2" t="s">
        <v>274</v>
      </c>
    </row>
    <row r="111" spans="1:12" x14ac:dyDescent="0.25">
      <c r="A111" s="4" t="s">
        <v>276</v>
      </c>
      <c r="B111" s="4" t="s">
        <v>277</v>
      </c>
      <c r="C111" s="4" t="s">
        <v>14</v>
      </c>
      <c r="D111" s="4" t="s">
        <v>15</v>
      </c>
      <c r="E111" s="4" t="s">
        <v>23</v>
      </c>
      <c r="F111" s="4" t="s">
        <v>24</v>
      </c>
      <c r="G111" s="5" t="s">
        <v>25</v>
      </c>
      <c r="H111" s="4" t="s">
        <v>51</v>
      </c>
      <c r="I111" s="10">
        <v>-520</v>
      </c>
      <c r="J111" s="10">
        <v>47756</v>
      </c>
      <c r="K111" s="4" t="s">
        <v>20</v>
      </c>
      <c r="L111" s="4" t="s">
        <v>276</v>
      </c>
    </row>
    <row r="112" spans="1:12" hidden="1" x14ac:dyDescent="0.25">
      <c r="A112" s="2" t="s">
        <v>276</v>
      </c>
      <c r="B112" s="2" t="s">
        <v>278</v>
      </c>
      <c r="C112" s="2" t="s">
        <v>14</v>
      </c>
      <c r="D112" s="2" t="s">
        <v>15</v>
      </c>
      <c r="E112" s="2" t="s">
        <v>33</v>
      </c>
      <c r="F112" s="2" t="s">
        <v>24</v>
      </c>
      <c r="G112" s="3" t="s">
        <v>25</v>
      </c>
      <c r="H112" s="2" t="s">
        <v>60</v>
      </c>
      <c r="I112" s="9">
        <v>-1200</v>
      </c>
      <c r="J112" s="9">
        <v>48956</v>
      </c>
      <c r="K112" s="2" t="s">
        <v>20</v>
      </c>
      <c r="L112" s="2" t="s">
        <v>276</v>
      </c>
    </row>
    <row r="113" spans="1:12" hidden="1" x14ac:dyDescent="0.25">
      <c r="A113" s="4" t="s">
        <v>279</v>
      </c>
      <c r="B113" s="4" t="s">
        <v>280</v>
      </c>
      <c r="C113" s="4" t="s">
        <v>14</v>
      </c>
      <c r="D113" s="4" t="s">
        <v>15</v>
      </c>
      <c r="E113" s="4" t="s">
        <v>16</v>
      </c>
      <c r="F113" s="4" t="s">
        <v>17</v>
      </c>
      <c r="G113" s="7" t="s">
        <v>18</v>
      </c>
      <c r="H113" s="4" t="s">
        <v>19</v>
      </c>
      <c r="I113" s="10">
        <v>9800</v>
      </c>
      <c r="J113" s="10">
        <v>39156</v>
      </c>
      <c r="K113" s="4" t="s">
        <v>20</v>
      </c>
      <c r="L113" s="4" t="s">
        <v>279</v>
      </c>
    </row>
    <row r="114" spans="1:12" x14ac:dyDescent="0.25">
      <c r="A114" s="2" t="s">
        <v>281</v>
      </c>
      <c r="B114" s="2" t="s">
        <v>282</v>
      </c>
      <c r="C114" s="2" t="s">
        <v>14</v>
      </c>
      <c r="D114" s="2" t="s">
        <v>15</v>
      </c>
      <c r="E114" s="2" t="s">
        <v>33</v>
      </c>
      <c r="F114" s="2" t="s">
        <v>24</v>
      </c>
      <c r="G114" s="3" t="s">
        <v>25</v>
      </c>
      <c r="H114" s="2" t="s">
        <v>190</v>
      </c>
      <c r="I114" s="9">
        <v>-447</v>
      </c>
      <c r="J114" s="9">
        <v>39603</v>
      </c>
      <c r="K114" s="2" t="s">
        <v>20</v>
      </c>
      <c r="L114" s="2" t="s">
        <v>281</v>
      </c>
    </row>
    <row r="115" spans="1:12" x14ac:dyDescent="0.25">
      <c r="A115" s="4" t="s">
        <v>283</v>
      </c>
      <c r="B115" s="4" t="s">
        <v>284</v>
      </c>
      <c r="C115" s="4" t="s">
        <v>14</v>
      </c>
      <c r="D115" s="4" t="s">
        <v>15</v>
      </c>
      <c r="E115" s="4" t="s">
        <v>23</v>
      </c>
      <c r="F115" s="4" t="s">
        <v>24</v>
      </c>
      <c r="G115" s="5" t="s">
        <v>25</v>
      </c>
      <c r="H115" s="4" t="s">
        <v>98</v>
      </c>
      <c r="I115" s="10">
        <v>-538</v>
      </c>
      <c r="J115" s="10">
        <v>40141</v>
      </c>
      <c r="K115" s="4" t="s">
        <v>20</v>
      </c>
      <c r="L115" s="4" t="s">
        <v>283</v>
      </c>
    </row>
    <row r="116" spans="1:12" x14ac:dyDescent="0.25">
      <c r="A116" s="2" t="s">
        <v>285</v>
      </c>
      <c r="B116" s="2" t="s">
        <v>286</v>
      </c>
      <c r="C116" s="2" t="s">
        <v>14</v>
      </c>
      <c r="D116" s="2" t="s">
        <v>15</v>
      </c>
      <c r="E116" s="2" t="s">
        <v>23</v>
      </c>
      <c r="F116" s="2" t="s">
        <v>24</v>
      </c>
      <c r="G116" s="3" t="s">
        <v>25</v>
      </c>
      <c r="H116" s="2" t="s">
        <v>72</v>
      </c>
      <c r="I116" s="9">
        <v>-538</v>
      </c>
      <c r="J116" s="9">
        <v>40679</v>
      </c>
      <c r="K116" s="2" t="s">
        <v>20</v>
      </c>
      <c r="L116" s="2" t="s">
        <v>285</v>
      </c>
    </row>
    <row r="117" spans="1:12" x14ac:dyDescent="0.25">
      <c r="A117" s="4" t="s">
        <v>287</v>
      </c>
      <c r="B117" s="4" t="s">
        <v>288</v>
      </c>
      <c r="C117" s="4" t="s">
        <v>14</v>
      </c>
      <c r="D117" s="4" t="s">
        <v>15</v>
      </c>
      <c r="E117" s="4" t="s">
        <v>23</v>
      </c>
      <c r="F117" s="4" t="s">
        <v>24</v>
      </c>
      <c r="G117" s="5" t="s">
        <v>25</v>
      </c>
      <c r="H117" s="4" t="s">
        <v>98</v>
      </c>
      <c r="I117" s="10">
        <v>-537</v>
      </c>
      <c r="J117" s="10">
        <v>41216</v>
      </c>
      <c r="K117" s="4" t="s">
        <v>20</v>
      </c>
      <c r="L117" s="4" t="s">
        <v>287</v>
      </c>
    </row>
    <row r="118" spans="1:12" x14ac:dyDescent="0.25">
      <c r="A118" s="2" t="s">
        <v>289</v>
      </c>
      <c r="B118" s="2" t="s">
        <v>290</v>
      </c>
      <c r="C118" s="2" t="s">
        <v>14</v>
      </c>
      <c r="D118" s="2" t="s">
        <v>15</v>
      </c>
      <c r="E118" s="2" t="s">
        <v>23</v>
      </c>
      <c r="F118" s="2" t="s">
        <v>24</v>
      </c>
      <c r="G118" s="3" t="s">
        <v>25</v>
      </c>
      <c r="H118" s="2" t="s">
        <v>37</v>
      </c>
      <c r="I118" s="9">
        <v>-2335</v>
      </c>
      <c r="J118" s="9">
        <v>43551</v>
      </c>
      <c r="K118" s="2" t="s">
        <v>20</v>
      </c>
      <c r="L118" s="2" t="s">
        <v>289</v>
      </c>
    </row>
    <row r="119" spans="1:12" x14ac:dyDescent="0.25">
      <c r="A119" s="4" t="s">
        <v>291</v>
      </c>
      <c r="B119" s="4" t="s">
        <v>292</v>
      </c>
      <c r="C119" s="4" t="s">
        <v>14</v>
      </c>
      <c r="D119" s="4" t="s">
        <v>15</v>
      </c>
      <c r="E119" s="4" t="s">
        <v>23</v>
      </c>
      <c r="F119" s="4" t="s">
        <v>24</v>
      </c>
      <c r="G119" s="5" t="s">
        <v>25</v>
      </c>
      <c r="H119" s="4" t="s">
        <v>87</v>
      </c>
      <c r="I119" s="10">
        <v>-366</v>
      </c>
      <c r="J119" s="10">
        <v>43917</v>
      </c>
      <c r="K119" s="4" t="s">
        <v>20</v>
      </c>
      <c r="L119" s="4" t="s">
        <v>291</v>
      </c>
    </row>
    <row r="120" spans="1:12" x14ac:dyDescent="0.25">
      <c r="A120" s="2" t="s">
        <v>293</v>
      </c>
      <c r="B120" s="2" t="s">
        <v>294</v>
      </c>
      <c r="C120" s="2" t="s">
        <v>14</v>
      </c>
      <c r="D120" s="2" t="s">
        <v>15</v>
      </c>
      <c r="E120" s="2" t="s">
        <v>29</v>
      </c>
      <c r="F120" s="2" t="s">
        <v>24</v>
      </c>
      <c r="G120" s="3" t="s">
        <v>25</v>
      </c>
      <c r="H120" s="2" t="s">
        <v>30</v>
      </c>
      <c r="I120" s="9">
        <v>-763</v>
      </c>
      <c r="J120" s="9">
        <v>44680</v>
      </c>
      <c r="K120" s="2" t="s">
        <v>20</v>
      </c>
      <c r="L120" s="2" t="s">
        <v>293</v>
      </c>
    </row>
    <row r="121" spans="1:12" x14ac:dyDescent="0.25">
      <c r="A121" s="4" t="s">
        <v>295</v>
      </c>
      <c r="B121" s="4" t="s">
        <v>296</v>
      </c>
      <c r="C121" s="4" t="s">
        <v>14</v>
      </c>
      <c r="D121" s="4" t="s">
        <v>15</v>
      </c>
      <c r="E121" s="4" t="s">
        <v>33</v>
      </c>
      <c r="F121" s="4" t="s">
        <v>24</v>
      </c>
      <c r="G121" s="5" t="s">
        <v>25</v>
      </c>
      <c r="H121" s="4" t="s">
        <v>273</v>
      </c>
      <c r="I121" s="10">
        <v>-655</v>
      </c>
      <c r="J121" s="10">
        <v>45335</v>
      </c>
      <c r="K121" s="4" t="s">
        <v>20</v>
      </c>
      <c r="L121" s="4" t="s">
        <v>295</v>
      </c>
    </row>
    <row r="122" spans="1:12" hidden="1" x14ac:dyDescent="0.25">
      <c r="A122" s="2" t="s">
        <v>297</v>
      </c>
      <c r="B122" s="2" t="s">
        <v>298</v>
      </c>
      <c r="C122" s="2" t="s">
        <v>14</v>
      </c>
      <c r="D122" s="2" t="s">
        <v>15</v>
      </c>
      <c r="E122" s="2" t="s">
        <v>33</v>
      </c>
      <c r="F122" s="2" t="s">
        <v>24</v>
      </c>
      <c r="G122" s="3" t="s">
        <v>25</v>
      </c>
      <c r="H122" s="2" t="s">
        <v>60</v>
      </c>
      <c r="I122" s="9">
        <v>-1200</v>
      </c>
      <c r="J122" s="9">
        <v>46535</v>
      </c>
      <c r="K122" s="2" t="s">
        <v>20</v>
      </c>
      <c r="L122" s="2" t="s">
        <v>297</v>
      </c>
    </row>
    <row r="123" spans="1:12" x14ac:dyDescent="0.25">
      <c r="A123" s="4" t="s">
        <v>299</v>
      </c>
      <c r="B123" s="4" t="s">
        <v>300</v>
      </c>
      <c r="C123" s="4" t="s">
        <v>14</v>
      </c>
      <c r="D123" s="4" t="s">
        <v>15</v>
      </c>
      <c r="E123" s="4" t="s">
        <v>23</v>
      </c>
      <c r="F123" s="4" t="s">
        <v>24</v>
      </c>
      <c r="G123" s="5" t="s">
        <v>25</v>
      </c>
      <c r="H123" s="4" t="s">
        <v>150</v>
      </c>
      <c r="I123" s="10">
        <v>-655</v>
      </c>
      <c r="J123" s="10">
        <v>47190</v>
      </c>
      <c r="K123" s="4" t="s">
        <v>20</v>
      </c>
      <c r="L123" s="4" t="s">
        <v>299</v>
      </c>
    </row>
    <row r="124" spans="1:12" x14ac:dyDescent="0.25">
      <c r="A124" s="2" t="s">
        <v>301</v>
      </c>
      <c r="B124" s="2" t="s">
        <v>302</v>
      </c>
      <c r="C124" s="2" t="s">
        <v>14</v>
      </c>
      <c r="D124" s="2" t="s">
        <v>15</v>
      </c>
      <c r="E124" s="2" t="s">
        <v>23</v>
      </c>
      <c r="F124" s="2" t="s">
        <v>24</v>
      </c>
      <c r="G124" s="3" t="s">
        <v>25</v>
      </c>
      <c r="H124" s="2" t="s">
        <v>58</v>
      </c>
      <c r="I124" s="9">
        <v>-366</v>
      </c>
      <c r="J124" s="9">
        <v>47556</v>
      </c>
      <c r="K124" s="2" t="s">
        <v>20</v>
      </c>
      <c r="L124" s="2" t="s">
        <v>301</v>
      </c>
    </row>
    <row r="125" spans="1:12" x14ac:dyDescent="0.25">
      <c r="A125" s="4" t="s">
        <v>303</v>
      </c>
      <c r="B125" s="4" t="s">
        <v>304</v>
      </c>
      <c r="C125" s="4" t="s">
        <v>14</v>
      </c>
      <c r="D125" s="4" t="s">
        <v>15</v>
      </c>
      <c r="E125" s="4" t="s">
        <v>29</v>
      </c>
      <c r="F125" s="4" t="s">
        <v>24</v>
      </c>
      <c r="G125" s="5" t="s">
        <v>25</v>
      </c>
      <c r="H125" s="4" t="s">
        <v>30</v>
      </c>
      <c r="I125" s="10">
        <v>-870</v>
      </c>
      <c r="J125" s="10">
        <v>48426</v>
      </c>
      <c r="K125" s="4" t="s">
        <v>20</v>
      </c>
      <c r="L125" s="4" t="s">
        <v>303</v>
      </c>
    </row>
    <row r="126" spans="1:12" x14ac:dyDescent="0.25">
      <c r="A126" s="2" t="s">
        <v>305</v>
      </c>
      <c r="B126" s="2" t="s">
        <v>306</v>
      </c>
      <c r="C126" s="2" t="s">
        <v>14</v>
      </c>
      <c r="D126" s="2" t="s">
        <v>15</v>
      </c>
      <c r="E126" s="2" t="s">
        <v>23</v>
      </c>
      <c r="F126" s="2" t="s">
        <v>24</v>
      </c>
      <c r="G126" s="3" t="s">
        <v>25</v>
      </c>
      <c r="H126" s="2" t="s">
        <v>58</v>
      </c>
      <c r="I126" s="9">
        <v>-214</v>
      </c>
      <c r="J126" s="9">
        <v>48640</v>
      </c>
      <c r="K126" s="2" t="s">
        <v>20</v>
      </c>
      <c r="L126" s="2" t="s">
        <v>305</v>
      </c>
    </row>
    <row r="127" spans="1:12" hidden="1" x14ac:dyDescent="0.25">
      <c r="A127" s="4" t="s">
        <v>307</v>
      </c>
      <c r="B127" s="4" t="s">
        <v>308</v>
      </c>
      <c r="C127" s="4" t="s">
        <v>14</v>
      </c>
      <c r="D127" s="4" t="s">
        <v>15</v>
      </c>
      <c r="E127" s="4" t="s">
        <v>16</v>
      </c>
      <c r="F127" s="4" t="s">
        <v>17</v>
      </c>
      <c r="G127" s="7" t="s">
        <v>18</v>
      </c>
      <c r="H127" s="4" t="s">
        <v>19</v>
      </c>
      <c r="I127" s="10">
        <v>9400</v>
      </c>
      <c r="J127" s="10">
        <v>39240</v>
      </c>
      <c r="K127" s="4" t="s">
        <v>20</v>
      </c>
      <c r="L127" s="4" t="s">
        <v>307</v>
      </c>
    </row>
    <row r="128" spans="1:12" x14ac:dyDescent="0.25">
      <c r="A128" s="2" t="s">
        <v>309</v>
      </c>
      <c r="B128" s="2" t="s">
        <v>310</v>
      </c>
      <c r="C128" s="2" t="s">
        <v>14</v>
      </c>
      <c r="D128" s="2" t="s">
        <v>15</v>
      </c>
      <c r="E128" s="2" t="s">
        <v>23</v>
      </c>
      <c r="F128" s="2" t="s">
        <v>24</v>
      </c>
      <c r="G128" s="3" t="s">
        <v>25</v>
      </c>
      <c r="H128" s="2" t="s">
        <v>51</v>
      </c>
      <c r="I128" s="9">
        <v>-541</v>
      </c>
      <c r="J128" s="9">
        <v>39781</v>
      </c>
      <c r="K128" s="2" t="s">
        <v>20</v>
      </c>
      <c r="L128" s="2" t="s">
        <v>309</v>
      </c>
    </row>
    <row r="129" spans="1:12" x14ac:dyDescent="0.25">
      <c r="A129" s="4" t="s">
        <v>311</v>
      </c>
      <c r="B129" s="4" t="s">
        <v>312</v>
      </c>
      <c r="C129" s="4" t="s">
        <v>14</v>
      </c>
      <c r="D129" s="4" t="s">
        <v>15</v>
      </c>
      <c r="E129" s="4" t="s">
        <v>33</v>
      </c>
      <c r="F129" s="4" t="s">
        <v>24</v>
      </c>
      <c r="G129" s="5" t="s">
        <v>25</v>
      </c>
      <c r="H129" s="4" t="s">
        <v>115</v>
      </c>
      <c r="I129" s="10">
        <v>-699</v>
      </c>
      <c r="J129" s="10">
        <v>40480</v>
      </c>
      <c r="K129" s="4" t="s">
        <v>20</v>
      </c>
      <c r="L129" s="4" t="s">
        <v>311</v>
      </c>
    </row>
    <row r="130" spans="1:12" x14ac:dyDescent="0.25">
      <c r="A130" s="2" t="s">
        <v>313</v>
      </c>
      <c r="B130" s="2" t="s">
        <v>314</v>
      </c>
      <c r="C130" s="2" t="s">
        <v>14</v>
      </c>
      <c r="D130" s="2" t="s">
        <v>15</v>
      </c>
      <c r="E130" s="2" t="s">
        <v>23</v>
      </c>
      <c r="F130" s="2" t="s">
        <v>24</v>
      </c>
      <c r="G130" s="3" t="s">
        <v>25</v>
      </c>
      <c r="H130" s="2" t="s">
        <v>45</v>
      </c>
      <c r="I130" s="9">
        <v>-544</v>
      </c>
      <c r="J130" s="9">
        <v>41024</v>
      </c>
      <c r="K130" s="2" t="s">
        <v>20</v>
      </c>
      <c r="L130" s="2" t="s">
        <v>313</v>
      </c>
    </row>
    <row r="131" spans="1:12" x14ac:dyDescent="0.25">
      <c r="A131" s="4" t="s">
        <v>315</v>
      </c>
      <c r="B131" s="4" t="s">
        <v>316</v>
      </c>
      <c r="C131" s="4" t="s">
        <v>14</v>
      </c>
      <c r="D131" s="4" t="s">
        <v>15</v>
      </c>
      <c r="E131" s="4" t="s">
        <v>33</v>
      </c>
      <c r="F131" s="4" t="s">
        <v>24</v>
      </c>
      <c r="G131" s="5" t="s">
        <v>25</v>
      </c>
      <c r="H131" s="4" t="s">
        <v>190</v>
      </c>
      <c r="I131" s="10">
        <v>-380</v>
      </c>
      <c r="J131" s="10">
        <v>41404</v>
      </c>
      <c r="K131" s="4" t="s">
        <v>20</v>
      </c>
      <c r="L131" s="4" t="s">
        <v>315</v>
      </c>
    </row>
    <row r="132" spans="1:12" x14ac:dyDescent="0.25">
      <c r="A132" s="2" t="s">
        <v>317</v>
      </c>
      <c r="B132" s="2" t="s">
        <v>318</v>
      </c>
      <c r="C132" s="2" t="s">
        <v>14</v>
      </c>
      <c r="D132" s="2" t="s">
        <v>15</v>
      </c>
      <c r="E132" s="2" t="s">
        <v>54</v>
      </c>
      <c r="F132" s="2" t="s">
        <v>24</v>
      </c>
      <c r="G132" s="3" t="s">
        <v>25</v>
      </c>
      <c r="H132" s="2" t="s">
        <v>319</v>
      </c>
      <c r="I132" s="9">
        <v>-465</v>
      </c>
      <c r="J132" s="9">
        <v>41869</v>
      </c>
      <c r="K132" s="2" t="s">
        <v>20</v>
      </c>
      <c r="L132" s="2" t="s">
        <v>317</v>
      </c>
    </row>
    <row r="133" spans="1:12" x14ac:dyDescent="0.25">
      <c r="A133" s="4" t="s">
        <v>320</v>
      </c>
      <c r="B133" s="4" t="s">
        <v>321</v>
      </c>
      <c r="C133" s="4" t="s">
        <v>14</v>
      </c>
      <c r="D133" s="4" t="s">
        <v>15</v>
      </c>
      <c r="E133" s="4" t="s">
        <v>23</v>
      </c>
      <c r="F133" s="4" t="s">
        <v>24</v>
      </c>
      <c r="G133" s="5" t="s">
        <v>25</v>
      </c>
      <c r="H133" s="4" t="s">
        <v>322</v>
      </c>
      <c r="I133" s="10">
        <v>-213</v>
      </c>
      <c r="J133" s="10">
        <v>42082</v>
      </c>
      <c r="K133" s="4" t="s">
        <v>20</v>
      </c>
      <c r="L133" s="4" t="s">
        <v>320</v>
      </c>
    </row>
    <row r="134" spans="1:12" x14ac:dyDescent="0.25">
      <c r="A134" s="2" t="s">
        <v>323</v>
      </c>
      <c r="B134" s="2" t="s">
        <v>324</v>
      </c>
      <c r="C134" s="2" t="s">
        <v>14</v>
      </c>
      <c r="D134" s="2" t="s">
        <v>15</v>
      </c>
      <c r="E134" s="2" t="s">
        <v>23</v>
      </c>
      <c r="F134" s="2" t="s">
        <v>24</v>
      </c>
      <c r="G134" s="3" t="s">
        <v>25</v>
      </c>
      <c r="H134" s="2" t="s">
        <v>45</v>
      </c>
      <c r="I134" s="9">
        <v>-545</v>
      </c>
      <c r="J134" s="9">
        <v>42627</v>
      </c>
      <c r="K134" s="2" t="s">
        <v>20</v>
      </c>
      <c r="L134" s="2" t="s">
        <v>323</v>
      </c>
    </row>
    <row r="135" spans="1:12" x14ac:dyDescent="0.25">
      <c r="A135" s="4" t="s">
        <v>325</v>
      </c>
      <c r="B135" s="4" t="s">
        <v>326</v>
      </c>
      <c r="C135" s="4" t="s">
        <v>14</v>
      </c>
      <c r="D135" s="4" t="s">
        <v>15</v>
      </c>
      <c r="E135" s="4" t="s">
        <v>23</v>
      </c>
      <c r="F135" s="4" t="s">
        <v>24</v>
      </c>
      <c r="G135" s="5" t="s">
        <v>25</v>
      </c>
      <c r="H135" s="4" t="s">
        <v>72</v>
      </c>
      <c r="I135" s="10">
        <v>-857</v>
      </c>
      <c r="J135" s="10">
        <v>43484</v>
      </c>
      <c r="K135" s="4" t="s">
        <v>20</v>
      </c>
      <c r="L135" s="4" t="s">
        <v>325</v>
      </c>
    </row>
    <row r="136" spans="1:12" x14ac:dyDescent="0.25">
      <c r="A136" s="2" t="s">
        <v>327</v>
      </c>
      <c r="B136" s="2" t="s">
        <v>328</v>
      </c>
      <c r="C136" s="2" t="s">
        <v>14</v>
      </c>
      <c r="D136" s="2" t="s">
        <v>15</v>
      </c>
      <c r="E136" s="2" t="s">
        <v>23</v>
      </c>
      <c r="F136" s="2" t="s">
        <v>24</v>
      </c>
      <c r="G136" s="3" t="s">
        <v>25</v>
      </c>
      <c r="H136" s="2" t="s">
        <v>37</v>
      </c>
      <c r="I136" s="9">
        <v>-602</v>
      </c>
      <c r="J136" s="9">
        <v>44086</v>
      </c>
      <c r="K136" s="2" t="s">
        <v>20</v>
      </c>
      <c r="L136" s="2" t="s">
        <v>327</v>
      </c>
    </row>
    <row r="137" spans="1:12" x14ac:dyDescent="0.25">
      <c r="A137" s="4" t="s">
        <v>329</v>
      </c>
      <c r="B137" s="4" t="s">
        <v>330</v>
      </c>
      <c r="C137" s="4" t="s">
        <v>14</v>
      </c>
      <c r="D137" s="4" t="s">
        <v>15</v>
      </c>
      <c r="E137" s="4" t="s">
        <v>23</v>
      </c>
      <c r="F137" s="4" t="s">
        <v>24</v>
      </c>
      <c r="G137" s="5" t="s">
        <v>25</v>
      </c>
      <c r="H137" s="4" t="s">
        <v>145</v>
      </c>
      <c r="I137" s="10">
        <v>-857</v>
      </c>
      <c r="J137" s="10">
        <v>44943</v>
      </c>
      <c r="K137" s="4" t="s">
        <v>20</v>
      </c>
      <c r="L137" s="4" t="s">
        <v>329</v>
      </c>
    </row>
    <row r="138" spans="1:12" hidden="1" x14ac:dyDescent="0.25">
      <c r="A138" s="2" t="s">
        <v>329</v>
      </c>
      <c r="B138" s="2" t="s">
        <v>331</v>
      </c>
      <c r="C138" s="2" t="s">
        <v>14</v>
      </c>
      <c r="D138" s="2" t="s">
        <v>15</v>
      </c>
      <c r="E138" s="2" t="s">
        <v>33</v>
      </c>
      <c r="F138" s="2" t="s">
        <v>24</v>
      </c>
      <c r="G138" s="3" t="s">
        <v>25</v>
      </c>
      <c r="H138" s="2" t="s">
        <v>60</v>
      </c>
      <c r="I138" s="9">
        <v>-1200</v>
      </c>
      <c r="J138" s="9">
        <v>46143</v>
      </c>
      <c r="K138" s="2" t="s">
        <v>20</v>
      </c>
      <c r="L138" s="2" t="s">
        <v>329</v>
      </c>
    </row>
    <row r="139" spans="1:12" x14ac:dyDescent="0.25">
      <c r="A139" s="4" t="s">
        <v>332</v>
      </c>
      <c r="B139" s="4" t="s">
        <v>333</v>
      </c>
      <c r="C139" s="4" t="s">
        <v>14</v>
      </c>
      <c r="D139" s="4" t="s">
        <v>15</v>
      </c>
      <c r="E139" s="4" t="s">
        <v>23</v>
      </c>
      <c r="F139" s="4" t="s">
        <v>24</v>
      </c>
      <c r="G139" s="5" t="s">
        <v>25</v>
      </c>
      <c r="H139" s="4" t="s">
        <v>334</v>
      </c>
      <c r="I139" s="10">
        <v>-213</v>
      </c>
      <c r="J139" s="10">
        <v>46356</v>
      </c>
      <c r="K139" s="4" t="s">
        <v>20</v>
      </c>
      <c r="L139" s="4" t="s">
        <v>332</v>
      </c>
    </row>
    <row r="140" spans="1:12" x14ac:dyDescent="0.25">
      <c r="A140" s="2" t="s">
        <v>335</v>
      </c>
      <c r="B140" s="2" t="s">
        <v>336</v>
      </c>
      <c r="C140" s="2" t="s">
        <v>14</v>
      </c>
      <c r="D140" s="2" t="s">
        <v>15</v>
      </c>
      <c r="E140" s="2" t="s">
        <v>23</v>
      </c>
      <c r="F140" s="2" t="s">
        <v>24</v>
      </c>
      <c r="G140" s="3" t="s">
        <v>25</v>
      </c>
      <c r="H140" s="2" t="s">
        <v>95</v>
      </c>
      <c r="I140" s="9">
        <v>-648</v>
      </c>
      <c r="J140" s="9">
        <v>47004</v>
      </c>
      <c r="K140" s="2" t="s">
        <v>20</v>
      </c>
      <c r="L140" s="2" t="s">
        <v>335</v>
      </c>
    </row>
    <row r="141" spans="1:12" x14ac:dyDescent="0.25">
      <c r="A141" s="4" t="s">
        <v>337</v>
      </c>
      <c r="B141" s="4" t="s">
        <v>338</v>
      </c>
      <c r="C141" s="4" t="s">
        <v>14</v>
      </c>
      <c r="D141" s="4" t="s">
        <v>15</v>
      </c>
      <c r="E141" s="4" t="s">
        <v>23</v>
      </c>
      <c r="F141" s="4" t="s">
        <v>24</v>
      </c>
      <c r="G141" s="5" t="s">
        <v>25</v>
      </c>
      <c r="H141" s="4" t="s">
        <v>72</v>
      </c>
      <c r="I141" s="10">
        <v>-873</v>
      </c>
      <c r="J141" s="10">
        <v>47877</v>
      </c>
      <c r="K141" s="4" t="s">
        <v>20</v>
      </c>
      <c r="L141" s="4" t="s">
        <v>337</v>
      </c>
    </row>
    <row r="142" spans="1:12" hidden="1" x14ac:dyDescent="0.25">
      <c r="A142" s="2" t="s">
        <v>337</v>
      </c>
      <c r="B142" s="2" t="s">
        <v>339</v>
      </c>
      <c r="C142" s="2" t="s">
        <v>14</v>
      </c>
      <c r="D142" s="2" t="s">
        <v>15</v>
      </c>
      <c r="E142" s="2" t="s">
        <v>16</v>
      </c>
      <c r="F142" s="2" t="s">
        <v>17</v>
      </c>
      <c r="G142" s="6" t="s">
        <v>18</v>
      </c>
      <c r="H142" s="2" t="s">
        <v>19</v>
      </c>
      <c r="I142" s="9">
        <v>9600</v>
      </c>
      <c r="J142" s="9">
        <v>38277</v>
      </c>
      <c r="K142" s="2" t="s">
        <v>20</v>
      </c>
      <c r="L142" s="2" t="s">
        <v>337</v>
      </c>
    </row>
    <row r="143" spans="1:12" x14ac:dyDescent="0.25">
      <c r="A143" s="4" t="s">
        <v>340</v>
      </c>
      <c r="B143" s="4" t="s">
        <v>341</v>
      </c>
      <c r="C143" s="4" t="s">
        <v>14</v>
      </c>
      <c r="D143" s="4" t="s">
        <v>15</v>
      </c>
      <c r="E143" s="4" t="s">
        <v>23</v>
      </c>
      <c r="F143" s="4" t="s">
        <v>24</v>
      </c>
      <c r="G143" s="5" t="s">
        <v>25</v>
      </c>
      <c r="H143" s="4" t="s">
        <v>45</v>
      </c>
      <c r="I143" s="10">
        <v>-588</v>
      </c>
      <c r="J143" s="10">
        <v>38865</v>
      </c>
      <c r="K143" s="4" t="s">
        <v>20</v>
      </c>
      <c r="L143" s="4" t="s">
        <v>340</v>
      </c>
    </row>
    <row r="144" spans="1:12" x14ac:dyDescent="0.25">
      <c r="A144" s="2" t="s">
        <v>342</v>
      </c>
      <c r="B144" s="2" t="s">
        <v>343</v>
      </c>
      <c r="C144" s="2" t="s">
        <v>14</v>
      </c>
      <c r="D144" s="2" t="s">
        <v>15</v>
      </c>
      <c r="E144" s="2" t="s">
        <v>33</v>
      </c>
      <c r="F144" s="2" t="s">
        <v>24</v>
      </c>
      <c r="G144" s="3" t="s">
        <v>25</v>
      </c>
      <c r="H144" s="2" t="s">
        <v>190</v>
      </c>
      <c r="I144" s="9">
        <v>-481</v>
      </c>
      <c r="J144" s="9">
        <v>39346</v>
      </c>
      <c r="K144" s="2" t="s">
        <v>20</v>
      </c>
      <c r="L144" s="2" t="s">
        <v>342</v>
      </c>
    </row>
    <row r="145" spans="1:12" x14ac:dyDescent="0.25">
      <c r="A145" s="4" t="s">
        <v>344</v>
      </c>
      <c r="B145" s="4" t="s">
        <v>345</v>
      </c>
      <c r="C145" s="4" t="s">
        <v>14</v>
      </c>
      <c r="D145" s="4" t="s">
        <v>15</v>
      </c>
      <c r="E145" s="4" t="s">
        <v>23</v>
      </c>
      <c r="F145" s="4" t="s">
        <v>24</v>
      </c>
      <c r="G145" s="5" t="s">
        <v>25</v>
      </c>
      <c r="H145" s="4" t="s">
        <v>26</v>
      </c>
      <c r="I145" s="10">
        <v>-588</v>
      </c>
      <c r="J145" s="10">
        <v>39934</v>
      </c>
      <c r="K145" s="4" t="s">
        <v>20</v>
      </c>
      <c r="L145" s="4" t="s">
        <v>344</v>
      </c>
    </row>
    <row r="146" spans="1:12" x14ac:dyDescent="0.25">
      <c r="A146" s="2" t="s">
        <v>346</v>
      </c>
      <c r="B146" s="2" t="s">
        <v>347</v>
      </c>
      <c r="C146" s="2" t="s">
        <v>14</v>
      </c>
      <c r="D146" s="2" t="s">
        <v>15</v>
      </c>
      <c r="E146" s="2" t="s">
        <v>33</v>
      </c>
      <c r="F146" s="2" t="s">
        <v>24</v>
      </c>
      <c r="G146" s="3" t="s">
        <v>25</v>
      </c>
      <c r="H146" s="2" t="s">
        <v>273</v>
      </c>
      <c r="I146" s="9">
        <v>-639</v>
      </c>
      <c r="J146" s="9">
        <v>40573</v>
      </c>
      <c r="K146" s="2" t="s">
        <v>20</v>
      </c>
      <c r="L146" s="2" t="s">
        <v>346</v>
      </c>
    </row>
    <row r="147" spans="1:12" x14ac:dyDescent="0.25">
      <c r="A147" s="4" t="s">
        <v>348</v>
      </c>
      <c r="B147" s="4" t="s">
        <v>349</v>
      </c>
      <c r="C147" s="4" t="s">
        <v>14</v>
      </c>
      <c r="D147" s="4" t="s">
        <v>15</v>
      </c>
      <c r="E147" s="4" t="s">
        <v>23</v>
      </c>
      <c r="F147" s="4" t="s">
        <v>24</v>
      </c>
      <c r="G147" s="5" t="s">
        <v>25</v>
      </c>
      <c r="H147" s="4" t="s">
        <v>37</v>
      </c>
      <c r="I147" s="10">
        <v>-474</v>
      </c>
      <c r="J147" s="10">
        <v>41047</v>
      </c>
      <c r="K147" s="4" t="s">
        <v>20</v>
      </c>
      <c r="L147" s="4" t="s">
        <v>348</v>
      </c>
    </row>
    <row r="148" spans="1:12" x14ac:dyDescent="0.25">
      <c r="A148" s="2" t="s">
        <v>350</v>
      </c>
      <c r="B148" s="2" t="s">
        <v>351</v>
      </c>
      <c r="C148" s="2" t="s">
        <v>14</v>
      </c>
      <c r="D148" s="2" t="s">
        <v>15</v>
      </c>
      <c r="E148" s="2" t="s">
        <v>29</v>
      </c>
      <c r="F148" s="2" t="s">
        <v>24</v>
      </c>
      <c r="G148" s="3" t="s">
        <v>25</v>
      </c>
      <c r="H148" s="2" t="s">
        <v>76</v>
      </c>
      <c r="I148" s="9">
        <v>-931</v>
      </c>
      <c r="J148" s="9">
        <v>41978</v>
      </c>
      <c r="K148" s="2" t="s">
        <v>20</v>
      </c>
      <c r="L148" s="2" t="s">
        <v>350</v>
      </c>
    </row>
    <row r="149" spans="1:12" x14ac:dyDescent="0.25">
      <c r="A149" s="4" t="s">
        <v>352</v>
      </c>
      <c r="B149" s="4" t="s">
        <v>353</v>
      </c>
      <c r="C149" s="4" t="s">
        <v>14</v>
      </c>
      <c r="D149" s="4" t="s">
        <v>15</v>
      </c>
      <c r="E149" s="4" t="s">
        <v>23</v>
      </c>
      <c r="F149" s="4" t="s">
        <v>24</v>
      </c>
      <c r="G149" s="5" t="s">
        <v>25</v>
      </c>
      <c r="H149" s="4" t="s">
        <v>90</v>
      </c>
      <c r="I149" s="10">
        <v>-399</v>
      </c>
      <c r="J149" s="10">
        <v>42377</v>
      </c>
      <c r="K149" s="4" t="s">
        <v>20</v>
      </c>
      <c r="L149" s="4" t="s">
        <v>352</v>
      </c>
    </row>
    <row r="150" spans="1:12" x14ac:dyDescent="0.25">
      <c r="A150" s="2" t="s">
        <v>354</v>
      </c>
      <c r="B150" s="2" t="s">
        <v>355</v>
      </c>
      <c r="C150" s="2" t="s">
        <v>14</v>
      </c>
      <c r="D150" s="2" t="s">
        <v>15</v>
      </c>
      <c r="E150" s="2" t="s">
        <v>23</v>
      </c>
      <c r="F150" s="2" t="s">
        <v>24</v>
      </c>
      <c r="G150" s="3" t="s">
        <v>25</v>
      </c>
      <c r="H150" s="2" t="s">
        <v>40</v>
      </c>
      <c r="I150" s="9">
        <v>-874</v>
      </c>
      <c r="J150" s="9">
        <v>43251</v>
      </c>
      <c r="K150" s="2" t="s">
        <v>20</v>
      </c>
      <c r="L150" s="2" t="s">
        <v>354</v>
      </c>
    </row>
    <row r="151" spans="1:12" hidden="1" x14ac:dyDescent="0.25">
      <c r="A151" s="4" t="s">
        <v>356</v>
      </c>
      <c r="B151" s="4" t="s">
        <v>357</v>
      </c>
      <c r="C151" s="4" t="s">
        <v>14</v>
      </c>
      <c r="D151" s="4" t="s">
        <v>15</v>
      </c>
      <c r="E151" s="4" t="s">
        <v>33</v>
      </c>
      <c r="F151" s="4" t="s">
        <v>24</v>
      </c>
      <c r="G151" s="5" t="s">
        <v>25</v>
      </c>
      <c r="H151" s="4" t="s">
        <v>60</v>
      </c>
      <c r="I151" s="10">
        <v>-1200</v>
      </c>
      <c r="J151" s="10">
        <v>44451</v>
      </c>
      <c r="K151" s="4" t="s">
        <v>20</v>
      </c>
      <c r="L151" s="4" t="s">
        <v>356</v>
      </c>
    </row>
    <row r="152" spans="1:12" x14ac:dyDescent="0.25">
      <c r="A152" s="2" t="s">
        <v>358</v>
      </c>
      <c r="B152" s="2" t="s">
        <v>359</v>
      </c>
      <c r="C152" s="2" t="s">
        <v>14</v>
      </c>
      <c r="D152" s="2" t="s">
        <v>15</v>
      </c>
      <c r="E152" s="2" t="s">
        <v>23</v>
      </c>
      <c r="F152" s="2" t="s">
        <v>24</v>
      </c>
      <c r="G152" s="3" t="s">
        <v>25</v>
      </c>
      <c r="H152" s="2" t="s">
        <v>150</v>
      </c>
      <c r="I152" s="9">
        <v>-655</v>
      </c>
      <c r="J152" s="9">
        <v>42815</v>
      </c>
      <c r="K152" s="2" t="s">
        <v>20</v>
      </c>
      <c r="L152" s="2" t="s">
        <v>358</v>
      </c>
    </row>
    <row r="153" spans="1:12" x14ac:dyDescent="0.25">
      <c r="A153" s="4" t="s">
        <v>360</v>
      </c>
      <c r="B153" s="4" t="s">
        <v>361</v>
      </c>
      <c r="C153" s="4" t="s">
        <v>14</v>
      </c>
      <c r="D153" s="4" t="s">
        <v>15</v>
      </c>
      <c r="E153" s="4" t="s">
        <v>23</v>
      </c>
      <c r="F153" s="4" t="s">
        <v>24</v>
      </c>
      <c r="G153" s="5" t="s">
        <v>25</v>
      </c>
      <c r="H153" s="4" t="s">
        <v>362</v>
      </c>
      <c r="I153" s="10">
        <v>-305</v>
      </c>
      <c r="J153" s="10">
        <v>43120</v>
      </c>
      <c r="K153" s="4" t="s">
        <v>20</v>
      </c>
      <c r="L153" s="4" t="s">
        <v>360</v>
      </c>
    </row>
    <row r="154" spans="1:12" x14ac:dyDescent="0.25">
      <c r="A154" s="2" t="s">
        <v>363</v>
      </c>
      <c r="B154" s="2" t="s">
        <v>364</v>
      </c>
      <c r="C154" s="2" t="s">
        <v>14</v>
      </c>
      <c r="D154" s="2" t="s">
        <v>15</v>
      </c>
      <c r="E154" s="2" t="s">
        <v>23</v>
      </c>
      <c r="F154" s="2" t="s">
        <v>24</v>
      </c>
      <c r="G154" s="3" t="s">
        <v>25</v>
      </c>
      <c r="H154" s="2" t="s">
        <v>37</v>
      </c>
      <c r="I154" s="9">
        <v>-506</v>
      </c>
      <c r="J154" s="9">
        <v>43626</v>
      </c>
      <c r="K154" s="2" t="s">
        <v>20</v>
      </c>
      <c r="L154" s="2" t="s">
        <v>363</v>
      </c>
    </row>
    <row r="155" spans="1:12" x14ac:dyDescent="0.25">
      <c r="A155" s="4" t="s">
        <v>365</v>
      </c>
      <c r="B155" s="4" t="s">
        <v>366</v>
      </c>
      <c r="C155" s="4" t="s">
        <v>14</v>
      </c>
      <c r="D155" s="4" t="s">
        <v>15</v>
      </c>
      <c r="E155" s="4" t="s">
        <v>23</v>
      </c>
      <c r="F155" s="4" t="s">
        <v>24</v>
      </c>
      <c r="G155" s="5" t="s">
        <v>25</v>
      </c>
      <c r="H155" s="4" t="s">
        <v>51</v>
      </c>
      <c r="I155" s="10">
        <v>-556</v>
      </c>
      <c r="J155" s="10">
        <v>44182</v>
      </c>
      <c r="K155" s="4" t="s">
        <v>20</v>
      </c>
      <c r="L155" s="4" t="s">
        <v>365</v>
      </c>
    </row>
    <row r="156" spans="1:12" hidden="1" x14ac:dyDescent="0.25">
      <c r="A156" s="2" t="s">
        <v>365</v>
      </c>
      <c r="B156" s="2" t="s">
        <v>367</v>
      </c>
      <c r="C156" s="2" t="s">
        <v>14</v>
      </c>
      <c r="D156" s="2" t="s">
        <v>15</v>
      </c>
      <c r="E156" s="2" t="s">
        <v>16</v>
      </c>
      <c r="F156" s="2" t="s">
        <v>17</v>
      </c>
      <c r="G156" s="6" t="s">
        <v>18</v>
      </c>
      <c r="H156" s="2" t="s">
        <v>19</v>
      </c>
      <c r="I156" s="9">
        <v>9200</v>
      </c>
      <c r="J156" s="9">
        <v>34982</v>
      </c>
      <c r="K156" s="2" t="s">
        <v>20</v>
      </c>
      <c r="L156" s="2" t="s">
        <v>365</v>
      </c>
    </row>
    <row r="157" spans="1:12" x14ac:dyDescent="0.25">
      <c r="A157" s="4" t="s">
        <v>368</v>
      </c>
      <c r="B157" s="4" t="s">
        <v>369</v>
      </c>
      <c r="C157" s="4" t="s">
        <v>14</v>
      </c>
      <c r="D157" s="4" t="s">
        <v>15</v>
      </c>
      <c r="E157" s="4" t="s">
        <v>23</v>
      </c>
      <c r="F157" s="4" t="s">
        <v>24</v>
      </c>
      <c r="G157" s="5" t="s">
        <v>25</v>
      </c>
      <c r="H157" s="4" t="s">
        <v>322</v>
      </c>
      <c r="I157" s="10">
        <v>-404</v>
      </c>
      <c r="J157" s="10">
        <v>35386</v>
      </c>
      <c r="K157" s="4" t="s">
        <v>20</v>
      </c>
      <c r="L157" s="4" t="s">
        <v>368</v>
      </c>
    </row>
    <row r="158" spans="1:12" x14ac:dyDescent="0.25">
      <c r="A158" s="2" t="s">
        <v>370</v>
      </c>
      <c r="B158" s="2" t="s">
        <v>371</v>
      </c>
      <c r="C158" s="2" t="s">
        <v>14</v>
      </c>
      <c r="D158" s="2" t="s">
        <v>15</v>
      </c>
      <c r="E158" s="2" t="s">
        <v>23</v>
      </c>
      <c r="F158" s="2" t="s">
        <v>24</v>
      </c>
      <c r="G158" s="3" t="s">
        <v>25</v>
      </c>
      <c r="H158" s="2" t="s">
        <v>84</v>
      </c>
      <c r="I158" s="9">
        <v>-570</v>
      </c>
      <c r="J158" s="9">
        <v>35956</v>
      </c>
      <c r="K158" s="2" t="s">
        <v>20</v>
      </c>
      <c r="L158" s="2" t="s">
        <v>370</v>
      </c>
    </row>
    <row r="159" spans="1:12" x14ac:dyDescent="0.25">
      <c r="A159" s="4" t="s">
        <v>372</v>
      </c>
      <c r="B159" s="4" t="s">
        <v>373</v>
      </c>
      <c r="C159" s="4" t="s">
        <v>14</v>
      </c>
      <c r="D159" s="4" t="s">
        <v>15</v>
      </c>
      <c r="E159" s="4" t="s">
        <v>23</v>
      </c>
      <c r="F159" s="4" t="s">
        <v>24</v>
      </c>
      <c r="G159" s="5" t="s">
        <v>25</v>
      </c>
      <c r="H159" s="4" t="s">
        <v>334</v>
      </c>
      <c r="I159" s="10">
        <v>-404</v>
      </c>
      <c r="J159" s="10">
        <v>36360</v>
      </c>
      <c r="K159" s="4" t="s">
        <v>20</v>
      </c>
      <c r="L159" s="4" t="s">
        <v>372</v>
      </c>
    </row>
    <row r="160" spans="1:12" x14ac:dyDescent="0.25">
      <c r="A160" s="2" t="s">
        <v>374</v>
      </c>
      <c r="B160" s="2" t="s">
        <v>375</v>
      </c>
      <c r="C160" s="2" t="s">
        <v>14</v>
      </c>
      <c r="D160" s="2" t="s">
        <v>15</v>
      </c>
      <c r="E160" s="2" t="s">
        <v>23</v>
      </c>
      <c r="F160" s="2" t="s">
        <v>24</v>
      </c>
      <c r="G160" s="3" t="s">
        <v>25</v>
      </c>
      <c r="H160" s="2" t="s">
        <v>112</v>
      </c>
      <c r="I160" s="9">
        <v>-885</v>
      </c>
      <c r="J160" s="9">
        <v>37245</v>
      </c>
      <c r="K160" s="2" t="s">
        <v>20</v>
      </c>
      <c r="L160" s="2" t="s">
        <v>374</v>
      </c>
    </row>
    <row r="161" spans="1:12" x14ac:dyDescent="0.25">
      <c r="A161" s="4" t="s">
        <v>376</v>
      </c>
      <c r="B161" s="4" t="s">
        <v>377</v>
      </c>
      <c r="C161" s="4" t="s">
        <v>14</v>
      </c>
      <c r="D161" s="4" t="s">
        <v>15</v>
      </c>
      <c r="E161" s="4" t="s">
        <v>23</v>
      </c>
      <c r="F161" s="4" t="s">
        <v>24</v>
      </c>
      <c r="G161" s="5" t="s">
        <v>25</v>
      </c>
      <c r="H161" s="4" t="s">
        <v>112</v>
      </c>
      <c r="I161" s="10">
        <v>-886</v>
      </c>
      <c r="J161" s="10">
        <v>38131</v>
      </c>
      <c r="K161" s="4" t="s">
        <v>20</v>
      </c>
      <c r="L161" s="4" t="s">
        <v>376</v>
      </c>
    </row>
    <row r="162" spans="1:12" x14ac:dyDescent="0.25">
      <c r="A162" s="2" t="s">
        <v>378</v>
      </c>
      <c r="B162" s="2" t="s">
        <v>379</v>
      </c>
      <c r="C162" s="2" t="s">
        <v>14</v>
      </c>
      <c r="D162" s="2" t="s">
        <v>15</v>
      </c>
      <c r="E162" s="2" t="s">
        <v>23</v>
      </c>
      <c r="F162" s="2" t="s">
        <v>24</v>
      </c>
      <c r="G162" s="3" t="s">
        <v>25</v>
      </c>
      <c r="H162" s="2" t="s">
        <v>26</v>
      </c>
      <c r="I162" s="9">
        <v>-569</v>
      </c>
      <c r="J162" s="9">
        <v>38700</v>
      </c>
      <c r="K162" s="2" t="s">
        <v>20</v>
      </c>
      <c r="L162" s="2" t="s">
        <v>378</v>
      </c>
    </row>
    <row r="163" spans="1:12" x14ac:dyDescent="0.25">
      <c r="A163" s="4" t="s">
        <v>380</v>
      </c>
      <c r="B163" s="4" t="s">
        <v>381</v>
      </c>
      <c r="C163" s="4" t="s">
        <v>14</v>
      </c>
      <c r="D163" s="4" t="s">
        <v>15</v>
      </c>
      <c r="E163" s="4" t="s">
        <v>29</v>
      </c>
      <c r="F163" s="4" t="s">
        <v>24</v>
      </c>
      <c r="G163" s="5" t="s">
        <v>25</v>
      </c>
      <c r="H163" s="4" t="s">
        <v>76</v>
      </c>
      <c r="I163" s="10">
        <v>-946</v>
      </c>
      <c r="J163" s="10">
        <v>39646</v>
      </c>
      <c r="K163" s="4" t="s">
        <v>20</v>
      </c>
      <c r="L163" s="4" t="s">
        <v>380</v>
      </c>
    </row>
    <row r="164" spans="1:12" x14ac:dyDescent="0.25">
      <c r="A164" s="2" t="s">
        <v>382</v>
      </c>
      <c r="B164" s="2" t="s">
        <v>383</v>
      </c>
      <c r="C164" s="2" t="s">
        <v>14</v>
      </c>
      <c r="D164" s="2" t="s">
        <v>15</v>
      </c>
      <c r="E164" s="2" t="s">
        <v>33</v>
      </c>
      <c r="F164" s="2" t="s">
        <v>24</v>
      </c>
      <c r="G164" s="3" t="s">
        <v>25</v>
      </c>
      <c r="H164" s="2" t="s">
        <v>273</v>
      </c>
      <c r="I164" s="9">
        <v>-608</v>
      </c>
      <c r="J164" s="9">
        <v>40254</v>
      </c>
      <c r="K164" s="2" t="s">
        <v>20</v>
      </c>
      <c r="L164" s="2" t="s">
        <v>382</v>
      </c>
    </row>
    <row r="165" spans="1:12" x14ac:dyDescent="0.25">
      <c r="A165" s="4" t="s">
        <v>384</v>
      </c>
      <c r="B165" s="4" t="s">
        <v>385</v>
      </c>
      <c r="C165" s="4" t="s">
        <v>14</v>
      </c>
      <c r="D165" s="4" t="s">
        <v>15</v>
      </c>
      <c r="E165" s="4" t="s">
        <v>33</v>
      </c>
      <c r="F165" s="4" t="s">
        <v>24</v>
      </c>
      <c r="G165" s="5" t="s">
        <v>25</v>
      </c>
      <c r="H165" s="4" t="s">
        <v>67</v>
      </c>
      <c r="I165" s="10">
        <v>-461</v>
      </c>
      <c r="J165" s="10">
        <v>40715</v>
      </c>
      <c r="K165" s="4" t="s">
        <v>20</v>
      </c>
      <c r="L165" s="4" t="s">
        <v>384</v>
      </c>
    </row>
    <row r="166" spans="1:12" hidden="1" x14ac:dyDescent="0.25">
      <c r="A166" s="2" t="s">
        <v>386</v>
      </c>
      <c r="B166" s="2" t="s">
        <v>387</v>
      </c>
      <c r="C166" s="2" t="s">
        <v>14</v>
      </c>
      <c r="D166" s="2" t="s">
        <v>15</v>
      </c>
      <c r="E166" s="2" t="s">
        <v>33</v>
      </c>
      <c r="F166" s="2" t="s">
        <v>24</v>
      </c>
      <c r="G166" s="3" t="s">
        <v>25</v>
      </c>
      <c r="H166" s="2" t="s">
        <v>60</v>
      </c>
      <c r="I166" s="9">
        <v>-1200</v>
      </c>
      <c r="J166" s="9">
        <v>41915</v>
      </c>
      <c r="K166" s="2" t="s">
        <v>20</v>
      </c>
      <c r="L166" s="2" t="s">
        <v>386</v>
      </c>
    </row>
    <row r="168" spans="1:12" x14ac:dyDescent="0.25">
      <c r="H168" s="8" t="s">
        <v>388</v>
      </c>
      <c r="I168" s="11">
        <f>SUM(I2:I166)</f>
        <v>13900</v>
      </c>
    </row>
    <row r="169" spans="1:12" x14ac:dyDescent="0.25">
      <c r="H169" s="8" t="s">
        <v>389</v>
      </c>
      <c r="I169" s="12">
        <f>SUMIF(G2:G166,"Credit",I2:I166)</f>
        <v>113500</v>
      </c>
      <c r="J169" s="102">
        <f>AVERAGE(I169)/12</f>
        <v>9458.3333333333339</v>
      </c>
    </row>
    <row r="170" spans="1:12" x14ac:dyDescent="0.25">
      <c r="H170" s="8" t="s">
        <v>390</v>
      </c>
      <c r="I170" s="13">
        <f>SUMIF(G2:G166,"Debit",I2:I166)</f>
        <v>-99600</v>
      </c>
      <c r="J170" s="102">
        <f>AVERAGE(I170)/12</f>
        <v>-8300</v>
      </c>
    </row>
    <row r="171" spans="1:12" x14ac:dyDescent="0.25">
      <c r="H171" s="8" t="s">
        <v>391</v>
      </c>
      <c r="I171" s="14">
        <f>COUNTA(B2:B166)</f>
        <v>165</v>
      </c>
    </row>
    <row r="172" spans="1:12" x14ac:dyDescent="0.25">
      <c r="J172" s="102">
        <f>9458-8300</f>
        <v>1158</v>
      </c>
    </row>
  </sheetData>
  <autoFilter ref="A1:L166" xr:uid="{00000000-0009-0000-0000-000000000000}">
    <filterColumn colId="6">
      <filters>
        <filter val="Debit"/>
      </filters>
    </filterColumn>
    <filterColumn colId="7">
      <filters>
        <filter val="ATM Withdrawal: Al Rajhi ATM"/>
        <filter val="ATM Withdrawal: ANB ATM"/>
        <filter val="ATM Withdrawal: SNB ATM"/>
        <filter val="Fuel Stations: ADNOC Fuel KSA"/>
        <filter val="Fuel Stations: Aramco Petrol Station"/>
        <filter val="Fuel Stations: Shell Saudi Arabia"/>
        <filter val="General Purchases / مشتريات عامة"/>
        <filter val="Grocery Stores: Al-Raya Supermarket"/>
        <filter val="Grocery Stores: Carrefour Saudi"/>
        <filter val="Grocery Stores: Danube Hypermarket"/>
        <filter val="Grocery Stores: Lulu Hypermarket"/>
        <filter val="Grocery Stores: Panda Supermarket"/>
        <filter val="Grocery Stores: Tamimi Markets"/>
        <filter val="Healthcare: Al-Dawaa Pharmacy"/>
        <filter val="Healthcare: Al-Hammadi Hospital"/>
        <filter val="Healthcare: Nahdi Pharmacy"/>
        <filter val="Miscellaneous: Careem Saudi Arabia"/>
        <filter val="Miscellaneous: Uber KSA"/>
        <filter val="Miscellaneous: Various Merchants"/>
        <filter val="Online Shopping: Amazon.sa"/>
        <filter val="Online Shopping: Extra KSA"/>
        <filter val="Online Shopping: Jarir Bookstore Online"/>
        <filter val="Online Shopping: Namshi.com"/>
        <filter val="Online Shopping: Noon.com"/>
        <filter val="Online Shopping: Shein"/>
        <filter val="Restaurants: Al Baik"/>
        <filter val="Restaurants: Applebee's KSA"/>
        <filter val="Restaurants: Khayal Restaurant"/>
        <filter val="Restaurants: Kudu Restaurant"/>
        <filter val="Restaurants: McDonald's KSA"/>
        <filter val="Restaurants: Nala Restaurant"/>
        <filter val="Restaurants: Texas Roadhouse"/>
        <filter val="Telecom: Mobily"/>
        <filter val="Telecom: STC"/>
        <filter val="Telecom: Zain KSA"/>
        <filter val="Utilities: City Gas Company"/>
        <filter val="Utilities: MARAFIQ Utilities"/>
        <filter val="Utilities: Saudi Electricity Co."/>
      </filters>
    </filterColumn>
  </autoFilter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oddFooter>&amp;C_x000D_&amp;1#&amp;"Aptos"&amp;10&amp;K008000 Ejada Public Information</oddFooter>
    <firstHeader>&amp;LClassification: &amp;"Microsoft Sans Serif,Bold Italic"Confidential</firstHeader>
    <firstFooter>&amp;C_x000D_&amp;1#&amp;"Aptos"&amp;10&amp;K008000 Ejada Public Information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4"/>
  <sheetViews>
    <sheetView workbookViewId="0">
      <selection activeCell="A4" sqref="A4"/>
    </sheetView>
  </sheetViews>
  <sheetFormatPr defaultRowHeight="15" x14ac:dyDescent="0.25"/>
  <cols>
    <col min="1" max="1" width="23.140625" bestFit="1" customWidth="1"/>
    <col min="2" max="2" width="66.85546875" bestFit="1" customWidth="1"/>
  </cols>
  <sheetData>
    <row r="1" spans="1:2" x14ac:dyDescent="0.25">
      <c r="A1" s="15" t="s">
        <v>392</v>
      </c>
      <c r="B1" s="15" t="s">
        <v>392</v>
      </c>
    </row>
    <row r="2" spans="1:2" x14ac:dyDescent="0.25">
      <c r="A2" s="15" t="s">
        <v>393</v>
      </c>
      <c r="B2" s="15" t="s">
        <v>394</v>
      </c>
    </row>
    <row r="3" spans="1:2" x14ac:dyDescent="0.25">
      <c r="A3" s="15" t="s">
        <v>395</v>
      </c>
      <c r="B3" s="15" t="s">
        <v>396</v>
      </c>
    </row>
    <row r="4" spans="1:2" x14ac:dyDescent="0.25">
      <c r="A4" s="16" t="s">
        <v>397</v>
      </c>
      <c r="B4" s="15" t="s">
        <v>398</v>
      </c>
    </row>
    <row r="5" spans="1:2" x14ac:dyDescent="0.25">
      <c r="A5" s="15" t="s">
        <v>399</v>
      </c>
      <c r="B5" s="15" t="s">
        <v>400</v>
      </c>
    </row>
    <row r="6" spans="1:2" x14ac:dyDescent="0.25">
      <c r="A6" s="15" t="s">
        <v>401</v>
      </c>
      <c r="B6" s="15" t="s">
        <v>402</v>
      </c>
    </row>
    <row r="7" spans="1:2" x14ac:dyDescent="0.25">
      <c r="A7" s="15" t="s">
        <v>403</v>
      </c>
      <c r="B7" s="15" t="s">
        <v>404</v>
      </c>
    </row>
    <row r="8" spans="1:2" x14ac:dyDescent="0.25">
      <c r="A8" s="15" t="s">
        <v>405</v>
      </c>
      <c r="B8" s="15" t="s">
        <v>406</v>
      </c>
    </row>
    <row r="9" spans="1:2" x14ac:dyDescent="0.25">
      <c r="A9" s="15" t="s">
        <v>407</v>
      </c>
      <c r="B9" s="15" t="s">
        <v>408</v>
      </c>
    </row>
    <row r="10" spans="1:2" x14ac:dyDescent="0.25">
      <c r="A10" s="15" t="s">
        <v>409</v>
      </c>
      <c r="B10" s="15" t="s">
        <v>410</v>
      </c>
    </row>
    <row r="11" spans="1:2" x14ac:dyDescent="0.25">
      <c r="A11" s="15" t="s">
        <v>411</v>
      </c>
      <c r="B11" s="15" t="s">
        <v>412</v>
      </c>
    </row>
    <row r="12" spans="1:2" x14ac:dyDescent="0.25">
      <c r="A12" s="15" t="s">
        <v>413</v>
      </c>
      <c r="B12" s="15" t="s">
        <v>414</v>
      </c>
    </row>
    <row r="13" spans="1:2" x14ac:dyDescent="0.25">
      <c r="A13" s="15" t="s">
        <v>415</v>
      </c>
      <c r="B13" s="15" t="s">
        <v>416</v>
      </c>
    </row>
    <row r="14" spans="1:2" x14ac:dyDescent="0.25">
      <c r="A14" s="15" t="s">
        <v>417</v>
      </c>
      <c r="B14" s="15" t="s">
        <v>418</v>
      </c>
    </row>
    <row r="15" spans="1:2" x14ac:dyDescent="0.25">
      <c r="A15" s="15" t="s">
        <v>419</v>
      </c>
      <c r="B15" s="15" t="s">
        <v>420</v>
      </c>
    </row>
    <row r="16" spans="1:2" x14ac:dyDescent="0.25">
      <c r="A16" s="15" t="s">
        <v>420</v>
      </c>
      <c r="B16" s="15" t="s">
        <v>421</v>
      </c>
    </row>
    <row r="17" spans="1:2" x14ac:dyDescent="0.25">
      <c r="A17" s="15" t="s">
        <v>422</v>
      </c>
      <c r="B17" s="15" t="s">
        <v>423</v>
      </c>
    </row>
    <row r="18" spans="1:2" x14ac:dyDescent="0.25">
      <c r="A18" s="15" t="s">
        <v>424</v>
      </c>
      <c r="B18" s="15" t="s">
        <v>425</v>
      </c>
    </row>
    <row r="19" spans="1:2" x14ac:dyDescent="0.25">
      <c r="A19" s="15" t="s">
        <v>426</v>
      </c>
      <c r="B19" s="15" t="s">
        <v>427</v>
      </c>
    </row>
    <row r="20" spans="1:2" x14ac:dyDescent="0.25">
      <c r="A20" s="15" t="s">
        <v>428</v>
      </c>
      <c r="B20" s="15" t="s">
        <v>429</v>
      </c>
    </row>
    <row r="21" spans="1:2" x14ac:dyDescent="0.25">
      <c r="A21" s="15" t="s">
        <v>430</v>
      </c>
      <c r="B21" s="15" t="s">
        <v>431</v>
      </c>
    </row>
    <row r="22" spans="1:2" x14ac:dyDescent="0.25">
      <c r="A22" s="15" t="s">
        <v>432</v>
      </c>
      <c r="B22" s="15" t="s">
        <v>433</v>
      </c>
    </row>
    <row r="23" spans="1:2" x14ac:dyDescent="0.25">
      <c r="A23" s="15" t="s">
        <v>434</v>
      </c>
      <c r="B23" s="15" t="s">
        <v>435</v>
      </c>
    </row>
    <row r="24" spans="1:2" x14ac:dyDescent="0.25">
      <c r="A24" s="15" t="s">
        <v>436</v>
      </c>
      <c r="B24" s="15" t="s">
        <v>437</v>
      </c>
    </row>
    <row r="25" spans="1:2" x14ac:dyDescent="0.25">
      <c r="A25" s="15" t="s">
        <v>438</v>
      </c>
      <c r="B25" s="15" t="s">
        <v>439</v>
      </c>
    </row>
    <row r="26" spans="1:2" x14ac:dyDescent="0.25">
      <c r="A26" s="15" t="s">
        <v>440</v>
      </c>
      <c r="B26" s="15" t="s">
        <v>441</v>
      </c>
    </row>
    <row r="27" spans="1:2" x14ac:dyDescent="0.25">
      <c r="B27" s="15" t="s">
        <v>442</v>
      </c>
    </row>
    <row r="28" spans="1:2" x14ac:dyDescent="0.25">
      <c r="B28" s="15" t="s">
        <v>443</v>
      </c>
    </row>
    <row r="29" spans="1:2" x14ac:dyDescent="0.25">
      <c r="B29" s="15" t="s">
        <v>420</v>
      </c>
    </row>
    <row r="30" spans="1:2" x14ac:dyDescent="0.25">
      <c r="B30" s="15" t="s">
        <v>444</v>
      </c>
    </row>
    <row r="31" spans="1:2" x14ac:dyDescent="0.25">
      <c r="B31" s="15" t="s">
        <v>445</v>
      </c>
    </row>
    <row r="32" spans="1:2" x14ac:dyDescent="0.25">
      <c r="B32" s="15" t="s">
        <v>446</v>
      </c>
    </row>
    <row r="33" spans="2:2" x14ac:dyDescent="0.25">
      <c r="B33" s="15" t="s">
        <v>447</v>
      </c>
    </row>
    <row r="34" spans="2:2" x14ac:dyDescent="0.25">
      <c r="B34" s="15" t="s">
        <v>448</v>
      </c>
    </row>
    <row r="35" spans="2:2" x14ac:dyDescent="0.25">
      <c r="B35" s="15" t="s">
        <v>431</v>
      </c>
    </row>
    <row r="36" spans="2:2" x14ac:dyDescent="0.25">
      <c r="B36" s="15" t="s">
        <v>449</v>
      </c>
    </row>
    <row r="37" spans="2:2" x14ac:dyDescent="0.25">
      <c r="B37" s="15" t="s">
        <v>450</v>
      </c>
    </row>
    <row r="38" spans="2:2" x14ac:dyDescent="0.25">
      <c r="B38" s="15" t="s">
        <v>451</v>
      </c>
    </row>
    <row r="39" spans="2:2" x14ac:dyDescent="0.25">
      <c r="B39" s="15" t="s">
        <v>452</v>
      </c>
    </row>
    <row r="40" spans="2:2" x14ac:dyDescent="0.25">
      <c r="B40" s="15" t="s">
        <v>441</v>
      </c>
    </row>
    <row r="41" spans="2:2" x14ac:dyDescent="0.25">
      <c r="B41" s="15" t="s">
        <v>442</v>
      </c>
    </row>
    <row r="42" spans="2:2" x14ac:dyDescent="0.25">
      <c r="B42" s="15" t="s">
        <v>443</v>
      </c>
    </row>
    <row r="43" spans="2:2" x14ac:dyDescent="0.25">
      <c r="B43" s="15" t="s">
        <v>420</v>
      </c>
    </row>
    <row r="44" spans="2:2" x14ac:dyDescent="0.25">
      <c r="B44" s="15" t="s">
        <v>453</v>
      </c>
    </row>
    <row r="45" spans="2:2" x14ac:dyDescent="0.25">
      <c r="B45" s="15" t="s">
        <v>454</v>
      </c>
    </row>
    <row r="46" spans="2:2" x14ac:dyDescent="0.25">
      <c r="B46" s="15" t="s">
        <v>455</v>
      </c>
    </row>
    <row r="47" spans="2:2" x14ac:dyDescent="0.25">
      <c r="B47" s="15" t="s">
        <v>456</v>
      </c>
    </row>
    <row r="48" spans="2:2" x14ac:dyDescent="0.25">
      <c r="B48" s="15" t="s">
        <v>457</v>
      </c>
    </row>
    <row r="49" spans="2:2" x14ac:dyDescent="0.25">
      <c r="B49" s="15" t="s">
        <v>431</v>
      </c>
    </row>
    <row r="50" spans="2:2" x14ac:dyDescent="0.25">
      <c r="B50" s="15" t="s">
        <v>458</v>
      </c>
    </row>
    <row r="51" spans="2:2" x14ac:dyDescent="0.25">
      <c r="B51" s="15" t="s">
        <v>459</v>
      </c>
    </row>
    <row r="52" spans="2:2" x14ac:dyDescent="0.25">
      <c r="B52" s="15" t="s">
        <v>437</v>
      </c>
    </row>
    <row r="53" spans="2:2" x14ac:dyDescent="0.25">
      <c r="B53" s="15" t="s">
        <v>439</v>
      </c>
    </row>
    <row r="54" spans="2:2" x14ac:dyDescent="0.25">
      <c r="B54" s="15" t="s">
        <v>441</v>
      </c>
    </row>
    <row r="55" spans="2:2" x14ac:dyDescent="0.25">
      <c r="B55" s="15" t="s">
        <v>442</v>
      </c>
    </row>
    <row r="56" spans="2:2" x14ac:dyDescent="0.25">
      <c r="B56" s="15" t="s">
        <v>443</v>
      </c>
    </row>
    <row r="57" spans="2:2" x14ac:dyDescent="0.25">
      <c r="B57" s="15" t="s">
        <v>420</v>
      </c>
    </row>
    <row r="58" spans="2:2" x14ac:dyDescent="0.25">
      <c r="B58" s="15" t="s">
        <v>460</v>
      </c>
    </row>
    <row r="59" spans="2:2" x14ac:dyDescent="0.25">
      <c r="B59" s="15" t="s">
        <v>461</v>
      </c>
    </row>
    <row r="60" spans="2:2" x14ac:dyDescent="0.25">
      <c r="B60" s="15" t="s">
        <v>462</v>
      </c>
    </row>
    <row r="61" spans="2:2" x14ac:dyDescent="0.25">
      <c r="B61" s="15" t="s">
        <v>463</v>
      </c>
    </row>
    <row r="62" spans="2:2" x14ac:dyDescent="0.25">
      <c r="B62" s="15" t="s">
        <v>464</v>
      </c>
    </row>
    <row r="63" spans="2:2" x14ac:dyDescent="0.25">
      <c r="B63" s="15" t="s">
        <v>431</v>
      </c>
    </row>
    <row r="64" spans="2:2" x14ac:dyDescent="0.25">
      <c r="B64" s="15" t="s">
        <v>465</v>
      </c>
    </row>
    <row r="65" spans="2:2" x14ac:dyDescent="0.25">
      <c r="B65" s="15" t="s">
        <v>466</v>
      </c>
    </row>
    <row r="66" spans="2:2" x14ac:dyDescent="0.25">
      <c r="B66" s="15" t="s">
        <v>467</v>
      </c>
    </row>
    <row r="67" spans="2:2" x14ac:dyDescent="0.25">
      <c r="B67" s="15" t="s">
        <v>468</v>
      </c>
    </row>
    <row r="68" spans="2:2" x14ac:dyDescent="0.25">
      <c r="B68" s="15" t="s">
        <v>441</v>
      </c>
    </row>
    <row r="69" spans="2:2" x14ac:dyDescent="0.25">
      <c r="B69" s="15" t="s">
        <v>442</v>
      </c>
    </row>
    <row r="70" spans="2:2" x14ac:dyDescent="0.25">
      <c r="B70" s="15" t="s">
        <v>443</v>
      </c>
    </row>
    <row r="71" spans="2:2" x14ac:dyDescent="0.25">
      <c r="B71" s="15" t="s">
        <v>420</v>
      </c>
    </row>
    <row r="72" spans="2:2" x14ac:dyDescent="0.25">
      <c r="B72" s="15" t="s">
        <v>469</v>
      </c>
    </row>
    <row r="73" spans="2:2" x14ac:dyDescent="0.25">
      <c r="B73" s="15" t="s">
        <v>470</v>
      </c>
    </row>
    <row r="74" spans="2:2" x14ac:dyDescent="0.25">
      <c r="B74" s="15" t="s">
        <v>446</v>
      </c>
    </row>
    <row r="75" spans="2:2" x14ac:dyDescent="0.25">
      <c r="B75" s="15" t="s">
        <v>447</v>
      </c>
    </row>
    <row r="76" spans="2:2" x14ac:dyDescent="0.25">
      <c r="B76" s="15" t="s">
        <v>471</v>
      </c>
    </row>
    <row r="77" spans="2:2" x14ac:dyDescent="0.25">
      <c r="B77" s="15" t="s">
        <v>431</v>
      </c>
    </row>
    <row r="78" spans="2:2" x14ac:dyDescent="0.25">
      <c r="B78" s="15" t="s">
        <v>472</v>
      </c>
    </row>
    <row r="79" spans="2:2" x14ac:dyDescent="0.25">
      <c r="B79" s="15" t="s">
        <v>466</v>
      </c>
    </row>
    <row r="80" spans="2:2" x14ac:dyDescent="0.25">
      <c r="B80" s="15" t="s">
        <v>437</v>
      </c>
    </row>
    <row r="81" spans="2:2" x14ac:dyDescent="0.25">
      <c r="B81" s="15" t="s">
        <v>439</v>
      </c>
    </row>
    <row r="82" spans="2:2" x14ac:dyDescent="0.25">
      <c r="B82" s="15" t="s">
        <v>441</v>
      </c>
    </row>
    <row r="83" spans="2:2" x14ac:dyDescent="0.25">
      <c r="B83" s="15" t="s">
        <v>442</v>
      </c>
    </row>
    <row r="84" spans="2:2" x14ac:dyDescent="0.25">
      <c r="B84" s="15" t="s">
        <v>443</v>
      </c>
    </row>
    <row r="85" spans="2:2" x14ac:dyDescent="0.25">
      <c r="B85" s="15" t="s">
        <v>420</v>
      </c>
    </row>
    <row r="86" spans="2:2" x14ac:dyDescent="0.25">
      <c r="B86" s="15" t="s">
        <v>473</v>
      </c>
    </row>
    <row r="87" spans="2:2" x14ac:dyDescent="0.25">
      <c r="B87" s="15" t="s">
        <v>474</v>
      </c>
    </row>
    <row r="88" spans="2:2" x14ac:dyDescent="0.25">
      <c r="B88" s="15" t="s">
        <v>475</v>
      </c>
    </row>
    <row r="89" spans="2:2" x14ac:dyDescent="0.25">
      <c r="B89" s="15" t="s">
        <v>476</v>
      </c>
    </row>
    <row r="90" spans="2:2" x14ac:dyDescent="0.25">
      <c r="B90" s="15" t="s">
        <v>464</v>
      </c>
    </row>
    <row r="91" spans="2:2" x14ac:dyDescent="0.25">
      <c r="B91" s="15" t="s">
        <v>431</v>
      </c>
    </row>
    <row r="92" spans="2:2" x14ac:dyDescent="0.25">
      <c r="B92" s="15" t="s">
        <v>465</v>
      </c>
    </row>
    <row r="93" spans="2:2" x14ac:dyDescent="0.25">
      <c r="B93" s="15" t="s">
        <v>466</v>
      </c>
    </row>
    <row r="94" spans="2:2" x14ac:dyDescent="0.25">
      <c r="B94" s="15" t="s">
        <v>437</v>
      </c>
    </row>
    <row r="95" spans="2:2" x14ac:dyDescent="0.25">
      <c r="B95" s="15" t="s">
        <v>439</v>
      </c>
    </row>
    <row r="96" spans="2:2" x14ac:dyDescent="0.25">
      <c r="B96" s="15" t="s">
        <v>441</v>
      </c>
    </row>
    <row r="97" spans="2:2" x14ac:dyDescent="0.25">
      <c r="B97" s="15" t="s">
        <v>442</v>
      </c>
    </row>
    <row r="98" spans="2:2" x14ac:dyDescent="0.25">
      <c r="B98" s="15" t="s">
        <v>443</v>
      </c>
    </row>
    <row r="99" spans="2:2" x14ac:dyDescent="0.25">
      <c r="B99" s="15" t="s">
        <v>420</v>
      </c>
    </row>
    <row r="100" spans="2:2" x14ac:dyDescent="0.25">
      <c r="B100" s="15" t="s">
        <v>477</v>
      </c>
    </row>
    <row r="101" spans="2:2" x14ac:dyDescent="0.25">
      <c r="B101" s="15" t="s">
        <v>478</v>
      </c>
    </row>
    <row r="102" spans="2:2" x14ac:dyDescent="0.25">
      <c r="B102" s="15" t="s">
        <v>479</v>
      </c>
    </row>
    <row r="103" spans="2:2" x14ac:dyDescent="0.25">
      <c r="B103" s="15" t="s">
        <v>480</v>
      </c>
    </row>
    <row r="104" spans="2:2" x14ac:dyDescent="0.25">
      <c r="B104" s="15" t="s">
        <v>481</v>
      </c>
    </row>
    <row r="105" spans="2:2" x14ac:dyDescent="0.25">
      <c r="B105" s="15" t="s">
        <v>482</v>
      </c>
    </row>
    <row r="106" spans="2:2" x14ac:dyDescent="0.25">
      <c r="B106" s="15" t="s">
        <v>483</v>
      </c>
    </row>
    <row r="107" spans="2:2" x14ac:dyDescent="0.25">
      <c r="B107" s="15" t="s">
        <v>466</v>
      </c>
    </row>
    <row r="108" spans="2:2" x14ac:dyDescent="0.25">
      <c r="B108" s="15" t="s">
        <v>484</v>
      </c>
    </row>
    <row r="109" spans="2:2" x14ac:dyDescent="0.25">
      <c r="B109" s="15" t="s">
        <v>485</v>
      </c>
    </row>
    <row r="110" spans="2:2" x14ac:dyDescent="0.25">
      <c r="B110" s="15" t="s">
        <v>441</v>
      </c>
    </row>
    <row r="111" spans="2:2" x14ac:dyDescent="0.25">
      <c r="B111" s="15" t="s">
        <v>442</v>
      </c>
    </row>
    <row r="112" spans="2:2" x14ac:dyDescent="0.25">
      <c r="B112" s="15" t="s">
        <v>430</v>
      </c>
    </row>
    <row r="113" spans="2:2" x14ac:dyDescent="0.25">
      <c r="B113" s="15" t="s">
        <v>486</v>
      </c>
    </row>
    <row r="114" spans="2:2" x14ac:dyDescent="0.25">
      <c r="B114" s="15" t="s">
        <v>487</v>
      </c>
    </row>
    <row r="115" spans="2:2" x14ac:dyDescent="0.25">
      <c r="B115" s="15" t="s">
        <v>488</v>
      </c>
    </row>
    <row r="116" spans="2:2" x14ac:dyDescent="0.25">
      <c r="B116" s="15" t="s">
        <v>489</v>
      </c>
    </row>
    <row r="117" spans="2:2" x14ac:dyDescent="0.25">
      <c r="B117" s="15" t="s">
        <v>490</v>
      </c>
    </row>
    <row r="118" spans="2:2" x14ac:dyDescent="0.25">
      <c r="B118" s="15" t="s">
        <v>491</v>
      </c>
    </row>
    <row r="119" spans="2:2" x14ac:dyDescent="0.25">
      <c r="B119" s="15" t="s">
        <v>492</v>
      </c>
    </row>
    <row r="120" spans="2:2" x14ac:dyDescent="0.25">
      <c r="B120" s="15" t="s">
        <v>493</v>
      </c>
    </row>
    <row r="121" spans="2:2" x14ac:dyDescent="0.25">
      <c r="B121" s="15" t="s">
        <v>494</v>
      </c>
    </row>
    <row r="122" spans="2:2" x14ac:dyDescent="0.25">
      <c r="B122" s="15" t="s">
        <v>495</v>
      </c>
    </row>
    <row r="123" spans="2:2" x14ac:dyDescent="0.25">
      <c r="B123" s="15" t="s">
        <v>496</v>
      </c>
    </row>
    <row r="124" spans="2:2" x14ac:dyDescent="0.25">
      <c r="B124" s="15" t="s">
        <v>497</v>
      </c>
    </row>
    <row r="125" spans="2:2" x14ac:dyDescent="0.25">
      <c r="B125" s="15" t="s">
        <v>498</v>
      </c>
    </row>
    <row r="126" spans="2:2" x14ac:dyDescent="0.25">
      <c r="B126" s="15" t="s">
        <v>499</v>
      </c>
    </row>
    <row r="127" spans="2:2" x14ac:dyDescent="0.25">
      <c r="B127" s="15" t="s">
        <v>500</v>
      </c>
    </row>
    <row r="128" spans="2:2" x14ac:dyDescent="0.25">
      <c r="B128" s="15" t="s">
        <v>501</v>
      </c>
    </row>
    <row r="129" spans="2:2" x14ac:dyDescent="0.25">
      <c r="B129" s="15" t="s">
        <v>502</v>
      </c>
    </row>
    <row r="130" spans="2:2" x14ac:dyDescent="0.25">
      <c r="B130" s="15" t="s">
        <v>498</v>
      </c>
    </row>
    <row r="131" spans="2:2" x14ac:dyDescent="0.25">
      <c r="B131" s="15" t="s">
        <v>503</v>
      </c>
    </row>
    <row r="132" spans="2:2" x14ac:dyDescent="0.25">
      <c r="B132" s="15" t="s">
        <v>504</v>
      </c>
    </row>
    <row r="133" spans="2:2" x14ac:dyDescent="0.25">
      <c r="B133" s="15" t="s">
        <v>505</v>
      </c>
    </row>
    <row r="134" spans="2:2" x14ac:dyDescent="0.25">
      <c r="B134" s="15" t="s">
        <v>502</v>
      </c>
    </row>
    <row r="135" spans="2:2" x14ac:dyDescent="0.25">
      <c r="B135" s="15" t="s">
        <v>498</v>
      </c>
    </row>
    <row r="136" spans="2:2" x14ac:dyDescent="0.25">
      <c r="B136" s="15" t="s">
        <v>506</v>
      </c>
    </row>
    <row r="137" spans="2:2" x14ac:dyDescent="0.25">
      <c r="B137" s="15" t="s">
        <v>507</v>
      </c>
    </row>
    <row r="138" spans="2:2" x14ac:dyDescent="0.25">
      <c r="B138" s="15" t="s">
        <v>508</v>
      </c>
    </row>
    <row r="139" spans="2:2" x14ac:dyDescent="0.25">
      <c r="B139" s="15" t="s">
        <v>502</v>
      </c>
    </row>
    <row r="140" spans="2:2" x14ac:dyDescent="0.25">
      <c r="B140" s="15" t="s">
        <v>498</v>
      </c>
    </row>
    <row r="141" spans="2:2" x14ac:dyDescent="0.25">
      <c r="B141" s="15" t="s">
        <v>509</v>
      </c>
    </row>
    <row r="142" spans="2:2" x14ac:dyDescent="0.25">
      <c r="B142" s="15" t="s">
        <v>510</v>
      </c>
    </row>
    <row r="143" spans="2:2" x14ac:dyDescent="0.25">
      <c r="B143" s="15" t="s">
        <v>511</v>
      </c>
    </row>
    <row r="144" spans="2:2" x14ac:dyDescent="0.25">
      <c r="B144" s="15" t="s">
        <v>512</v>
      </c>
    </row>
    <row r="145" spans="2:2" x14ac:dyDescent="0.25">
      <c r="B145" s="15" t="s">
        <v>513</v>
      </c>
    </row>
    <row r="146" spans="2:2" x14ac:dyDescent="0.25">
      <c r="B146" s="15" t="s">
        <v>514</v>
      </c>
    </row>
    <row r="147" spans="2:2" x14ac:dyDescent="0.25">
      <c r="B147" s="15" t="s">
        <v>515</v>
      </c>
    </row>
    <row r="148" spans="2:2" x14ac:dyDescent="0.25">
      <c r="B148" s="15" t="s">
        <v>516</v>
      </c>
    </row>
    <row r="149" spans="2:2" x14ac:dyDescent="0.25">
      <c r="B149" s="15" t="s">
        <v>517</v>
      </c>
    </row>
    <row r="150" spans="2:2" x14ac:dyDescent="0.25">
      <c r="B150" s="15" t="s">
        <v>518</v>
      </c>
    </row>
    <row r="151" spans="2:2" x14ac:dyDescent="0.25">
      <c r="B151" s="15" t="s">
        <v>519</v>
      </c>
    </row>
    <row r="152" spans="2:2" x14ac:dyDescent="0.25">
      <c r="B152" s="15" t="s">
        <v>520</v>
      </c>
    </row>
    <row r="153" spans="2:2" x14ac:dyDescent="0.25">
      <c r="B153" s="15" t="s">
        <v>521</v>
      </c>
    </row>
    <row r="154" spans="2:2" x14ac:dyDescent="0.25">
      <c r="B154" s="15" t="s">
        <v>522</v>
      </c>
    </row>
    <row r="155" spans="2:2" x14ac:dyDescent="0.25">
      <c r="B155" s="15" t="s">
        <v>523</v>
      </c>
    </row>
    <row r="156" spans="2:2" x14ac:dyDescent="0.25">
      <c r="B156" s="15" t="s">
        <v>524</v>
      </c>
    </row>
    <row r="157" spans="2:2" x14ac:dyDescent="0.25">
      <c r="B157" s="15" t="s">
        <v>525</v>
      </c>
    </row>
    <row r="158" spans="2:2" x14ac:dyDescent="0.25">
      <c r="B158" s="15" t="s">
        <v>526</v>
      </c>
    </row>
    <row r="159" spans="2:2" x14ac:dyDescent="0.25">
      <c r="B159" s="15" t="s">
        <v>527</v>
      </c>
    </row>
    <row r="160" spans="2:2" x14ac:dyDescent="0.25">
      <c r="B160" s="15" t="s">
        <v>528</v>
      </c>
    </row>
    <row r="161" spans="2:2" x14ac:dyDescent="0.25">
      <c r="B161" s="15" t="s">
        <v>529</v>
      </c>
    </row>
    <row r="162" spans="2:2" x14ac:dyDescent="0.25">
      <c r="B162" s="15" t="s">
        <v>530</v>
      </c>
    </row>
    <row r="163" spans="2:2" x14ac:dyDescent="0.25">
      <c r="B163" s="15" t="s">
        <v>531</v>
      </c>
    </row>
    <row r="164" spans="2:2" x14ac:dyDescent="0.25">
      <c r="B164" s="15" t="s">
        <v>532</v>
      </c>
    </row>
    <row r="165" spans="2:2" x14ac:dyDescent="0.25">
      <c r="B165" s="15" t="s">
        <v>533</v>
      </c>
    </row>
    <row r="166" spans="2:2" x14ac:dyDescent="0.25">
      <c r="B166" s="15" t="s">
        <v>534</v>
      </c>
    </row>
    <row r="167" spans="2:2" x14ac:dyDescent="0.25">
      <c r="B167" s="15" t="s">
        <v>535</v>
      </c>
    </row>
    <row r="168" spans="2:2" x14ac:dyDescent="0.25">
      <c r="B168" s="15" t="s">
        <v>536</v>
      </c>
    </row>
    <row r="169" spans="2:2" x14ac:dyDescent="0.25">
      <c r="B169" s="15" t="s">
        <v>537</v>
      </c>
    </row>
    <row r="170" spans="2:2" x14ac:dyDescent="0.25">
      <c r="B170" s="15" t="s">
        <v>538</v>
      </c>
    </row>
    <row r="171" spans="2:2" x14ac:dyDescent="0.25">
      <c r="B171" s="15" t="s">
        <v>539</v>
      </c>
    </row>
    <row r="172" spans="2:2" x14ac:dyDescent="0.25">
      <c r="B172" s="15" t="s">
        <v>540</v>
      </c>
    </row>
    <row r="173" spans="2:2" x14ac:dyDescent="0.25">
      <c r="B173" s="15" t="s">
        <v>541</v>
      </c>
    </row>
    <row r="174" spans="2:2" x14ac:dyDescent="0.25">
      <c r="B174" s="15" t="s">
        <v>542</v>
      </c>
    </row>
    <row r="175" spans="2:2" x14ac:dyDescent="0.25">
      <c r="B175" s="15" t="s">
        <v>543</v>
      </c>
    </row>
    <row r="176" spans="2:2" x14ac:dyDescent="0.25">
      <c r="B176" s="15" t="s">
        <v>544</v>
      </c>
    </row>
    <row r="177" spans="2:2" x14ac:dyDescent="0.25">
      <c r="B177" s="15" t="s">
        <v>545</v>
      </c>
    </row>
    <row r="178" spans="2:2" x14ac:dyDescent="0.25">
      <c r="B178" s="15" t="s">
        <v>546</v>
      </c>
    </row>
    <row r="179" spans="2:2" x14ac:dyDescent="0.25">
      <c r="B179" s="15" t="s">
        <v>547</v>
      </c>
    </row>
    <row r="180" spans="2:2" x14ac:dyDescent="0.25">
      <c r="B180" s="15" t="s">
        <v>498</v>
      </c>
    </row>
    <row r="181" spans="2:2" x14ac:dyDescent="0.25">
      <c r="B181" s="15" t="s">
        <v>548</v>
      </c>
    </row>
    <row r="182" spans="2:2" x14ac:dyDescent="0.25">
      <c r="B182" s="15" t="s">
        <v>549</v>
      </c>
    </row>
    <row r="183" spans="2:2" x14ac:dyDescent="0.25">
      <c r="B183" s="15" t="s">
        <v>550</v>
      </c>
    </row>
    <row r="184" spans="2:2" x14ac:dyDescent="0.25">
      <c r="B184" s="15" t="s">
        <v>551</v>
      </c>
    </row>
    <row r="185" spans="2:2" x14ac:dyDescent="0.25">
      <c r="B185" s="15" t="s">
        <v>552</v>
      </c>
    </row>
    <row r="186" spans="2:2" x14ac:dyDescent="0.25">
      <c r="B186" s="15" t="s">
        <v>553</v>
      </c>
    </row>
    <row r="187" spans="2:2" x14ac:dyDescent="0.25">
      <c r="B187" s="15" t="s">
        <v>554</v>
      </c>
    </row>
    <row r="188" spans="2:2" x14ac:dyDescent="0.25">
      <c r="B188" s="15" t="s">
        <v>502</v>
      </c>
    </row>
    <row r="189" spans="2:2" x14ac:dyDescent="0.25">
      <c r="B189" s="15" t="s">
        <v>498</v>
      </c>
    </row>
    <row r="190" spans="2:2" x14ac:dyDescent="0.25">
      <c r="B190" s="15" t="s">
        <v>555</v>
      </c>
    </row>
    <row r="191" spans="2:2" x14ac:dyDescent="0.25">
      <c r="B191" s="15" t="s">
        <v>556</v>
      </c>
    </row>
    <row r="192" spans="2:2" x14ac:dyDescent="0.25">
      <c r="B192" s="15" t="s">
        <v>557</v>
      </c>
    </row>
    <row r="193" spans="2:2" x14ac:dyDescent="0.25">
      <c r="B193" s="15" t="s">
        <v>551</v>
      </c>
    </row>
    <row r="194" spans="2:2" x14ac:dyDescent="0.25">
      <c r="B194" s="15" t="s">
        <v>558</v>
      </c>
    </row>
    <row r="195" spans="2:2" x14ac:dyDescent="0.25">
      <c r="B195" s="15" t="s">
        <v>553</v>
      </c>
    </row>
    <row r="196" spans="2:2" x14ac:dyDescent="0.25">
      <c r="B196" s="15" t="s">
        <v>554</v>
      </c>
    </row>
    <row r="197" spans="2:2" x14ac:dyDescent="0.25">
      <c r="B197" s="15" t="s">
        <v>502</v>
      </c>
    </row>
    <row r="198" spans="2:2" x14ac:dyDescent="0.25">
      <c r="B198" s="15" t="s">
        <v>498</v>
      </c>
    </row>
    <row r="199" spans="2:2" x14ac:dyDescent="0.25">
      <c r="B199" s="15" t="s">
        <v>559</v>
      </c>
    </row>
    <row r="200" spans="2:2" x14ac:dyDescent="0.25">
      <c r="B200" s="15" t="s">
        <v>560</v>
      </c>
    </row>
    <row r="201" spans="2:2" x14ac:dyDescent="0.25">
      <c r="B201" s="15" t="s">
        <v>561</v>
      </c>
    </row>
    <row r="202" spans="2:2" x14ac:dyDescent="0.25">
      <c r="B202" s="15" t="s">
        <v>551</v>
      </c>
    </row>
    <row r="203" spans="2:2" x14ac:dyDescent="0.25">
      <c r="B203" s="15" t="s">
        <v>562</v>
      </c>
    </row>
    <row r="204" spans="2:2" x14ac:dyDescent="0.25">
      <c r="B204" s="15" t="s">
        <v>553</v>
      </c>
    </row>
    <row r="205" spans="2:2" x14ac:dyDescent="0.25">
      <c r="B205" s="15" t="s">
        <v>554</v>
      </c>
    </row>
    <row r="206" spans="2:2" x14ac:dyDescent="0.25">
      <c r="B206" s="15" t="s">
        <v>502</v>
      </c>
    </row>
    <row r="207" spans="2:2" x14ac:dyDescent="0.25">
      <c r="B207" s="15" t="s">
        <v>498</v>
      </c>
    </row>
    <row r="208" spans="2:2" x14ac:dyDescent="0.25">
      <c r="B208" s="15" t="s">
        <v>563</v>
      </c>
    </row>
    <row r="209" spans="2:2" x14ac:dyDescent="0.25">
      <c r="B209" s="15" t="s">
        <v>564</v>
      </c>
    </row>
    <row r="210" spans="2:2" x14ac:dyDescent="0.25">
      <c r="B210" s="15" t="s">
        <v>550</v>
      </c>
    </row>
    <row r="211" spans="2:2" x14ac:dyDescent="0.25">
      <c r="B211" s="15" t="s">
        <v>551</v>
      </c>
    </row>
    <row r="212" spans="2:2" x14ac:dyDescent="0.25">
      <c r="B212" s="15" t="s">
        <v>558</v>
      </c>
    </row>
    <row r="213" spans="2:2" x14ac:dyDescent="0.25">
      <c r="B213" s="15" t="s">
        <v>553</v>
      </c>
    </row>
    <row r="214" spans="2:2" x14ac:dyDescent="0.25">
      <c r="B214" s="15" t="s">
        <v>554</v>
      </c>
    </row>
    <row r="215" spans="2:2" x14ac:dyDescent="0.25">
      <c r="B215" s="15" t="s">
        <v>502</v>
      </c>
    </row>
    <row r="216" spans="2:2" x14ac:dyDescent="0.25">
      <c r="B216" s="15" t="s">
        <v>498</v>
      </c>
    </row>
    <row r="217" spans="2:2" x14ac:dyDescent="0.25">
      <c r="B217" s="15" t="s">
        <v>565</v>
      </c>
    </row>
    <row r="218" spans="2:2" x14ac:dyDescent="0.25">
      <c r="B218" s="15" t="s">
        <v>566</v>
      </c>
    </row>
    <row r="219" spans="2:2" x14ac:dyDescent="0.25">
      <c r="B219" s="15" t="s">
        <v>567</v>
      </c>
    </row>
    <row r="220" spans="2:2" x14ac:dyDescent="0.25">
      <c r="B220" s="15" t="s">
        <v>551</v>
      </c>
    </row>
    <row r="221" spans="2:2" x14ac:dyDescent="0.25">
      <c r="B221" s="15" t="s">
        <v>562</v>
      </c>
    </row>
    <row r="222" spans="2:2" x14ac:dyDescent="0.25">
      <c r="B222" s="15" t="s">
        <v>553</v>
      </c>
    </row>
    <row r="223" spans="2:2" x14ac:dyDescent="0.25">
      <c r="B223" s="15" t="s">
        <v>554</v>
      </c>
    </row>
    <row r="224" spans="2:2" x14ac:dyDescent="0.25">
      <c r="B224" s="15" t="s">
        <v>502</v>
      </c>
    </row>
    <row r="225" spans="2:2" x14ac:dyDescent="0.25">
      <c r="B225" s="15" t="s">
        <v>498</v>
      </c>
    </row>
    <row r="226" spans="2:2" x14ac:dyDescent="0.25">
      <c r="B226" s="15" t="s">
        <v>568</v>
      </c>
    </row>
    <row r="227" spans="2:2" x14ac:dyDescent="0.25">
      <c r="B227" s="15" t="s">
        <v>556</v>
      </c>
    </row>
    <row r="228" spans="2:2" x14ac:dyDescent="0.25">
      <c r="B228" s="15" t="s">
        <v>569</v>
      </c>
    </row>
    <row r="229" spans="2:2" x14ac:dyDescent="0.25">
      <c r="B229" s="15" t="s">
        <v>551</v>
      </c>
    </row>
    <row r="230" spans="2:2" x14ac:dyDescent="0.25">
      <c r="B230" s="15" t="s">
        <v>570</v>
      </c>
    </row>
    <row r="231" spans="2:2" x14ac:dyDescent="0.25">
      <c r="B231" s="15" t="s">
        <v>553</v>
      </c>
    </row>
    <row r="232" spans="2:2" x14ac:dyDescent="0.25">
      <c r="B232" s="15" t="s">
        <v>554</v>
      </c>
    </row>
    <row r="233" spans="2:2" x14ac:dyDescent="0.25">
      <c r="B233" s="15" t="s">
        <v>502</v>
      </c>
    </row>
    <row r="234" spans="2:2" x14ac:dyDescent="0.25">
      <c r="B234" s="15" t="s">
        <v>498</v>
      </c>
    </row>
    <row r="235" spans="2:2" x14ac:dyDescent="0.25">
      <c r="B235" s="15" t="s">
        <v>571</v>
      </c>
    </row>
    <row r="236" spans="2:2" x14ac:dyDescent="0.25">
      <c r="B236" s="15" t="s">
        <v>549</v>
      </c>
    </row>
    <row r="237" spans="2:2" x14ac:dyDescent="0.25">
      <c r="B237" s="15" t="s">
        <v>550</v>
      </c>
    </row>
    <row r="238" spans="2:2" x14ac:dyDescent="0.25">
      <c r="B238" s="15" t="s">
        <v>551</v>
      </c>
    </row>
    <row r="239" spans="2:2" x14ac:dyDescent="0.25">
      <c r="B239" s="15" t="s">
        <v>552</v>
      </c>
    </row>
    <row r="240" spans="2:2" x14ac:dyDescent="0.25">
      <c r="B240" s="15" t="s">
        <v>553</v>
      </c>
    </row>
    <row r="241" spans="2:2" x14ac:dyDescent="0.25">
      <c r="B241" s="15" t="s">
        <v>554</v>
      </c>
    </row>
    <row r="242" spans="2:2" x14ac:dyDescent="0.25">
      <c r="B242" s="15" t="s">
        <v>502</v>
      </c>
    </row>
    <row r="243" spans="2:2" x14ac:dyDescent="0.25">
      <c r="B243" s="15" t="s">
        <v>498</v>
      </c>
    </row>
    <row r="244" spans="2:2" x14ac:dyDescent="0.25">
      <c r="B244" s="15" t="s">
        <v>572</v>
      </c>
    </row>
    <row r="245" spans="2:2" x14ac:dyDescent="0.25">
      <c r="B245" s="15" t="s">
        <v>573</v>
      </c>
    </row>
    <row r="246" spans="2:2" x14ac:dyDescent="0.25">
      <c r="B246" s="15" t="s">
        <v>567</v>
      </c>
    </row>
    <row r="247" spans="2:2" x14ac:dyDescent="0.25">
      <c r="B247" s="15" t="s">
        <v>551</v>
      </c>
    </row>
    <row r="248" spans="2:2" x14ac:dyDescent="0.25">
      <c r="B248" s="15" t="s">
        <v>574</v>
      </c>
    </row>
    <row r="249" spans="2:2" x14ac:dyDescent="0.25">
      <c r="B249" s="15" t="s">
        <v>553</v>
      </c>
    </row>
    <row r="250" spans="2:2" x14ac:dyDescent="0.25">
      <c r="B250" s="15" t="s">
        <v>554</v>
      </c>
    </row>
    <row r="251" spans="2:2" x14ac:dyDescent="0.25">
      <c r="B251" s="15" t="s">
        <v>502</v>
      </c>
    </row>
    <row r="252" spans="2:2" x14ac:dyDescent="0.25">
      <c r="B252" s="15" t="s">
        <v>498</v>
      </c>
    </row>
    <row r="253" spans="2:2" x14ac:dyDescent="0.25">
      <c r="B253" s="15" t="s">
        <v>575</v>
      </c>
    </row>
    <row r="254" spans="2:2" x14ac:dyDescent="0.25">
      <c r="B254" s="15" t="s">
        <v>576</v>
      </c>
    </row>
    <row r="255" spans="2:2" x14ac:dyDescent="0.25">
      <c r="B255" s="15" t="s">
        <v>569</v>
      </c>
    </row>
    <row r="256" spans="2:2" x14ac:dyDescent="0.25">
      <c r="B256" s="15" t="s">
        <v>551</v>
      </c>
    </row>
    <row r="257" spans="2:2" x14ac:dyDescent="0.25">
      <c r="B257" s="15" t="s">
        <v>577</v>
      </c>
    </row>
    <row r="258" spans="2:2" x14ac:dyDescent="0.25">
      <c r="B258" s="15" t="s">
        <v>553</v>
      </c>
    </row>
    <row r="259" spans="2:2" x14ac:dyDescent="0.25">
      <c r="B259" s="15" t="s">
        <v>554</v>
      </c>
    </row>
    <row r="260" spans="2:2" x14ac:dyDescent="0.25">
      <c r="B260" s="15" t="s">
        <v>502</v>
      </c>
    </row>
    <row r="261" spans="2:2" x14ac:dyDescent="0.25">
      <c r="B261" s="15" t="s">
        <v>498</v>
      </c>
    </row>
    <row r="262" spans="2:2" x14ac:dyDescent="0.25">
      <c r="B262" s="15" t="s">
        <v>578</v>
      </c>
    </row>
    <row r="263" spans="2:2" x14ac:dyDescent="0.25">
      <c r="B263" s="15" t="s">
        <v>564</v>
      </c>
    </row>
    <row r="264" spans="2:2" x14ac:dyDescent="0.25">
      <c r="B264" s="15" t="s">
        <v>557</v>
      </c>
    </row>
    <row r="265" spans="2:2" x14ac:dyDescent="0.25">
      <c r="B265" s="15" t="s">
        <v>551</v>
      </c>
    </row>
    <row r="266" spans="2:2" x14ac:dyDescent="0.25">
      <c r="B266" s="15" t="s">
        <v>552</v>
      </c>
    </row>
    <row r="267" spans="2:2" x14ac:dyDescent="0.25">
      <c r="B267" s="15" t="s">
        <v>553</v>
      </c>
    </row>
    <row r="268" spans="2:2" x14ac:dyDescent="0.25">
      <c r="B268" s="15" t="s">
        <v>554</v>
      </c>
    </row>
    <row r="269" spans="2:2" x14ac:dyDescent="0.25">
      <c r="B269" s="15" t="s">
        <v>502</v>
      </c>
    </row>
    <row r="270" spans="2:2" x14ac:dyDescent="0.25">
      <c r="B270" s="15" t="s">
        <v>498</v>
      </c>
    </row>
    <row r="271" spans="2:2" x14ac:dyDescent="0.25">
      <c r="B271" s="15" t="s">
        <v>579</v>
      </c>
    </row>
    <row r="272" spans="2:2" x14ac:dyDescent="0.25">
      <c r="B272" s="15" t="s">
        <v>566</v>
      </c>
    </row>
    <row r="273" spans="2:2" x14ac:dyDescent="0.25">
      <c r="B273" s="15" t="s">
        <v>561</v>
      </c>
    </row>
    <row r="274" spans="2:2" x14ac:dyDescent="0.25">
      <c r="B274" s="15" t="s">
        <v>551</v>
      </c>
    </row>
    <row r="275" spans="2:2" x14ac:dyDescent="0.25">
      <c r="B275" s="15" t="s">
        <v>580</v>
      </c>
    </row>
    <row r="276" spans="2:2" x14ac:dyDescent="0.25">
      <c r="B276" s="15" t="s">
        <v>553</v>
      </c>
    </row>
    <row r="277" spans="2:2" x14ac:dyDescent="0.25">
      <c r="B277" s="15" t="s">
        <v>554</v>
      </c>
    </row>
    <row r="278" spans="2:2" x14ac:dyDescent="0.25">
      <c r="B278" s="15" t="s">
        <v>502</v>
      </c>
    </row>
    <row r="279" spans="2:2" x14ac:dyDescent="0.25">
      <c r="B279" s="15" t="s">
        <v>498</v>
      </c>
    </row>
    <row r="280" spans="2:2" x14ac:dyDescent="0.25">
      <c r="B280" s="15" t="s">
        <v>581</v>
      </c>
    </row>
    <row r="281" spans="2:2" x14ac:dyDescent="0.25">
      <c r="B281" s="15" t="s">
        <v>573</v>
      </c>
    </row>
    <row r="282" spans="2:2" x14ac:dyDescent="0.25">
      <c r="B282" s="15" t="s">
        <v>550</v>
      </c>
    </row>
    <row r="283" spans="2:2" x14ac:dyDescent="0.25">
      <c r="B283" s="15" t="s">
        <v>551</v>
      </c>
    </row>
    <row r="284" spans="2:2" x14ac:dyDescent="0.25">
      <c r="B284" s="15" t="s">
        <v>570</v>
      </c>
    </row>
    <row r="285" spans="2:2" x14ac:dyDescent="0.25">
      <c r="B285" s="15" t="s">
        <v>553</v>
      </c>
    </row>
    <row r="286" spans="2:2" x14ac:dyDescent="0.25">
      <c r="B286" s="15" t="s">
        <v>554</v>
      </c>
    </row>
    <row r="287" spans="2:2" x14ac:dyDescent="0.25">
      <c r="B287" s="15" t="s">
        <v>512</v>
      </c>
    </row>
    <row r="288" spans="2:2" x14ac:dyDescent="0.25">
      <c r="B288" s="15" t="s">
        <v>582</v>
      </c>
    </row>
    <row r="289" spans="2:2" x14ac:dyDescent="0.25">
      <c r="B289" s="15" t="s">
        <v>583</v>
      </c>
    </row>
    <row r="290" spans="2:2" x14ac:dyDescent="0.25">
      <c r="B290" s="15" t="s">
        <v>584</v>
      </c>
    </row>
    <row r="291" spans="2:2" x14ac:dyDescent="0.25">
      <c r="B291" s="15" t="s">
        <v>585</v>
      </c>
    </row>
    <row r="292" spans="2:2" x14ac:dyDescent="0.25">
      <c r="B292" s="15" t="s">
        <v>586</v>
      </c>
    </row>
    <row r="293" spans="2:2" x14ac:dyDescent="0.25">
      <c r="B293" s="15" t="s">
        <v>488</v>
      </c>
    </row>
    <row r="294" spans="2:2" x14ac:dyDescent="0.25">
      <c r="B294" s="15" t="s">
        <v>587</v>
      </c>
    </row>
    <row r="295" spans="2:2" x14ac:dyDescent="0.25">
      <c r="B295" s="15" t="s">
        <v>588</v>
      </c>
    </row>
    <row r="296" spans="2:2" x14ac:dyDescent="0.25">
      <c r="B296" s="15" t="s">
        <v>589</v>
      </c>
    </row>
    <row r="297" spans="2:2" x14ac:dyDescent="0.25">
      <c r="B297" s="15" t="s">
        <v>590</v>
      </c>
    </row>
    <row r="298" spans="2:2" x14ac:dyDescent="0.25">
      <c r="B298" s="15" t="s">
        <v>591</v>
      </c>
    </row>
    <row r="299" spans="2:2" x14ac:dyDescent="0.25">
      <c r="B299" s="15" t="s">
        <v>592</v>
      </c>
    </row>
    <row r="300" spans="2:2" x14ac:dyDescent="0.25">
      <c r="B300" s="15" t="s">
        <v>593</v>
      </c>
    </row>
    <row r="301" spans="2:2" x14ac:dyDescent="0.25">
      <c r="B301" s="15" t="s">
        <v>583</v>
      </c>
    </row>
    <row r="302" spans="2:2" x14ac:dyDescent="0.25">
      <c r="B302" s="15" t="s">
        <v>594</v>
      </c>
    </row>
    <row r="303" spans="2:2" x14ac:dyDescent="0.25">
      <c r="B303" s="15" t="s">
        <v>595</v>
      </c>
    </row>
    <row r="304" spans="2:2" x14ac:dyDescent="0.25">
      <c r="B304" s="15" t="s">
        <v>596</v>
      </c>
    </row>
    <row r="305" spans="2:2" x14ac:dyDescent="0.25">
      <c r="B305" s="15" t="s">
        <v>597</v>
      </c>
    </row>
    <row r="306" spans="2:2" x14ac:dyDescent="0.25">
      <c r="B306" s="15" t="s">
        <v>598</v>
      </c>
    </row>
    <row r="307" spans="2:2" x14ac:dyDescent="0.25">
      <c r="B307" s="15" t="s">
        <v>599</v>
      </c>
    </row>
    <row r="308" spans="2:2" x14ac:dyDescent="0.25">
      <c r="B308" s="15" t="s">
        <v>600</v>
      </c>
    </row>
    <row r="309" spans="2:2" x14ac:dyDescent="0.25">
      <c r="B309" s="15" t="s">
        <v>601</v>
      </c>
    </row>
    <row r="310" spans="2:2" x14ac:dyDescent="0.25">
      <c r="B310" s="15" t="s">
        <v>513</v>
      </c>
    </row>
    <row r="311" spans="2:2" x14ac:dyDescent="0.25">
      <c r="B311" s="15" t="s">
        <v>602</v>
      </c>
    </row>
    <row r="312" spans="2:2" x14ac:dyDescent="0.25">
      <c r="B312" s="15" t="s">
        <v>603</v>
      </c>
    </row>
    <row r="313" spans="2:2" x14ac:dyDescent="0.25">
      <c r="B313" s="15" t="s">
        <v>604</v>
      </c>
    </row>
    <row r="314" spans="2:2" x14ac:dyDescent="0.25">
      <c r="B314" s="15" t="s">
        <v>513</v>
      </c>
    </row>
    <row r="315" spans="2:2" x14ac:dyDescent="0.25">
      <c r="B315" s="15" t="s">
        <v>605</v>
      </c>
    </row>
    <row r="316" spans="2:2" x14ac:dyDescent="0.25">
      <c r="B316" s="15" t="s">
        <v>583</v>
      </c>
    </row>
    <row r="317" spans="2:2" x14ac:dyDescent="0.25">
      <c r="B317" s="15" t="s">
        <v>606</v>
      </c>
    </row>
    <row r="318" spans="2:2" x14ac:dyDescent="0.25">
      <c r="B318" s="15" t="s">
        <v>607</v>
      </c>
    </row>
    <row r="319" spans="2:2" x14ac:dyDescent="0.25">
      <c r="B319" s="15" t="s">
        <v>608</v>
      </c>
    </row>
    <row r="320" spans="2:2" x14ac:dyDescent="0.25">
      <c r="B320" s="15" t="s">
        <v>609</v>
      </c>
    </row>
    <row r="321" spans="2:2" x14ac:dyDescent="0.25">
      <c r="B321" s="15" t="s">
        <v>610</v>
      </c>
    </row>
    <row r="322" spans="2:2" x14ac:dyDescent="0.25">
      <c r="B322" s="15" t="s">
        <v>611</v>
      </c>
    </row>
    <row r="323" spans="2:2" x14ac:dyDescent="0.25">
      <c r="B323" s="15" t="s">
        <v>612</v>
      </c>
    </row>
    <row r="324" spans="2:2" x14ac:dyDescent="0.25">
      <c r="B324" s="15" t="s">
        <v>613</v>
      </c>
    </row>
    <row r="325" spans="2:2" x14ac:dyDescent="0.25">
      <c r="B325" s="15" t="s">
        <v>614</v>
      </c>
    </row>
    <row r="326" spans="2:2" x14ac:dyDescent="0.25">
      <c r="B326" s="15" t="s">
        <v>583</v>
      </c>
    </row>
    <row r="327" spans="2:2" x14ac:dyDescent="0.25">
      <c r="B327" s="15" t="s">
        <v>615</v>
      </c>
    </row>
    <row r="328" spans="2:2" x14ac:dyDescent="0.25">
      <c r="B328" s="15" t="s">
        <v>616</v>
      </c>
    </row>
    <row r="329" spans="2:2" x14ac:dyDescent="0.25">
      <c r="B329" s="15" t="s">
        <v>617</v>
      </c>
    </row>
    <row r="330" spans="2:2" x14ac:dyDescent="0.25">
      <c r="B330" s="15" t="s">
        <v>618</v>
      </c>
    </row>
    <row r="331" spans="2:2" x14ac:dyDescent="0.25">
      <c r="B331" s="15" t="s">
        <v>619</v>
      </c>
    </row>
    <row r="332" spans="2:2" x14ac:dyDescent="0.25">
      <c r="B332" s="15" t="s">
        <v>620</v>
      </c>
    </row>
    <row r="333" spans="2:2" x14ac:dyDescent="0.25">
      <c r="B333" s="15" t="s">
        <v>436</v>
      </c>
    </row>
    <row r="334" spans="2:2" x14ac:dyDescent="0.25">
      <c r="B334" s="15" t="s">
        <v>440</v>
      </c>
    </row>
  </sheetData>
  <pageMargins left="0.7" right="0.7" top="0.75" bottom="0.75" header="0.3" footer="0.3"/>
  <pageSetup orientation="portrait" r:id="rId1"/>
  <headerFooter differentFirst="1">
    <oddHeader>&amp;LClassification: &amp;"Microsoft Sans Serif,Bold Italic"Confidential</oddHeader>
    <oddFooter>&amp;C_x000D_&amp;1#&amp;"Aptos"&amp;10&amp;K008000 Ejada Public Information</oddFooter>
    <firstHeader>&amp;LClassification: &amp;"Microsoft Sans Serif,Bold Italic"Confidential</firstHeader>
    <firstFooter>&amp;C_x000D_&amp;1#&amp;"Aptos"&amp;10&amp;K008000 Ejada Public Information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59"/>
  <sheetViews>
    <sheetView zoomScaleNormal="100" workbookViewId="0">
      <pane ySplit="1" topLeftCell="A2" activePane="bottomLeft" state="frozen"/>
      <selection activeCell="G12" sqref="G12"/>
      <selection pane="bottomLeft" activeCell="I47" sqref="I4:I47"/>
    </sheetView>
  </sheetViews>
  <sheetFormatPr defaultColWidth="8.5703125" defaultRowHeight="15" x14ac:dyDescent="0.25"/>
  <cols>
    <col min="1" max="1" width="12" customWidth="1"/>
    <col min="2" max="2" width="22" customWidth="1"/>
    <col min="3" max="3" width="28" customWidth="1"/>
    <col min="4" max="4" width="10" customWidth="1"/>
    <col min="5" max="5" width="22" customWidth="1"/>
    <col min="6" max="6" width="12" customWidth="1"/>
    <col min="7" max="7" width="11" customWidth="1"/>
    <col min="8" max="8" width="44" customWidth="1"/>
    <col min="9" max="10" width="14" customWidth="1"/>
    <col min="11" max="11" width="11" customWidth="1"/>
    <col min="12" max="12" width="13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hidden="1" customHeight="1" x14ac:dyDescent="0.25">
      <c r="A2" s="2" t="s">
        <v>12</v>
      </c>
      <c r="B2" s="2" t="s">
        <v>621</v>
      </c>
      <c r="C2" s="2" t="s">
        <v>14</v>
      </c>
      <c r="D2" s="2" t="s">
        <v>622</v>
      </c>
      <c r="E2" s="2" t="s">
        <v>23</v>
      </c>
      <c r="F2" s="2" t="s">
        <v>24</v>
      </c>
      <c r="G2" s="3" t="s">
        <v>25</v>
      </c>
      <c r="H2" s="2" t="s">
        <v>145</v>
      </c>
      <c r="I2" s="9">
        <v>-428</v>
      </c>
      <c r="J2" s="9">
        <v>18873</v>
      </c>
      <c r="K2" s="2" t="s">
        <v>20</v>
      </c>
      <c r="L2" s="2" t="s">
        <v>623</v>
      </c>
    </row>
    <row r="3" spans="1:12" ht="15" hidden="1" customHeight="1" x14ac:dyDescent="0.25">
      <c r="A3" s="4" t="s">
        <v>624</v>
      </c>
      <c r="B3" s="4" t="s">
        <v>625</v>
      </c>
      <c r="C3" s="4" t="s">
        <v>14</v>
      </c>
      <c r="D3" s="4" t="s">
        <v>622</v>
      </c>
      <c r="E3" s="4" t="s">
        <v>33</v>
      </c>
      <c r="F3" s="4" t="s">
        <v>24</v>
      </c>
      <c r="G3" s="5" t="s">
        <v>25</v>
      </c>
      <c r="H3" s="4" t="s">
        <v>48</v>
      </c>
      <c r="I3" s="10">
        <v>-237</v>
      </c>
      <c r="J3" s="10">
        <v>19110</v>
      </c>
      <c r="K3" s="4" t="s">
        <v>20</v>
      </c>
      <c r="L3" s="4" t="s">
        <v>624</v>
      </c>
    </row>
    <row r="4" spans="1:12" ht="15" customHeight="1" x14ac:dyDescent="0.25">
      <c r="A4" s="4" t="s">
        <v>197</v>
      </c>
      <c r="B4" s="4" t="s">
        <v>693</v>
      </c>
      <c r="C4" s="4" t="s">
        <v>14</v>
      </c>
      <c r="D4" s="4" t="s">
        <v>622</v>
      </c>
      <c r="E4" s="4" t="s">
        <v>16</v>
      </c>
      <c r="F4" s="4" t="s">
        <v>17</v>
      </c>
      <c r="G4" s="7" t="s">
        <v>18</v>
      </c>
      <c r="H4" s="4" t="s">
        <v>627</v>
      </c>
      <c r="I4" s="10">
        <v>2900</v>
      </c>
      <c r="J4" s="10">
        <v>19305</v>
      </c>
      <c r="K4" s="4" t="s">
        <v>20</v>
      </c>
      <c r="L4" s="4" t="s">
        <v>197</v>
      </c>
    </row>
    <row r="5" spans="1:12" ht="15" hidden="1" customHeight="1" x14ac:dyDescent="0.25">
      <c r="A5" s="4" t="s">
        <v>21</v>
      </c>
      <c r="B5" s="4" t="s">
        <v>628</v>
      </c>
      <c r="C5" s="4" t="s">
        <v>14</v>
      </c>
      <c r="D5" s="4" t="s">
        <v>622</v>
      </c>
      <c r="E5" s="4" t="s">
        <v>33</v>
      </c>
      <c r="F5" s="4" t="s">
        <v>24</v>
      </c>
      <c r="G5" s="5" t="s">
        <v>25</v>
      </c>
      <c r="H5" s="4" t="s">
        <v>115</v>
      </c>
      <c r="I5" s="10">
        <v>-348</v>
      </c>
      <c r="J5" s="10">
        <v>16558</v>
      </c>
      <c r="K5" s="4" t="s">
        <v>20</v>
      </c>
      <c r="L5" s="4" t="s">
        <v>21</v>
      </c>
    </row>
    <row r="6" spans="1:12" ht="15" hidden="1" customHeight="1" x14ac:dyDescent="0.25">
      <c r="A6" s="2" t="s">
        <v>629</v>
      </c>
      <c r="B6" s="2" t="s">
        <v>630</v>
      </c>
      <c r="C6" s="2" t="s">
        <v>14</v>
      </c>
      <c r="D6" s="2" t="s">
        <v>622</v>
      </c>
      <c r="E6" s="2" t="s">
        <v>23</v>
      </c>
      <c r="F6" s="2" t="s">
        <v>24</v>
      </c>
      <c r="G6" s="3" t="s">
        <v>25</v>
      </c>
      <c r="H6" s="2" t="s">
        <v>45</v>
      </c>
      <c r="I6" s="9">
        <v>-635</v>
      </c>
      <c r="J6" s="9">
        <v>17193</v>
      </c>
      <c r="K6" s="2" t="s">
        <v>20</v>
      </c>
      <c r="L6" s="2" t="s">
        <v>629</v>
      </c>
    </row>
    <row r="7" spans="1:12" ht="15" hidden="1" customHeight="1" x14ac:dyDescent="0.25">
      <c r="A7" s="4" t="s">
        <v>38</v>
      </c>
      <c r="B7" s="4" t="s">
        <v>631</v>
      </c>
      <c r="C7" s="4" t="s">
        <v>14</v>
      </c>
      <c r="D7" s="4" t="s">
        <v>622</v>
      </c>
      <c r="E7" s="4" t="s">
        <v>23</v>
      </c>
      <c r="F7" s="4" t="s">
        <v>24</v>
      </c>
      <c r="G7" s="5" t="s">
        <v>25</v>
      </c>
      <c r="H7" s="4" t="s">
        <v>45</v>
      </c>
      <c r="I7" s="10">
        <v>-144</v>
      </c>
      <c r="J7" s="10">
        <v>17337</v>
      </c>
      <c r="K7" s="4" t="s">
        <v>20</v>
      </c>
      <c r="L7" s="4" t="s">
        <v>38</v>
      </c>
    </row>
    <row r="8" spans="1:12" ht="15" hidden="1" customHeight="1" x14ac:dyDescent="0.25">
      <c r="A8" s="2" t="s">
        <v>49</v>
      </c>
      <c r="B8" s="2" t="s">
        <v>632</v>
      </c>
      <c r="C8" s="2" t="s">
        <v>14</v>
      </c>
      <c r="D8" s="2" t="s">
        <v>622</v>
      </c>
      <c r="E8" s="2" t="s">
        <v>23</v>
      </c>
      <c r="F8" s="2" t="s">
        <v>24</v>
      </c>
      <c r="G8" s="3" t="s">
        <v>25</v>
      </c>
      <c r="H8" s="2" t="s">
        <v>84</v>
      </c>
      <c r="I8" s="9">
        <v>-145</v>
      </c>
      <c r="J8" s="9">
        <v>17482</v>
      </c>
      <c r="K8" s="2" t="s">
        <v>20</v>
      </c>
      <c r="L8" s="2" t="s">
        <v>633</v>
      </c>
    </row>
    <row r="9" spans="1:12" ht="15" hidden="1" customHeight="1" x14ac:dyDescent="0.25">
      <c r="A9" s="4" t="s">
        <v>634</v>
      </c>
      <c r="B9" s="4" t="s">
        <v>635</v>
      </c>
      <c r="C9" s="4" t="s">
        <v>14</v>
      </c>
      <c r="D9" s="4" t="s">
        <v>622</v>
      </c>
      <c r="E9" s="4" t="s">
        <v>23</v>
      </c>
      <c r="F9" s="4" t="s">
        <v>24</v>
      </c>
      <c r="G9" s="5" t="s">
        <v>25</v>
      </c>
      <c r="H9" s="4" t="s">
        <v>37</v>
      </c>
      <c r="I9" s="10">
        <v>-255</v>
      </c>
      <c r="J9" s="10">
        <v>17737</v>
      </c>
      <c r="K9" s="4" t="s">
        <v>20</v>
      </c>
      <c r="L9" s="4" t="s">
        <v>634</v>
      </c>
    </row>
    <row r="10" spans="1:12" ht="15" hidden="1" customHeight="1" x14ac:dyDescent="0.25">
      <c r="A10" s="2" t="s">
        <v>636</v>
      </c>
      <c r="B10" s="2" t="s">
        <v>637</v>
      </c>
      <c r="C10" s="2" t="s">
        <v>14</v>
      </c>
      <c r="D10" s="2" t="s">
        <v>622</v>
      </c>
      <c r="E10" s="2" t="s">
        <v>23</v>
      </c>
      <c r="F10" s="2" t="s">
        <v>24</v>
      </c>
      <c r="G10" s="3" t="s">
        <v>25</v>
      </c>
      <c r="H10" s="2" t="s">
        <v>40</v>
      </c>
      <c r="I10" s="9">
        <v>-428</v>
      </c>
      <c r="J10" s="9">
        <v>18165</v>
      </c>
      <c r="K10" s="2" t="s">
        <v>20</v>
      </c>
      <c r="L10" s="2" t="s">
        <v>636</v>
      </c>
    </row>
    <row r="11" spans="1:12" ht="15" hidden="1" customHeight="1" x14ac:dyDescent="0.25">
      <c r="A11" s="4" t="s">
        <v>56</v>
      </c>
      <c r="B11" s="4" t="s">
        <v>638</v>
      </c>
      <c r="C11" s="4" t="s">
        <v>14</v>
      </c>
      <c r="D11" s="4" t="s">
        <v>622</v>
      </c>
      <c r="E11" s="4" t="s">
        <v>33</v>
      </c>
      <c r="F11" s="4" t="s">
        <v>24</v>
      </c>
      <c r="G11" s="5" t="s">
        <v>25</v>
      </c>
      <c r="H11" s="4" t="s">
        <v>639</v>
      </c>
      <c r="I11" s="10">
        <v>-1000</v>
      </c>
      <c r="J11" s="10">
        <v>19165</v>
      </c>
      <c r="K11" s="4" t="s">
        <v>20</v>
      </c>
      <c r="L11" s="4" t="s">
        <v>56</v>
      </c>
    </row>
    <row r="12" spans="1:12" ht="15" customHeight="1" x14ac:dyDescent="0.25">
      <c r="A12" s="4" t="s">
        <v>174</v>
      </c>
      <c r="B12" s="4" t="s">
        <v>682</v>
      </c>
      <c r="C12" s="4" t="s">
        <v>14</v>
      </c>
      <c r="D12" s="4" t="s">
        <v>622</v>
      </c>
      <c r="E12" s="4" t="s">
        <v>16</v>
      </c>
      <c r="F12" s="4" t="s">
        <v>17</v>
      </c>
      <c r="G12" s="7" t="s">
        <v>18</v>
      </c>
      <c r="H12" s="4" t="s">
        <v>627</v>
      </c>
      <c r="I12" s="10">
        <v>3200</v>
      </c>
      <c r="J12" s="10">
        <v>19099</v>
      </c>
      <c r="K12" s="4" t="s">
        <v>20</v>
      </c>
      <c r="L12" s="4" t="s">
        <v>174</v>
      </c>
    </row>
    <row r="13" spans="1:12" ht="15" hidden="1" customHeight="1" x14ac:dyDescent="0.25">
      <c r="A13" s="4" t="s">
        <v>63</v>
      </c>
      <c r="B13" s="4" t="s">
        <v>641</v>
      </c>
      <c r="C13" s="4" t="s">
        <v>14</v>
      </c>
      <c r="D13" s="4" t="s">
        <v>622</v>
      </c>
      <c r="E13" s="4" t="s">
        <v>33</v>
      </c>
      <c r="F13" s="4" t="s">
        <v>24</v>
      </c>
      <c r="G13" s="5" t="s">
        <v>25</v>
      </c>
      <c r="H13" s="4" t="s">
        <v>34</v>
      </c>
      <c r="I13" s="10">
        <v>-470</v>
      </c>
      <c r="J13" s="10">
        <v>16435</v>
      </c>
      <c r="K13" s="4" t="s">
        <v>20</v>
      </c>
      <c r="L13" s="4" t="s">
        <v>63</v>
      </c>
    </row>
    <row r="14" spans="1:12" ht="15" hidden="1" customHeight="1" x14ac:dyDescent="0.25">
      <c r="A14" s="2" t="s">
        <v>642</v>
      </c>
      <c r="B14" s="2" t="s">
        <v>643</v>
      </c>
      <c r="C14" s="2" t="s">
        <v>14</v>
      </c>
      <c r="D14" s="2" t="s">
        <v>622</v>
      </c>
      <c r="E14" s="2" t="s">
        <v>33</v>
      </c>
      <c r="F14" s="2" t="s">
        <v>24</v>
      </c>
      <c r="G14" s="3" t="s">
        <v>25</v>
      </c>
      <c r="H14" s="2" t="s">
        <v>67</v>
      </c>
      <c r="I14" s="9">
        <v>-309</v>
      </c>
      <c r="J14" s="9">
        <v>16744</v>
      </c>
      <c r="K14" s="2" t="s">
        <v>20</v>
      </c>
      <c r="L14" s="2" t="s">
        <v>642</v>
      </c>
    </row>
    <row r="15" spans="1:12" ht="15" hidden="1" customHeight="1" x14ac:dyDescent="0.25">
      <c r="A15" s="4" t="s">
        <v>644</v>
      </c>
      <c r="B15" s="4" t="s">
        <v>645</v>
      </c>
      <c r="C15" s="4" t="s">
        <v>14</v>
      </c>
      <c r="D15" s="4" t="s">
        <v>622</v>
      </c>
      <c r="E15" s="4" t="s">
        <v>23</v>
      </c>
      <c r="F15" s="4" t="s">
        <v>24</v>
      </c>
      <c r="G15" s="5" t="s">
        <v>25</v>
      </c>
      <c r="H15" s="4" t="s">
        <v>98</v>
      </c>
      <c r="I15" s="10">
        <v>-862</v>
      </c>
      <c r="J15" s="10">
        <v>17606</v>
      </c>
      <c r="K15" s="4" t="s">
        <v>20</v>
      </c>
      <c r="L15" s="4" t="s">
        <v>644</v>
      </c>
    </row>
    <row r="16" spans="1:12" ht="15" hidden="1" customHeight="1" x14ac:dyDescent="0.25">
      <c r="A16" s="2" t="s">
        <v>77</v>
      </c>
      <c r="B16" s="2" t="s">
        <v>646</v>
      </c>
      <c r="C16" s="2" t="s">
        <v>14</v>
      </c>
      <c r="D16" s="2" t="s">
        <v>622</v>
      </c>
      <c r="E16" s="2" t="s">
        <v>54</v>
      </c>
      <c r="F16" s="2" t="s">
        <v>24</v>
      </c>
      <c r="G16" s="3" t="s">
        <v>25</v>
      </c>
      <c r="H16" s="2" t="s">
        <v>647</v>
      </c>
      <c r="I16" s="9">
        <v>-273</v>
      </c>
      <c r="J16" s="9">
        <v>17879</v>
      </c>
      <c r="K16" s="2" t="s">
        <v>20</v>
      </c>
      <c r="L16" s="2" t="s">
        <v>77</v>
      </c>
    </row>
    <row r="17" spans="1:12" ht="15" hidden="1" customHeight="1" x14ac:dyDescent="0.25">
      <c r="A17" s="4" t="s">
        <v>91</v>
      </c>
      <c r="B17" s="4" t="s">
        <v>648</v>
      </c>
      <c r="C17" s="4" t="s">
        <v>14</v>
      </c>
      <c r="D17" s="4" t="s">
        <v>622</v>
      </c>
      <c r="E17" s="4" t="s">
        <v>23</v>
      </c>
      <c r="F17" s="4" t="s">
        <v>24</v>
      </c>
      <c r="G17" s="5" t="s">
        <v>25</v>
      </c>
      <c r="H17" s="4" t="s">
        <v>37</v>
      </c>
      <c r="I17" s="10">
        <v>-738</v>
      </c>
      <c r="J17" s="10">
        <v>18617</v>
      </c>
      <c r="K17" s="4" t="s">
        <v>20</v>
      </c>
      <c r="L17" s="4" t="s">
        <v>91</v>
      </c>
    </row>
    <row r="18" spans="1:12" ht="15" hidden="1" customHeight="1" x14ac:dyDescent="0.25">
      <c r="A18" s="2" t="s">
        <v>91</v>
      </c>
      <c r="B18" s="2" t="s">
        <v>649</v>
      </c>
      <c r="C18" s="2" t="s">
        <v>14</v>
      </c>
      <c r="D18" s="2" t="s">
        <v>622</v>
      </c>
      <c r="E18" s="2" t="s">
        <v>33</v>
      </c>
      <c r="F18" s="2" t="s">
        <v>24</v>
      </c>
      <c r="G18" s="3" t="s">
        <v>25</v>
      </c>
      <c r="H18" s="2" t="s">
        <v>639</v>
      </c>
      <c r="I18" s="9">
        <v>-1000</v>
      </c>
      <c r="J18" s="9">
        <v>19617</v>
      </c>
      <c r="K18" s="2" t="s">
        <v>20</v>
      </c>
      <c r="L18" s="2" t="s">
        <v>91</v>
      </c>
    </row>
    <row r="19" spans="1:12" ht="15" hidden="1" customHeight="1" x14ac:dyDescent="0.25">
      <c r="A19" s="4" t="s">
        <v>96</v>
      </c>
      <c r="B19" s="4" t="s">
        <v>650</v>
      </c>
      <c r="C19" s="4" t="s">
        <v>14</v>
      </c>
      <c r="D19" s="4" t="s">
        <v>622</v>
      </c>
      <c r="E19" s="4" t="s">
        <v>23</v>
      </c>
      <c r="F19" s="4" t="s">
        <v>24</v>
      </c>
      <c r="G19" s="5" t="s">
        <v>25</v>
      </c>
      <c r="H19" s="4" t="s">
        <v>26</v>
      </c>
      <c r="I19" s="10">
        <v>-248</v>
      </c>
      <c r="J19" s="10">
        <v>19865</v>
      </c>
      <c r="K19" s="4" t="s">
        <v>20</v>
      </c>
      <c r="L19" s="4" t="s">
        <v>96</v>
      </c>
    </row>
    <row r="20" spans="1:12" ht="15" customHeight="1" x14ac:dyDescent="0.25">
      <c r="A20" s="4" t="s">
        <v>665</v>
      </c>
      <c r="B20" s="4" t="s">
        <v>666</v>
      </c>
      <c r="C20" s="4" t="s">
        <v>14</v>
      </c>
      <c r="D20" s="4" t="s">
        <v>622</v>
      </c>
      <c r="E20" s="4" t="s">
        <v>16</v>
      </c>
      <c r="F20" s="4" t="s">
        <v>17</v>
      </c>
      <c r="G20" s="7" t="s">
        <v>18</v>
      </c>
      <c r="H20" s="4" t="s">
        <v>627</v>
      </c>
      <c r="I20" s="10">
        <v>2800</v>
      </c>
      <c r="J20" s="10">
        <v>17894</v>
      </c>
      <c r="K20" s="4" t="s">
        <v>20</v>
      </c>
      <c r="L20" s="4" t="s">
        <v>665</v>
      </c>
    </row>
    <row r="21" spans="1:12" ht="15" hidden="1" customHeight="1" x14ac:dyDescent="0.25">
      <c r="A21" s="4" t="s">
        <v>653</v>
      </c>
      <c r="B21" s="4" t="s">
        <v>654</v>
      </c>
      <c r="C21" s="4" t="s">
        <v>14</v>
      </c>
      <c r="D21" s="4" t="s">
        <v>622</v>
      </c>
      <c r="E21" s="4" t="s">
        <v>23</v>
      </c>
      <c r="F21" s="4" t="s">
        <v>24</v>
      </c>
      <c r="G21" s="5" t="s">
        <v>25</v>
      </c>
      <c r="H21" s="4" t="s">
        <v>145</v>
      </c>
      <c r="I21" s="10">
        <v>-804</v>
      </c>
      <c r="J21" s="10">
        <v>17569</v>
      </c>
      <c r="K21" s="4" t="s">
        <v>20</v>
      </c>
      <c r="L21" s="4" t="s">
        <v>653</v>
      </c>
    </row>
    <row r="22" spans="1:12" ht="15" hidden="1" customHeight="1" x14ac:dyDescent="0.25">
      <c r="A22" s="2" t="s">
        <v>110</v>
      </c>
      <c r="B22" s="2" t="s">
        <v>655</v>
      </c>
      <c r="C22" s="2" t="s">
        <v>14</v>
      </c>
      <c r="D22" s="2" t="s">
        <v>622</v>
      </c>
      <c r="E22" s="2" t="s">
        <v>54</v>
      </c>
      <c r="F22" s="2" t="s">
        <v>24</v>
      </c>
      <c r="G22" s="3" t="s">
        <v>25</v>
      </c>
      <c r="H22" s="2" t="s">
        <v>55</v>
      </c>
      <c r="I22" s="9">
        <v>-248</v>
      </c>
      <c r="J22" s="9">
        <v>17817</v>
      </c>
      <c r="K22" s="2" t="s">
        <v>20</v>
      </c>
      <c r="L22" s="2" t="s">
        <v>656</v>
      </c>
    </row>
    <row r="23" spans="1:12" ht="15" hidden="1" customHeight="1" x14ac:dyDescent="0.25">
      <c r="A23" s="4" t="s">
        <v>657</v>
      </c>
      <c r="B23" s="4" t="s">
        <v>658</v>
      </c>
      <c r="C23" s="4" t="s">
        <v>14</v>
      </c>
      <c r="D23" s="4" t="s">
        <v>622</v>
      </c>
      <c r="E23" s="4" t="s">
        <v>33</v>
      </c>
      <c r="F23" s="4" t="s">
        <v>24</v>
      </c>
      <c r="G23" s="5" t="s">
        <v>25</v>
      </c>
      <c r="H23" s="4" t="s">
        <v>67</v>
      </c>
      <c r="I23" s="10">
        <v>-299</v>
      </c>
      <c r="J23" s="10">
        <v>18116</v>
      </c>
      <c r="K23" s="4" t="s">
        <v>20</v>
      </c>
      <c r="L23" s="4" t="s">
        <v>110</v>
      </c>
    </row>
    <row r="24" spans="1:12" ht="15" hidden="1" customHeight="1" x14ac:dyDescent="0.25">
      <c r="A24" s="2" t="s">
        <v>113</v>
      </c>
      <c r="B24" s="2" t="s">
        <v>659</v>
      </c>
      <c r="C24" s="2" t="s">
        <v>14</v>
      </c>
      <c r="D24" s="2" t="s">
        <v>622</v>
      </c>
      <c r="E24" s="2" t="s">
        <v>33</v>
      </c>
      <c r="F24" s="2" t="s">
        <v>24</v>
      </c>
      <c r="G24" s="3" t="s">
        <v>25</v>
      </c>
      <c r="H24" s="2" t="s">
        <v>34</v>
      </c>
      <c r="I24" s="9">
        <v>-395</v>
      </c>
      <c r="J24" s="9">
        <v>18511</v>
      </c>
      <c r="K24" s="2" t="s">
        <v>20</v>
      </c>
      <c r="L24" s="2" t="s">
        <v>113</v>
      </c>
    </row>
    <row r="25" spans="1:12" ht="15" hidden="1" customHeight="1" x14ac:dyDescent="0.25">
      <c r="A25" s="4" t="s">
        <v>660</v>
      </c>
      <c r="B25" s="4" t="s">
        <v>661</v>
      </c>
      <c r="C25" s="4" t="s">
        <v>14</v>
      </c>
      <c r="D25" s="4" t="s">
        <v>622</v>
      </c>
      <c r="E25" s="4" t="s">
        <v>23</v>
      </c>
      <c r="F25" s="4" t="s">
        <v>24</v>
      </c>
      <c r="G25" s="5" t="s">
        <v>25</v>
      </c>
      <c r="H25" s="4" t="s">
        <v>37</v>
      </c>
      <c r="I25" s="10">
        <v>-769</v>
      </c>
      <c r="J25" s="10">
        <v>19280</v>
      </c>
      <c r="K25" s="4" t="s">
        <v>20</v>
      </c>
      <c r="L25" s="4" t="s">
        <v>660</v>
      </c>
    </row>
    <row r="26" spans="1:12" ht="15" hidden="1" customHeight="1" x14ac:dyDescent="0.25">
      <c r="A26" s="2" t="s">
        <v>131</v>
      </c>
      <c r="B26" s="2" t="s">
        <v>662</v>
      </c>
      <c r="C26" s="2" t="s">
        <v>14</v>
      </c>
      <c r="D26" s="2" t="s">
        <v>622</v>
      </c>
      <c r="E26" s="2" t="s">
        <v>23</v>
      </c>
      <c r="F26" s="2" t="s">
        <v>24</v>
      </c>
      <c r="G26" s="3" t="s">
        <v>25</v>
      </c>
      <c r="H26" s="2" t="s">
        <v>26</v>
      </c>
      <c r="I26" s="9">
        <v>-285</v>
      </c>
      <c r="J26" s="9">
        <v>19565</v>
      </c>
      <c r="K26" s="2" t="s">
        <v>20</v>
      </c>
      <c r="L26" s="2" t="s">
        <v>131</v>
      </c>
    </row>
    <row r="27" spans="1:12" ht="15" hidden="1" customHeight="1" x14ac:dyDescent="0.25">
      <c r="A27" s="4" t="s">
        <v>133</v>
      </c>
      <c r="B27" s="4" t="s">
        <v>663</v>
      </c>
      <c r="C27" s="4" t="s">
        <v>14</v>
      </c>
      <c r="D27" s="4" t="s">
        <v>622</v>
      </c>
      <c r="E27" s="4" t="s">
        <v>33</v>
      </c>
      <c r="F27" s="4" t="s">
        <v>24</v>
      </c>
      <c r="G27" s="5" t="s">
        <v>25</v>
      </c>
      <c r="H27" s="4" t="s">
        <v>639</v>
      </c>
      <c r="I27" s="10">
        <v>-1000</v>
      </c>
      <c r="J27" s="10">
        <v>20565</v>
      </c>
      <c r="K27" s="4" t="s">
        <v>20</v>
      </c>
      <c r="L27" s="4" t="s">
        <v>133</v>
      </c>
    </row>
    <row r="28" spans="1:12" ht="15" hidden="1" customHeight="1" x14ac:dyDescent="0.25">
      <c r="A28" s="2" t="s">
        <v>139</v>
      </c>
      <c r="B28" s="2" t="s">
        <v>664</v>
      </c>
      <c r="C28" s="2" t="s">
        <v>14</v>
      </c>
      <c r="D28" s="2" t="s">
        <v>622</v>
      </c>
      <c r="E28" s="2" t="s">
        <v>23</v>
      </c>
      <c r="F28" s="2" t="s">
        <v>24</v>
      </c>
      <c r="G28" s="3" t="s">
        <v>25</v>
      </c>
      <c r="H28" s="2" t="s">
        <v>84</v>
      </c>
      <c r="I28" s="9">
        <v>-129</v>
      </c>
      <c r="J28" s="9">
        <v>20694</v>
      </c>
      <c r="K28" s="2" t="s">
        <v>20</v>
      </c>
      <c r="L28" s="2" t="s">
        <v>139</v>
      </c>
    </row>
    <row r="29" spans="1:12" ht="15" customHeight="1" x14ac:dyDescent="0.25">
      <c r="A29" s="2" t="s">
        <v>651</v>
      </c>
      <c r="B29" s="2" t="s">
        <v>652</v>
      </c>
      <c r="C29" s="2" t="s">
        <v>14</v>
      </c>
      <c r="D29" s="2" t="s">
        <v>622</v>
      </c>
      <c r="E29" s="2" t="s">
        <v>16</v>
      </c>
      <c r="F29" s="2" t="s">
        <v>17</v>
      </c>
      <c r="G29" s="6" t="s">
        <v>18</v>
      </c>
      <c r="H29" s="2" t="s">
        <v>627</v>
      </c>
      <c r="I29" s="101">
        <v>3100</v>
      </c>
      <c r="J29" s="9">
        <v>16765</v>
      </c>
      <c r="K29" s="2" t="s">
        <v>20</v>
      </c>
      <c r="L29" s="2" t="s">
        <v>651</v>
      </c>
    </row>
    <row r="30" spans="1:12" ht="15" hidden="1" customHeight="1" x14ac:dyDescent="0.25">
      <c r="A30" s="2" t="s">
        <v>143</v>
      </c>
      <c r="B30" s="2" t="s">
        <v>667</v>
      </c>
      <c r="C30" s="2" t="s">
        <v>14</v>
      </c>
      <c r="D30" s="2" t="s">
        <v>622</v>
      </c>
      <c r="E30" s="2" t="s">
        <v>33</v>
      </c>
      <c r="F30" s="2" t="s">
        <v>24</v>
      </c>
      <c r="G30" s="3" t="s">
        <v>25</v>
      </c>
      <c r="H30" s="2" t="s">
        <v>190</v>
      </c>
      <c r="I30" s="9">
        <v>-287</v>
      </c>
      <c r="J30" s="9">
        <v>18181</v>
      </c>
      <c r="K30" s="2" t="s">
        <v>20</v>
      </c>
      <c r="L30" s="2" t="s">
        <v>143</v>
      </c>
    </row>
    <row r="31" spans="1:12" ht="15" hidden="1" customHeight="1" x14ac:dyDescent="0.25">
      <c r="A31" s="4" t="s">
        <v>668</v>
      </c>
      <c r="B31" s="4" t="s">
        <v>669</v>
      </c>
      <c r="C31" s="4" t="s">
        <v>14</v>
      </c>
      <c r="D31" s="4" t="s">
        <v>622</v>
      </c>
      <c r="E31" s="4" t="s">
        <v>33</v>
      </c>
      <c r="F31" s="4" t="s">
        <v>24</v>
      </c>
      <c r="G31" s="5" t="s">
        <v>25</v>
      </c>
      <c r="H31" s="4" t="s">
        <v>115</v>
      </c>
      <c r="I31" s="10">
        <v>-411</v>
      </c>
      <c r="J31" s="10">
        <v>18592</v>
      </c>
      <c r="K31" s="4" t="s">
        <v>20</v>
      </c>
      <c r="L31" s="4" t="s">
        <v>668</v>
      </c>
    </row>
    <row r="32" spans="1:12" ht="15" hidden="1" customHeight="1" x14ac:dyDescent="0.25">
      <c r="A32" s="2" t="s">
        <v>670</v>
      </c>
      <c r="B32" s="2" t="s">
        <v>671</v>
      </c>
      <c r="C32" s="2" t="s">
        <v>14</v>
      </c>
      <c r="D32" s="2" t="s">
        <v>622</v>
      </c>
      <c r="E32" s="2" t="s">
        <v>23</v>
      </c>
      <c r="F32" s="2" t="s">
        <v>24</v>
      </c>
      <c r="G32" s="3" t="s">
        <v>25</v>
      </c>
      <c r="H32" s="2" t="s">
        <v>98</v>
      </c>
      <c r="I32" s="9">
        <v>-419</v>
      </c>
      <c r="J32" s="9">
        <v>19011</v>
      </c>
      <c r="K32" s="2" t="s">
        <v>20</v>
      </c>
      <c r="L32" s="2" t="s">
        <v>670</v>
      </c>
    </row>
    <row r="33" spans="1:12" ht="15" hidden="1" customHeight="1" x14ac:dyDescent="0.25">
      <c r="A33" s="4" t="s">
        <v>672</v>
      </c>
      <c r="B33" s="4" t="s">
        <v>673</v>
      </c>
      <c r="C33" s="4" t="s">
        <v>14</v>
      </c>
      <c r="D33" s="4" t="s">
        <v>622</v>
      </c>
      <c r="E33" s="4" t="s">
        <v>23</v>
      </c>
      <c r="F33" s="4" t="s">
        <v>24</v>
      </c>
      <c r="G33" s="5" t="s">
        <v>25</v>
      </c>
      <c r="H33" s="4" t="s">
        <v>72</v>
      </c>
      <c r="I33" s="10">
        <v>-420</v>
      </c>
      <c r="J33" s="10">
        <v>19431</v>
      </c>
      <c r="K33" s="4" t="s">
        <v>20</v>
      </c>
      <c r="L33" s="4" t="s">
        <v>672</v>
      </c>
    </row>
    <row r="34" spans="1:12" ht="15" hidden="1" customHeight="1" x14ac:dyDescent="0.25">
      <c r="A34" s="2" t="s">
        <v>674</v>
      </c>
      <c r="B34" s="2" t="s">
        <v>675</v>
      </c>
      <c r="C34" s="2" t="s">
        <v>14</v>
      </c>
      <c r="D34" s="2" t="s">
        <v>622</v>
      </c>
      <c r="E34" s="2" t="s">
        <v>23</v>
      </c>
      <c r="F34" s="2" t="s">
        <v>24</v>
      </c>
      <c r="G34" s="3" t="s">
        <v>25</v>
      </c>
      <c r="H34" s="2" t="s">
        <v>37</v>
      </c>
      <c r="I34" s="9">
        <v>-806</v>
      </c>
      <c r="J34" s="9">
        <v>20237</v>
      </c>
      <c r="K34" s="2" t="s">
        <v>20</v>
      </c>
      <c r="L34" s="2" t="s">
        <v>674</v>
      </c>
    </row>
    <row r="35" spans="1:12" ht="15" hidden="1" customHeight="1" x14ac:dyDescent="0.25">
      <c r="A35" s="4" t="s">
        <v>162</v>
      </c>
      <c r="B35" s="4" t="s">
        <v>676</v>
      </c>
      <c r="C35" s="4" t="s">
        <v>14</v>
      </c>
      <c r="D35" s="4" t="s">
        <v>622</v>
      </c>
      <c r="E35" s="4" t="s">
        <v>23</v>
      </c>
      <c r="F35" s="4" t="s">
        <v>24</v>
      </c>
      <c r="G35" s="5" t="s">
        <v>25</v>
      </c>
      <c r="H35" s="4" t="s">
        <v>84</v>
      </c>
      <c r="I35" s="10">
        <v>-128</v>
      </c>
      <c r="J35" s="10">
        <v>20365</v>
      </c>
      <c r="K35" s="4" t="s">
        <v>20</v>
      </c>
      <c r="L35" s="4" t="s">
        <v>162</v>
      </c>
    </row>
    <row r="36" spans="1:12" ht="15" hidden="1" customHeight="1" x14ac:dyDescent="0.25">
      <c r="A36" s="2" t="s">
        <v>167</v>
      </c>
      <c r="B36" s="2" t="s">
        <v>677</v>
      </c>
      <c r="C36" s="2" t="s">
        <v>14</v>
      </c>
      <c r="D36" s="2" t="s">
        <v>622</v>
      </c>
      <c r="E36" s="2" t="s">
        <v>33</v>
      </c>
      <c r="F36" s="2" t="s">
        <v>24</v>
      </c>
      <c r="G36" s="3" t="s">
        <v>25</v>
      </c>
      <c r="H36" s="2" t="s">
        <v>639</v>
      </c>
      <c r="I36" s="9">
        <v>-1000</v>
      </c>
      <c r="J36" s="9">
        <v>21365</v>
      </c>
      <c r="K36" s="2" t="s">
        <v>20</v>
      </c>
      <c r="L36" s="2" t="s">
        <v>167</v>
      </c>
    </row>
    <row r="37" spans="1:12" ht="15" hidden="1" customHeight="1" x14ac:dyDescent="0.25">
      <c r="A37" s="4" t="s">
        <v>678</v>
      </c>
      <c r="B37" s="4" t="s">
        <v>679</v>
      </c>
      <c r="C37" s="4" t="s">
        <v>14</v>
      </c>
      <c r="D37" s="4" t="s">
        <v>622</v>
      </c>
      <c r="E37" s="4" t="s">
        <v>23</v>
      </c>
      <c r="F37" s="4" t="s">
        <v>24</v>
      </c>
      <c r="G37" s="5" t="s">
        <v>25</v>
      </c>
      <c r="H37" s="4" t="s">
        <v>37</v>
      </c>
      <c r="I37" s="10">
        <v>-679</v>
      </c>
      <c r="J37" s="10">
        <v>22044</v>
      </c>
      <c r="K37" s="4" t="s">
        <v>20</v>
      </c>
      <c r="L37" s="4" t="s">
        <v>678</v>
      </c>
    </row>
    <row r="38" spans="1:12" ht="15" hidden="1" customHeight="1" x14ac:dyDescent="0.25">
      <c r="A38" s="2" t="s">
        <v>680</v>
      </c>
      <c r="B38" s="2" t="s">
        <v>681</v>
      </c>
      <c r="C38" s="2" t="s">
        <v>14</v>
      </c>
      <c r="D38" s="2" t="s">
        <v>622</v>
      </c>
      <c r="E38" s="2" t="s">
        <v>54</v>
      </c>
      <c r="F38" s="2" t="s">
        <v>24</v>
      </c>
      <c r="G38" s="3" t="s">
        <v>25</v>
      </c>
      <c r="H38" s="2" t="s">
        <v>55</v>
      </c>
      <c r="I38" s="9">
        <v>-255</v>
      </c>
      <c r="J38" s="9">
        <v>22299</v>
      </c>
      <c r="K38" s="2" t="s">
        <v>20</v>
      </c>
      <c r="L38" s="2" t="s">
        <v>680</v>
      </c>
    </row>
    <row r="39" spans="1:12" ht="15" customHeight="1" x14ac:dyDescent="0.25">
      <c r="A39" s="2" t="s">
        <v>61</v>
      </c>
      <c r="B39" s="2" t="s">
        <v>640</v>
      </c>
      <c r="C39" s="2" t="s">
        <v>14</v>
      </c>
      <c r="D39" s="2" t="s">
        <v>622</v>
      </c>
      <c r="E39" s="2" t="s">
        <v>16</v>
      </c>
      <c r="F39" s="2" t="s">
        <v>17</v>
      </c>
      <c r="G39" s="6" t="s">
        <v>18</v>
      </c>
      <c r="H39" s="2" t="s">
        <v>627</v>
      </c>
      <c r="I39" s="101">
        <v>3200</v>
      </c>
      <c r="J39" s="9">
        <v>15965</v>
      </c>
      <c r="K39" s="2" t="s">
        <v>20</v>
      </c>
      <c r="L39" s="2" t="s">
        <v>61</v>
      </c>
    </row>
    <row r="40" spans="1:12" ht="15" hidden="1" customHeight="1" x14ac:dyDescent="0.25">
      <c r="A40" s="2" t="s">
        <v>174</v>
      </c>
      <c r="B40" s="2" t="s">
        <v>683</v>
      </c>
      <c r="C40" s="2" t="s">
        <v>14</v>
      </c>
      <c r="D40" s="2" t="s">
        <v>622</v>
      </c>
      <c r="E40" s="2" t="s">
        <v>23</v>
      </c>
      <c r="F40" s="2" t="s">
        <v>24</v>
      </c>
      <c r="G40" s="3" t="s">
        <v>25</v>
      </c>
      <c r="H40" s="2" t="s">
        <v>72</v>
      </c>
      <c r="I40" s="9">
        <v>-473</v>
      </c>
      <c r="J40" s="9">
        <v>19572</v>
      </c>
      <c r="K40" s="2" t="s">
        <v>20</v>
      </c>
      <c r="L40" s="2" t="s">
        <v>174</v>
      </c>
    </row>
    <row r="41" spans="1:12" ht="15" hidden="1" customHeight="1" x14ac:dyDescent="0.25">
      <c r="A41" s="4" t="s">
        <v>179</v>
      </c>
      <c r="B41" s="4" t="s">
        <v>684</v>
      </c>
      <c r="C41" s="4" t="s">
        <v>14</v>
      </c>
      <c r="D41" s="4" t="s">
        <v>622</v>
      </c>
      <c r="E41" s="4" t="s">
        <v>33</v>
      </c>
      <c r="F41" s="4" t="s">
        <v>24</v>
      </c>
      <c r="G41" s="5" t="s">
        <v>25</v>
      </c>
      <c r="H41" s="4" t="s">
        <v>190</v>
      </c>
      <c r="I41" s="10">
        <v>-262</v>
      </c>
      <c r="J41" s="10">
        <v>19834</v>
      </c>
      <c r="K41" s="4" t="s">
        <v>20</v>
      </c>
      <c r="L41" s="4" t="s">
        <v>179</v>
      </c>
    </row>
    <row r="42" spans="1:12" ht="15" hidden="1" customHeight="1" x14ac:dyDescent="0.25">
      <c r="A42" s="2" t="s">
        <v>685</v>
      </c>
      <c r="B42" s="2" t="s">
        <v>686</v>
      </c>
      <c r="C42" s="2" t="s">
        <v>14</v>
      </c>
      <c r="D42" s="2" t="s">
        <v>622</v>
      </c>
      <c r="E42" s="2" t="s">
        <v>33</v>
      </c>
      <c r="F42" s="2" t="s">
        <v>24</v>
      </c>
      <c r="G42" s="3" t="s">
        <v>25</v>
      </c>
      <c r="H42" s="2" t="s">
        <v>34</v>
      </c>
      <c r="I42" s="9">
        <v>-495</v>
      </c>
      <c r="J42" s="9">
        <v>20329</v>
      </c>
      <c r="K42" s="2" t="s">
        <v>20</v>
      </c>
      <c r="L42" s="2" t="s">
        <v>685</v>
      </c>
    </row>
    <row r="43" spans="1:12" ht="15" hidden="1" customHeight="1" x14ac:dyDescent="0.25">
      <c r="A43" s="4" t="s">
        <v>687</v>
      </c>
      <c r="B43" s="4" t="s">
        <v>688</v>
      </c>
      <c r="C43" s="4" t="s">
        <v>14</v>
      </c>
      <c r="D43" s="4" t="s">
        <v>622</v>
      </c>
      <c r="E43" s="4" t="s">
        <v>23</v>
      </c>
      <c r="F43" s="4" t="s">
        <v>24</v>
      </c>
      <c r="G43" s="5" t="s">
        <v>25</v>
      </c>
      <c r="H43" s="4" t="s">
        <v>145</v>
      </c>
      <c r="I43" s="10">
        <v>-473</v>
      </c>
      <c r="J43" s="10">
        <v>20802</v>
      </c>
      <c r="K43" s="4" t="s">
        <v>20</v>
      </c>
      <c r="L43" s="4" t="s">
        <v>687</v>
      </c>
    </row>
    <row r="44" spans="1:12" ht="15" hidden="1" customHeight="1" x14ac:dyDescent="0.25">
      <c r="A44" s="2" t="s">
        <v>689</v>
      </c>
      <c r="B44" s="2" t="s">
        <v>690</v>
      </c>
      <c r="C44" s="2" t="s">
        <v>14</v>
      </c>
      <c r="D44" s="2" t="s">
        <v>622</v>
      </c>
      <c r="E44" s="2" t="s">
        <v>23</v>
      </c>
      <c r="F44" s="2" t="s">
        <v>24</v>
      </c>
      <c r="G44" s="3" t="s">
        <v>25</v>
      </c>
      <c r="H44" s="2" t="s">
        <v>84</v>
      </c>
      <c r="I44" s="9">
        <v>-263</v>
      </c>
      <c r="J44" s="9">
        <v>21065</v>
      </c>
      <c r="K44" s="2" t="s">
        <v>20</v>
      </c>
      <c r="L44" s="2" t="s">
        <v>689</v>
      </c>
    </row>
    <row r="45" spans="1:12" ht="15" hidden="1" customHeight="1" x14ac:dyDescent="0.25">
      <c r="A45" s="4" t="s">
        <v>193</v>
      </c>
      <c r="B45" s="4" t="s">
        <v>691</v>
      </c>
      <c r="C45" s="4" t="s">
        <v>14</v>
      </c>
      <c r="D45" s="4" t="s">
        <v>622</v>
      </c>
      <c r="E45" s="4" t="s">
        <v>33</v>
      </c>
      <c r="F45" s="4" t="s">
        <v>24</v>
      </c>
      <c r="G45" s="5" t="s">
        <v>25</v>
      </c>
      <c r="H45" s="4" t="s">
        <v>639</v>
      </c>
      <c r="I45" s="10">
        <v>-1000</v>
      </c>
      <c r="J45" s="10">
        <v>22065</v>
      </c>
      <c r="K45" s="4" t="s">
        <v>20</v>
      </c>
      <c r="L45" s="4" t="s">
        <v>193</v>
      </c>
    </row>
    <row r="46" spans="1:12" ht="15" hidden="1" customHeight="1" x14ac:dyDescent="0.25">
      <c r="A46" s="2" t="s">
        <v>197</v>
      </c>
      <c r="B46" s="2" t="s">
        <v>692</v>
      </c>
      <c r="C46" s="2" t="s">
        <v>14</v>
      </c>
      <c r="D46" s="2" t="s">
        <v>622</v>
      </c>
      <c r="E46" s="2" t="s">
        <v>23</v>
      </c>
      <c r="F46" s="2" t="s">
        <v>24</v>
      </c>
      <c r="G46" s="3" t="s">
        <v>25</v>
      </c>
      <c r="H46" s="2" t="s">
        <v>84</v>
      </c>
      <c r="I46" s="9">
        <v>-140</v>
      </c>
      <c r="J46" s="9">
        <v>22205</v>
      </c>
      <c r="K46" s="2" t="s">
        <v>20</v>
      </c>
      <c r="L46" s="2" t="s">
        <v>197</v>
      </c>
    </row>
    <row r="47" spans="1:12" ht="15" customHeight="1" x14ac:dyDescent="0.25">
      <c r="A47" s="2" t="s">
        <v>624</v>
      </c>
      <c r="B47" s="2" t="s">
        <v>626</v>
      </c>
      <c r="C47" s="2" t="s">
        <v>14</v>
      </c>
      <c r="D47" s="2" t="s">
        <v>622</v>
      </c>
      <c r="E47" s="2" t="s">
        <v>16</v>
      </c>
      <c r="F47" s="2" t="s">
        <v>17</v>
      </c>
      <c r="G47" s="6" t="s">
        <v>18</v>
      </c>
      <c r="H47" s="2" t="s">
        <v>627</v>
      </c>
      <c r="I47" s="101">
        <v>2900</v>
      </c>
      <c r="J47" s="9">
        <v>16210</v>
      </c>
      <c r="K47" s="2" t="s">
        <v>20</v>
      </c>
      <c r="L47" s="2" t="s">
        <v>624</v>
      </c>
    </row>
    <row r="48" spans="1:12" ht="15" hidden="1" customHeight="1" x14ac:dyDescent="0.25">
      <c r="A48" s="2" t="s">
        <v>205</v>
      </c>
      <c r="B48" s="2" t="s">
        <v>694</v>
      </c>
      <c r="C48" s="2" t="s">
        <v>14</v>
      </c>
      <c r="D48" s="2" t="s">
        <v>622</v>
      </c>
      <c r="E48" s="2" t="s">
        <v>23</v>
      </c>
      <c r="F48" s="2" t="s">
        <v>24</v>
      </c>
      <c r="G48" s="3" t="s">
        <v>25</v>
      </c>
      <c r="H48" s="2" t="s">
        <v>84</v>
      </c>
      <c r="I48" s="9">
        <v>-139</v>
      </c>
      <c r="J48" s="9">
        <v>19444</v>
      </c>
      <c r="K48" s="2" t="s">
        <v>20</v>
      </c>
      <c r="L48" s="2" t="s">
        <v>205</v>
      </c>
    </row>
    <row r="49" spans="1:12" ht="15" hidden="1" customHeight="1" x14ac:dyDescent="0.25">
      <c r="A49" s="4" t="s">
        <v>695</v>
      </c>
      <c r="B49" s="4" t="s">
        <v>696</v>
      </c>
      <c r="C49" s="4" t="s">
        <v>14</v>
      </c>
      <c r="D49" s="4" t="s">
        <v>622</v>
      </c>
      <c r="E49" s="4" t="s">
        <v>23</v>
      </c>
      <c r="F49" s="4" t="s">
        <v>24</v>
      </c>
      <c r="G49" s="5" t="s">
        <v>25</v>
      </c>
      <c r="H49" s="4" t="s">
        <v>81</v>
      </c>
      <c r="I49" s="10">
        <v>-911</v>
      </c>
      <c r="J49" s="10">
        <v>20355</v>
      </c>
      <c r="K49" s="4" t="s">
        <v>20</v>
      </c>
      <c r="L49" s="4" t="s">
        <v>695</v>
      </c>
    </row>
    <row r="50" spans="1:12" ht="15" hidden="1" customHeight="1" x14ac:dyDescent="0.25">
      <c r="A50" s="2" t="s">
        <v>697</v>
      </c>
      <c r="B50" s="2" t="s">
        <v>698</v>
      </c>
      <c r="C50" s="2" t="s">
        <v>14</v>
      </c>
      <c r="D50" s="2" t="s">
        <v>622</v>
      </c>
      <c r="E50" s="2" t="s">
        <v>33</v>
      </c>
      <c r="F50" s="2" t="s">
        <v>24</v>
      </c>
      <c r="G50" s="3" t="s">
        <v>25</v>
      </c>
      <c r="H50" s="2" t="s">
        <v>34</v>
      </c>
      <c r="I50" s="9">
        <v>-440</v>
      </c>
      <c r="J50" s="9">
        <v>20795</v>
      </c>
      <c r="K50" s="2" t="s">
        <v>20</v>
      </c>
      <c r="L50" s="2" t="s">
        <v>697</v>
      </c>
    </row>
    <row r="51" spans="1:12" ht="15" hidden="1" customHeight="1" x14ac:dyDescent="0.25">
      <c r="A51" s="4" t="s">
        <v>211</v>
      </c>
      <c r="B51" s="4" t="s">
        <v>699</v>
      </c>
      <c r="C51" s="4" t="s">
        <v>14</v>
      </c>
      <c r="D51" s="4" t="s">
        <v>622</v>
      </c>
      <c r="E51" s="4" t="s">
        <v>23</v>
      </c>
      <c r="F51" s="4" t="s">
        <v>24</v>
      </c>
      <c r="G51" s="5" t="s">
        <v>25</v>
      </c>
      <c r="H51" s="4" t="s">
        <v>45</v>
      </c>
      <c r="I51" s="10">
        <v>-565</v>
      </c>
      <c r="J51" s="10">
        <v>21360</v>
      </c>
      <c r="K51" s="4" t="s">
        <v>20</v>
      </c>
      <c r="L51" s="4" t="s">
        <v>211</v>
      </c>
    </row>
    <row r="52" spans="1:12" ht="15" hidden="1" customHeight="1" x14ac:dyDescent="0.25">
      <c r="A52" s="2" t="s">
        <v>700</v>
      </c>
      <c r="B52" s="2" t="s">
        <v>701</v>
      </c>
      <c r="C52" s="2" t="s">
        <v>14</v>
      </c>
      <c r="D52" s="2" t="s">
        <v>622</v>
      </c>
      <c r="E52" s="2" t="s">
        <v>54</v>
      </c>
      <c r="F52" s="2" t="s">
        <v>24</v>
      </c>
      <c r="G52" s="3" t="s">
        <v>25</v>
      </c>
      <c r="H52" s="2" t="s">
        <v>647</v>
      </c>
      <c r="I52" s="9">
        <v>-315</v>
      </c>
      <c r="J52" s="9">
        <v>18873</v>
      </c>
      <c r="K52" s="2" t="s">
        <v>20</v>
      </c>
      <c r="L52" s="2" t="s">
        <v>700</v>
      </c>
    </row>
    <row r="53" spans="1:12" ht="15" hidden="1" customHeight="1" x14ac:dyDescent="0.25">
      <c r="A53" s="4" t="s">
        <v>219</v>
      </c>
      <c r="B53" s="4" t="s">
        <v>702</v>
      </c>
      <c r="C53" s="4" t="s">
        <v>14</v>
      </c>
      <c r="D53" s="4" t="s">
        <v>622</v>
      </c>
      <c r="E53" s="4" t="s">
        <v>33</v>
      </c>
      <c r="F53" s="4" t="s">
        <v>24</v>
      </c>
      <c r="G53" s="5" t="s">
        <v>25</v>
      </c>
      <c r="H53" s="4" t="s">
        <v>48</v>
      </c>
      <c r="I53" s="10">
        <v>-247</v>
      </c>
      <c r="J53" s="10">
        <v>19120</v>
      </c>
      <c r="K53" s="4" t="s">
        <v>20</v>
      </c>
      <c r="L53" s="4" t="s">
        <v>219</v>
      </c>
    </row>
    <row r="54" spans="1:12" ht="15" hidden="1" customHeight="1" x14ac:dyDescent="0.25">
      <c r="A54" s="2" t="s">
        <v>703</v>
      </c>
      <c r="B54" s="2" t="s">
        <v>704</v>
      </c>
      <c r="C54" s="2" t="s">
        <v>14</v>
      </c>
      <c r="D54" s="2" t="s">
        <v>622</v>
      </c>
      <c r="E54" s="2" t="s">
        <v>33</v>
      </c>
      <c r="F54" s="2" t="s">
        <v>24</v>
      </c>
      <c r="G54" s="3" t="s">
        <v>25</v>
      </c>
      <c r="H54" s="2" t="s">
        <v>639</v>
      </c>
      <c r="I54" s="9">
        <v>-1000</v>
      </c>
      <c r="J54" s="9">
        <v>20120</v>
      </c>
      <c r="K54" s="2" t="s">
        <v>20</v>
      </c>
      <c r="L54" s="2" t="s">
        <v>703</v>
      </c>
    </row>
    <row r="56" spans="1:12" ht="15" customHeight="1" x14ac:dyDescent="0.25">
      <c r="H56" s="8" t="s">
        <v>388</v>
      </c>
      <c r="I56" s="11">
        <f>SUM(I2:I54)</f>
        <v>-4477</v>
      </c>
    </row>
    <row r="57" spans="1:12" ht="15" customHeight="1" x14ac:dyDescent="0.25">
      <c r="H57" s="8" t="s">
        <v>389</v>
      </c>
      <c r="I57" s="12">
        <f>SUMIF(G2:G54,"Credit",I2:I54)</f>
        <v>18100</v>
      </c>
    </row>
    <row r="58" spans="1:12" ht="15" customHeight="1" x14ac:dyDescent="0.25">
      <c r="H58" s="8" t="s">
        <v>390</v>
      </c>
      <c r="I58" s="13">
        <f>SUMIF(G2:G54,"Debit",I2:I54)</f>
        <v>-22577</v>
      </c>
    </row>
    <row r="59" spans="1:12" ht="15" customHeight="1" x14ac:dyDescent="0.25">
      <c r="H59" s="8" t="s">
        <v>391</v>
      </c>
      <c r="I59" s="14">
        <f>COUNTA(B2:B54)</f>
        <v>53</v>
      </c>
    </row>
  </sheetData>
  <autoFilter ref="A1:L54" xr:uid="{00000000-0009-0000-0000-000002000000}">
    <filterColumn colId="7">
      <filters>
        <filter val="Salary - Retail Chain (Hourly) / راتب"/>
      </filters>
    </filterColumn>
    <sortState xmlns:xlrd2="http://schemas.microsoft.com/office/spreadsheetml/2017/richdata2" ref="A4:L47">
      <sortCondition ref="A1:A54"/>
    </sortState>
  </autoFilter>
  <pageMargins left="0.75" right="0.75" top="1" bottom="1" header="0.511811023622047" footer="0.511811023622047"/>
  <pageSetup paperSize="9" orientation="portrait" horizontalDpi="300" verticalDpi="300" r:id="rId1"/>
  <headerFooter differentFirst="1">
    <oddHeader>&amp;LClassification: &amp;"Microsoft Sans Serif,Bold Italic"Confidential</oddHeader>
    <oddFooter>&amp;C_x000D_&amp;1#&amp;"Aptos"&amp;10&amp;K008000 Ejada Public Information</oddFooter>
    <firstHeader>&amp;LClassification: &amp;"Microsoft Sans Serif,Bold Italic"Confidential</firstHeader>
    <firstFooter>&amp;C_x000D_&amp;1#&amp;"Aptos"&amp;10&amp;K008000 Ejada Public Information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8"/>
  <sheetViews>
    <sheetView workbookViewId="0">
      <selection activeCell="D22" sqref="D22"/>
    </sheetView>
  </sheetViews>
  <sheetFormatPr defaultRowHeight="15" x14ac:dyDescent="0.25"/>
  <cols>
    <col min="1" max="1" width="23.140625" bestFit="1" customWidth="1"/>
  </cols>
  <sheetData>
    <row r="1" spans="1:2" x14ac:dyDescent="0.25">
      <c r="A1" s="15" t="s">
        <v>392</v>
      </c>
      <c r="B1" s="15" t="s">
        <v>392</v>
      </c>
    </row>
    <row r="2" spans="1:2" x14ac:dyDescent="0.25">
      <c r="A2" s="15" t="s">
        <v>393</v>
      </c>
      <c r="B2" s="15" t="s">
        <v>705</v>
      </c>
    </row>
    <row r="3" spans="1:2" x14ac:dyDescent="0.25">
      <c r="A3" s="15" t="s">
        <v>395</v>
      </c>
      <c r="B3" s="15" t="s">
        <v>706</v>
      </c>
    </row>
    <row r="4" spans="1:2" x14ac:dyDescent="0.25">
      <c r="A4" s="15" t="s">
        <v>707</v>
      </c>
      <c r="B4" s="15" t="s">
        <v>398</v>
      </c>
    </row>
    <row r="5" spans="1:2" x14ac:dyDescent="0.25">
      <c r="A5" s="15" t="s">
        <v>399</v>
      </c>
      <c r="B5" s="15" t="s">
        <v>400</v>
      </c>
    </row>
    <row r="6" spans="1:2" x14ac:dyDescent="0.25">
      <c r="A6" s="15" t="s">
        <v>401</v>
      </c>
      <c r="B6" s="15" t="s">
        <v>708</v>
      </c>
    </row>
    <row r="7" spans="1:2" x14ac:dyDescent="0.25">
      <c r="A7" s="15" t="s">
        <v>403</v>
      </c>
      <c r="B7" s="15" t="s">
        <v>404</v>
      </c>
    </row>
    <row r="8" spans="1:2" x14ac:dyDescent="0.25">
      <c r="A8" s="15" t="s">
        <v>405</v>
      </c>
      <c r="B8" s="15" t="s">
        <v>709</v>
      </c>
    </row>
    <row r="9" spans="1:2" x14ac:dyDescent="0.25">
      <c r="A9" s="15" t="s">
        <v>407</v>
      </c>
      <c r="B9" s="15" t="s">
        <v>408</v>
      </c>
    </row>
    <row r="10" spans="1:2" x14ac:dyDescent="0.25">
      <c r="A10" s="15" t="s">
        <v>409</v>
      </c>
      <c r="B10" s="15" t="s">
        <v>710</v>
      </c>
    </row>
    <row r="11" spans="1:2" x14ac:dyDescent="0.25">
      <c r="A11" s="15" t="s">
        <v>411</v>
      </c>
      <c r="B11" s="15" t="s">
        <v>711</v>
      </c>
    </row>
    <row r="12" spans="1:2" x14ac:dyDescent="0.25">
      <c r="A12" s="15" t="s">
        <v>413</v>
      </c>
      <c r="B12" s="15" t="s">
        <v>712</v>
      </c>
    </row>
    <row r="13" spans="1:2" x14ac:dyDescent="0.25">
      <c r="A13" s="15" t="s">
        <v>415</v>
      </c>
      <c r="B13" s="15" t="s">
        <v>713</v>
      </c>
    </row>
    <row r="14" spans="1:2" x14ac:dyDescent="0.25">
      <c r="A14" s="15" t="s">
        <v>417</v>
      </c>
      <c r="B14" s="15" t="s">
        <v>418</v>
      </c>
    </row>
    <row r="15" spans="1:2" x14ac:dyDescent="0.25">
      <c r="A15" s="15" t="s">
        <v>419</v>
      </c>
      <c r="B15" s="15" t="s">
        <v>420</v>
      </c>
    </row>
    <row r="16" spans="1:2" x14ac:dyDescent="0.25">
      <c r="A16" s="15" t="s">
        <v>420</v>
      </c>
      <c r="B16" s="15" t="s">
        <v>421</v>
      </c>
    </row>
    <row r="17" spans="1:2" x14ac:dyDescent="0.25">
      <c r="A17" s="15" t="s">
        <v>422</v>
      </c>
      <c r="B17" s="15" t="s">
        <v>423</v>
      </c>
    </row>
    <row r="18" spans="1:2" x14ac:dyDescent="0.25">
      <c r="A18" s="15" t="s">
        <v>424</v>
      </c>
      <c r="B18" s="15" t="s">
        <v>425</v>
      </c>
    </row>
    <row r="19" spans="1:2" x14ac:dyDescent="0.25">
      <c r="A19" s="15" t="s">
        <v>426</v>
      </c>
      <c r="B19" s="15" t="s">
        <v>427</v>
      </c>
    </row>
    <row r="20" spans="1:2" x14ac:dyDescent="0.25">
      <c r="A20" s="15" t="s">
        <v>428</v>
      </c>
      <c r="B20" s="15" t="s">
        <v>429</v>
      </c>
    </row>
    <row r="21" spans="1:2" x14ac:dyDescent="0.25">
      <c r="A21" s="15" t="s">
        <v>430</v>
      </c>
      <c r="B21" s="15" t="s">
        <v>431</v>
      </c>
    </row>
    <row r="22" spans="1:2" x14ac:dyDescent="0.25">
      <c r="A22" s="15" t="s">
        <v>432</v>
      </c>
      <c r="B22" s="15" t="s">
        <v>433</v>
      </c>
    </row>
    <row r="23" spans="1:2" x14ac:dyDescent="0.25">
      <c r="A23" s="15" t="s">
        <v>434</v>
      </c>
      <c r="B23" s="15" t="s">
        <v>435</v>
      </c>
    </row>
    <row r="24" spans="1:2" x14ac:dyDescent="0.25">
      <c r="A24" s="15" t="s">
        <v>436</v>
      </c>
      <c r="B24" s="15" t="s">
        <v>437</v>
      </c>
    </row>
    <row r="25" spans="1:2" x14ac:dyDescent="0.25">
      <c r="A25" s="15" t="s">
        <v>438</v>
      </c>
      <c r="B25" s="15" t="s">
        <v>439</v>
      </c>
    </row>
    <row r="26" spans="1:2" x14ac:dyDescent="0.25">
      <c r="A26" s="15" t="s">
        <v>440</v>
      </c>
      <c r="B26" s="15" t="s">
        <v>441</v>
      </c>
    </row>
    <row r="27" spans="1:2" x14ac:dyDescent="0.25">
      <c r="B27" s="15" t="s">
        <v>442</v>
      </c>
    </row>
    <row r="28" spans="1:2" x14ac:dyDescent="0.25">
      <c r="B28" s="15" t="s">
        <v>443</v>
      </c>
    </row>
    <row r="29" spans="1:2" x14ac:dyDescent="0.25">
      <c r="B29" s="15" t="s">
        <v>420</v>
      </c>
    </row>
    <row r="30" spans="1:2" x14ac:dyDescent="0.25">
      <c r="B30" s="15" t="s">
        <v>444</v>
      </c>
    </row>
    <row r="31" spans="1:2" x14ac:dyDescent="0.25">
      <c r="B31" s="15" t="s">
        <v>445</v>
      </c>
    </row>
    <row r="32" spans="1:2" x14ac:dyDescent="0.25">
      <c r="B32" s="15" t="s">
        <v>714</v>
      </c>
    </row>
    <row r="33" spans="2:2" x14ac:dyDescent="0.25">
      <c r="B33" s="15" t="s">
        <v>715</v>
      </c>
    </row>
    <row r="34" spans="2:2" x14ac:dyDescent="0.25">
      <c r="B34" s="15" t="s">
        <v>429</v>
      </c>
    </row>
    <row r="35" spans="2:2" x14ac:dyDescent="0.25">
      <c r="B35" s="15" t="s">
        <v>431</v>
      </c>
    </row>
    <row r="36" spans="2:2" x14ac:dyDescent="0.25">
      <c r="B36" s="15" t="s">
        <v>433</v>
      </c>
    </row>
    <row r="37" spans="2:2" x14ac:dyDescent="0.25">
      <c r="B37" s="15" t="s">
        <v>435</v>
      </c>
    </row>
    <row r="38" spans="2:2" x14ac:dyDescent="0.25">
      <c r="B38" s="15" t="s">
        <v>451</v>
      </c>
    </row>
    <row r="39" spans="2:2" x14ac:dyDescent="0.25">
      <c r="B39" s="15" t="s">
        <v>452</v>
      </c>
    </row>
    <row r="40" spans="2:2" x14ac:dyDescent="0.25">
      <c r="B40" s="15" t="s">
        <v>441</v>
      </c>
    </row>
    <row r="41" spans="2:2" x14ac:dyDescent="0.25">
      <c r="B41" s="15" t="s">
        <v>442</v>
      </c>
    </row>
    <row r="42" spans="2:2" x14ac:dyDescent="0.25">
      <c r="B42" s="15" t="s">
        <v>443</v>
      </c>
    </row>
    <row r="43" spans="2:2" x14ac:dyDescent="0.25">
      <c r="B43" s="15" t="s">
        <v>420</v>
      </c>
    </row>
    <row r="44" spans="2:2" x14ac:dyDescent="0.25">
      <c r="B44" s="15" t="s">
        <v>453</v>
      </c>
    </row>
    <row r="45" spans="2:2" x14ac:dyDescent="0.25">
      <c r="B45" s="15" t="s">
        <v>454</v>
      </c>
    </row>
    <row r="46" spans="2:2" x14ac:dyDescent="0.25">
      <c r="B46" s="15" t="s">
        <v>716</v>
      </c>
    </row>
    <row r="47" spans="2:2" x14ac:dyDescent="0.25">
      <c r="B47" s="15" t="s">
        <v>717</v>
      </c>
    </row>
    <row r="48" spans="2:2" x14ac:dyDescent="0.25">
      <c r="B48" s="15" t="s">
        <v>457</v>
      </c>
    </row>
    <row r="49" spans="2:2" x14ac:dyDescent="0.25">
      <c r="B49" s="15" t="s">
        <v>431</v>
      </c>
    </row>
    <row r="50" spans="2:2" x14ac:dyDescent="0.25">
      <c r="B50" s="15" t="s">
        <v>458</v>
      </c>
    </row>
    <row r="51" spans="2:2" x14ac:dyDescent="0.25">
      <c r="B51" s="15" t="s">
        <v>459</v>
      </c>
    </row>
    <row r="52" spans="2:2" x14ac:dyDescent="0.25">
      <c r="B52" s="15" t="s">
        <v>437</v>
      </c>
    </row>
    <row r="53" spans="2:2" x14ac:dyDescent="0.25">
      <c r="B53" s="15" t="s">
        <v>439</v>
      </c>
    </row>
    <row r="54" spans="2:2" x14ac:dyDescent="0.25">
      <c r="B54" s="15" t="s">
        <v>441</v>
      </c>
    </row>
    <row r="55" spans="2:2" x14ac:dyDescent="0.25">
      <c r="B55" s="15" t="s">
        <v>442</v>
      </c>
    </row>
    <row r="56" spans="2:2" x14ac:dyDescent="0.25">
      <c r="B56" s="15" t="s">
        <v>443</v>
      </c>
    </row>
    <row r="57" spans="2:2" x14ac:dyDescent="0.25">
      <c r="B57" s="15" t="s">
        <v>420</v>
      </c>
    </row>
    <row r="58" spans="2:2" x14ac:dyDescent="0.25">
      <c r="B58" s="15" t="s">
        <v>460</v>
      </c>
    </row>
    <row r="59" spans="2:2" x14ac:dyDescent="0.25">
      <c r="B59" s="15" t="s">
        <v>461</v>
      </c>
    </row>
    <row r="60" spans="2:2" x14ac:dyDescent="0.25">
      <c r="B60" s="15" t="s">
        <v>718</v>
      </c>
    </row>
    <row r="61" spans="2:2" x14ac:dyDescent="0.25">
      <c r="B61" s="15" t="s">
        <v>719</v>
      </c>
    </row>
    <row r="62" spans="2:2" x14ac:dyDescent="0.25">
      <c r="B62" s="15" t="s">
        <v>448</v>
      </c>
    </row>
    <row r="63" spans="2:2" x14ac:dyDescent="0.25">
      <c r="B63" s="15" t="s">
        <v>431</v>
      </c>
    </row>
    <row r="64" spans="2:2" x14ac:dyDescent="0.25">
      <c r="B64" s="15" t="s">
        <v>449</v>
      </c>
    </row>
    <row r="65" spans="2:2" x14ac:dyDescent="0.25">
      <c r="B65" s="15" t="s">
        <v>450</v>
      </c>
    </row>
    <row r="66" spans="2:2" x14ac:dyDescent="0.25">
      <c r="B66" s="15" t="s">
        <v>467</v>
      </c>
    </row>
    <row r="67" spans="2:2" x14ac:dyDescent="0.25">
      <c r="B67" s="15" t="s">
        <v>468</v>
      </c>
    </row>
    <row r="68" spans="2:2" x14ac:dyDescent="0.25">
      <c r="B68" s="15" t="s">
        <v>441</v>
      </c>
    </row>
    <row r="69" spans="2:2" x14ac:dyDescent="0.25">
      <c r="B69" s="15" t="s">
        <v>442</v>
      </c>
    </row>
    <row r="70" spans="2:2" x14ac:dyDescent="0.25">
      <c r="B70" s="15" t="s">
        <v>443</v>
      </c>
    </row>
    <row r="71" spans="2:2" x14ac:dyDescent="0.25">
      <c r="B71" s="15" t="s">
        <v>420</v>
      </c>
    </row>
    <row r="72" spans="2:2" x14ac:dyDescent="0.25">
      <c r="B72" s="15" t="s">
        <v>469</v>
      </c>
    </row>
    <row r="73" spans="2:2" x14ac:dyDescent="0.25">
      <c r="B73" s="15" t="s">
        <v>470</v>
      </c>
    </row>
    <row r="74" spans="2:2" x14ac:dyDescent="0.25">
      <c r="B74" s="15" t="s">
        <v>714</v>
      </c>
    </row>
    <row r="75" spans="2:2" x14ac:dyDescent="0.25">
      <c r="B75" s="15" t="s">
        <v>715</v>
      </c>
    </row>
    <row r="76" spans="2:2" x14ac:dyDescent="0.25">
      <c r="B76" s="15" t="s">
        <v>720</v>
      </c>
    </row>
    <row r="77" spans="2:2" x14ac:dyDescent="0.25">
      <c r="B77" s="15" t="s">
        <v>431</v>
      </c>
    </row>
    <row r="78" spans="2:2" x14ac:dyDescent="0.25">
      <c r="B78" s="15" t="s">
        <v>721</v>
      </c>
    </row>
    <row r="79" spans="2:2" x14ac:dyDescent="0.25">
      <c r="B79" s="15" t="s">
        <v>450</v>
      </c>
    </row>
    <row r="80" spans="2:2" x14ac:dyDescent="0.25">
      <c r="B80" s="15" t="s">
        <v>437</v>
      </c>
    </row>
    <row r="81" spans="2:2" x14ac:dyDescent="0.25">
      <c r="B81" s="15" t="s">
        <v>439</v>
      </c>
    </row>
    <row r="82" spans="2:2" x14ac:dyDescent="0.25">
      <c r="B82" s="15" t="s">
        <v>441</v>
      </c>
    </row>
    <row r="83" spans="2:2" x14ac:dyDescent="0.25">
      <c r="B83" s="15" t="s">
        <v>442</v>
      </c>
    </row>
    <row r="84" spans="2:2" x14ac:dyDescent="0.25">
      <c r="B84" s="15" t="s">
        <v>443</v>
      </c>
    </row>
    <row r="85" spans="2:2" x14ac:dyDescent="0.25">
      <c r="B85" s="15" t="s">
        <v>420</v>
      </c>
    </row>
    <row r="86" spans="2:2" x14ac:dyDescent="0.25">
      <c r="B86" s="15" t="s">
        <v>473</v>
      </c>
    </row>
    <row r="87" spans="2:2" x14ac:dyDescent="0.25">
      <c r="B87" s="15" t="s">
        <v>474</v>
      </c>
    </row>
    <row r="88" spans="2:2" x14ac:dyDescent="0.25">
      <c r="B88" s="15" t="s">
        <v>722</v>
      </c>
    </row>
    <row r="89" spans="2:2" x14ac:dyDescent="0.25">
      <c r="B89" s="15" t="s">
        <v>723</v>
      </c>
    </row>
    <row r="90" spans="2:2" x14ac:dyDescent="0.25">
      <c r="B90" s="15" t="s">
        <v>448</v>
      </c>
    </row>
    <row r="91" spans="2:2" x14ac:dyDescent="0.25">
      <c r="B91" s="15" t="s">
        <v>431</v>
      </c>
    </row>
    <row r="92" spans="2:2" x14ac:dyDescent="0.25">
      <c r="B92" s="15" t="s">
        <v>449</v>
      </c>
    </row>
    <row r="93" spans="2:2" x14ac:dyDescent="0.25">
      <c r="B93" s="15" t="s">
        <v>450</v>
      </c>
    </row>
    <row r="94" spans="2:2" x14ac:dyDescent="0.25">
      <c r="B94" s="15" t="s">
        <v>437</v>
      </c>
    </row>
    <row r="95" spans="2:2" x14ac:dyDescent="0.25">
      <c r="B95" s="15" t="s">
        <v>439</v>
      </c>
    </row>
    <row r="96" spans="2:2" x14ac:dyDescent="0.25">
      <c r="B96" s="15" t="s">
        <v>441</v>
      </c>
    </row>
    <row r="97" spans="2:2" x14ac:dyDescent="0.25">
      <c r="B97" s="15" t="s">
        <v>442</v>
      </c>
    </row>
    <row r="98" spans="2:2" x14ac:dyDescent="0.25">
      <c r="B98" s="15" t="s">
        <v>443</v>
      </c>
    </row>
    <row r="99" spans="2:2" x14ac:dyDescent="0.25">
      <c r="B99" s="15" t="s">
        <v>420</v>
      </c>
    </row>
    <row r="100" spans="2:2" x14ac:dyDescent="0.25">
      <c r="B100" s="15" t="s">
        <v>477</v>
      </c>
    </row>
    <row r="101" spans="2:2" x14ac:dyDescent="0.25">
      <c r="B101" s="15" t="s">
        <v>478</v>
      </c>
    </row>
    <row r="102" spans="2:2" x14ac:dyDescent="0.25">
      <c r="B102" s="15" t="s">
        <v>724</v>
      </c>
    </row>
    <row r="103" spans="2:2" x14ac:dyDescent="0.25">
      <c r="B103" s="15" t="s">
        <v>725</v>
      </c>
    </row>
    <row r="104" spans="2:2" x14ac:dyDescent="0.25">
      <c r="B104" s="15" t="s">
        <v>726</v>
      </c>
    </row>
    <row r="105" spans="2:2" x14ac:dyDescent="0.25">
      <c r="B105" s="15" t="s">
        <v>482</v>
      </c>
    </row>
    <row r="106" spans="2:2" x14ac:dyDescent="0.25">
      <c r="B106" s="15" t="s">
        <v>727</v>
      </c>
    </row>
    <row r="107" spans="2:2" x14ac:dyDescent="0.25">
      <c r="B107" s="15" t="s">
        <v>728</v>
      </c>
    </row>
    <row r="108" spans="2:2" x14ac:dyDescent="0.25">
      <c r="B108" s="15" t="s">
        <v>484</v>
      </c>
    </row>
    <row r="109" spans="2:2" x14ac:dyDescent="0.25">
      <c r="B109" s="15" t="s">
        <v>485</v>
      </c>
    </row>
    <row r="110" spans="2:2" x14ac:dyDescent="0.25">
      <c r="B110" s="15" t="s">
        <v>441</v>
      </c>
    </row>
    <row r="111" spans="2:2" x14ac:dyDescent="0.25">
      <c r="B111" s="15" t="s">
        <v>442</v>
      </c>
    </row>
    <row r="112" spans="2:2" x14ac:dyDescent="0.25">
      <c r="B112" s="15" t="s">
        <v>430</v>
      </c>
    </row>
    <row r="113" spans="2:2" x14ac:dyDescent="0.25">
      <c r="B113" s="15" t="s">
        <v>486</v>
      </c>
    </row>
    <row r="114" spans="2:2" x14ac:dyDescent="0.25">
      <c r="B114" s="15" t="s">
        <v>487</v>
      </c>
    </row>
    <row r="115" spans="2:2" x14ac:dyDescent="0.25">
      <c r="B115" s="15" t="s">
        <v>488</v>
      </c>
    </row>
    <row r="116" spans="2:2" x14ac:dyDescent="0.25">
      <c r="B116" s="15" t="s">
        <v>729</v>
      </c>
    </row>
    <row r="117" spans="2:2" x14ac:dyDescent="0.25">
      <c r="B117" s="15" t="s">
        <v>730</v>
      </c>
    </row>
    <row r="118" spans="2:2" x14ac:dyDescent="0.25">
      <c r="B118" s="15" t="s">
        <v>731</v>
      </c>
    </row>
    <row r="119" spans="2:2" x14ac:dyDescent="0.25">
      <c r="B119" s="15" t="s">
        <v>732</v>
      </c>
    </row>
    <row r="120" spans="2:2" x14ac:dyDescent="0.25">
      <c r="B120" s="15" t="s">
        <v>493</v>
      </c>
    </row>
    <row r="121" spans="2:2" x14ac:dyDescent="0.25">
      <c r="B121" s="15" t="s">
        <v>494</v>
      </c>
    </row>
    <row r="122" spans="2:2" x14ac:dyDescent="0.25">
      <c r="B122" s="15" t="s">
        <v>733</v>
      </c>
    </row>
    <row r="123" spans="2:2" x14ac:dyDescent="0.25">
      <c r="B123" s="15" t="s">
        <v>734</v>
      </c>
    </row>
    <row r="124" spans="2:2" x14ac:dyDescent="0.25">
      <c r="B124" s="15" t="s">
        <v>497</v>
      </c>
    </row>
    <row r="125" spans="2:2" x14ac:dyDescent="0.25">
      <c r="B125" s="15" t="s">
        <v>498</v>
      </c>
    </row>
    <row r="126" spans="2:2" x14ac:dyDescent="0.25">
      <c r="B126" s="15" t="s">
        <v>503</v>
      </c>
    </row>
    <row r="127" spans="2:2" x14ac:dyDescent="0.25">
      <c r="B127" s="15" t="s">
        <v>735</v>
      </c>
    </row>
    <row r="128" spans="2:2" x14ac:dyDescent="0.25">
      <c r="B128" s="15" t="s">
        <v>736</v>
      </c>
    </row>
    <row r="129" spans="2:2" x14ac:dyDescent="0.25">
      <c r="B129" s="15" t="s">
        <v>502</v>
      </c>
    </row>
    <row r="130" spans="2:2" x14ac:dyDescent="0.25">
      <c r="B130" s="15" t="s">
        <v>498</v>
      </c>
    </row>
    <row r="131" spans="2:2" x14ac:dyDescent="0.25">
      <c r="B131" s="15" t="s">
        <v>499</v>
      </c>
    </row>
    <row r="132" spans="2:2" x14ac:dyDescent="0.25">
      <c r="B132" s="15" t="s">
        <v>737</v>
      </c>
    </row>
    <row r="133" spans="2:2" x14ac:dyDescent="0.25">
      <c r="B133" s="15" t="s">
        <v>738</v>
      </c>
    </row>
    <row r="134" spans="2:2" x14ac:dyDescent="0.25">
      <c r="B134" s="15" t="s">
        <v>502</v>
      </c>
    </row>
    <row r="135" spans="2:2" x14ac:dyDescent="0.25">
      <c r="B135" s="15" t="s">
        <v>498</v>
      </c>
    </row>
    <row r="136" spans="2:2" x14ac:dyDescent="0.25">
      <c r="B136" s="15" t="s">
        <v>506</v>
      </c>
    </row>
    <row r="137" spans="2:2" x14ac:dyDescent="0.25">
      <c r="B137" s="15" t="s">
        <v>739</v>
      </c>
    </row>
    <row r="138" spans="2:2" x14ac:dyDescent="0.25">
      <c r="B138" s="15" t="s">
        <v>740</v>
      </c>
    </row>
    <row r="139" spans="2:2" x14ac:dyDescent="0.25">
      <c r="B139" s="15" t="s">
        <v>502</v>
      </c>
    </row>
    <row r="140" spans="2:2" x14ac:dyDescent="0.25">
      <c r="B140" s="15" t="s">
        <v>498</v>
      </c>
    </row>
    <row r="141" spans="2:2" x14ac:dyDescent="0.25">
      <c r="B141" s="15" t="s">
        <v>509</v>
      </c>
    </row>
    <row r="142" spans="2:2" x14ac:dyDescent="0.25">
      <c r="B142" s="15" t="s">
        <v>741</v>
      </c>
    </row>
    <row r="143" spans="2:2" x14ac:dyDescent="0.25">
      <c r="B143" s="15" t="s">
        <v>742</v>
      </c>
    </row>
    <row r="144" spans="2:2" x14ac:dyDescent="0.25">
      <c r="B144" s="15" t="s">
        <v>512</v>
      </c>
    </row>
    <row r="145" spans="2:2" x14ac:dyDescent="0.25">
      <c r="B145" s="15" t="s">
        <v>513</v>
      </c>
    </row>
    <row r="146" spans="2:2" x14ac:dyDescent="0.25">
      <c r="B146" s="15" t="s">
        <v>743</v>
      </c>
    </row>
    <row r="147" spans="2:2" x14ac:dyDescent="0.25">
      <c r="B147" s="15" t="s">
        <v>744</v>
      </c>
    </row>
    <row r="148" spans="2:2" x14ac:dyDescent="0.25">
      <c r="B148" s="15" t="s">
        <v>745</v>
      </c>
    </row>
    <row r="149" spans="2:2" x14ac:dyDescent="0.25">
      <c r="B149" s="15" t="s">
        <v>746</v>
      </c>
    </row>
    <row r="150" spans="2:2" x14ac:dyDescent="0.25">
      <c r="B150" s="15" t="s">
        <v>747</v>
      </c>
    </row>
    <row r="151" spans="2:2" x14ac:dyDescent="0.25">
      <c r="B151" s="15" t="s">
        <v>519</v>
      </c>
    </row>
    <row r="152" spans="2:2" x14ac:dyDescent="0.25">
      <c r="B152" s="15" t="s">
        <v>520</v>
      </c>
    </row>
    <row r="153" spans="2:2" x14ac:dyDescent="0.25">
      <c r="B153" s="15" t="s">
        <v>748</v>
      </c>
    </row>
    <row r="154" spans="2:2" x14ac:dyDescent="0.25">
      <c r="B154" s="15" t="s">
        <v>749</v>
      </c>
    </row>
    <row r="155" spans="2:2" x14ac:dyDescent="0.25">
      <c r="B155" s="15" t="s">
        <v>750</v>
      </c>
    </row>
    <row r="156" spans="2:2" x14ac:dyDescent="0.25">
      <c r="B156" s="15" t="s">
        <v>751</v>
      </c>
    </row>
    <row r="157" spans="2:2" x14ac:dyDescent="0.25">
      <c r="B157" s="15" t="s">
        <v>525</v>
      </c>
    </row>
    <row r="158" spans="2:2" x14ac:dyDescent="0.25">
      <c r="B158" s="15" t="s">
        <v>752</v>
      </c>
    </row>
    <row r="159" spans="2:2" x14ac:dyDescent="0.25">
      <c r="B159" s="15" t="s">
        <v>753</v>
      </c>
    </row>
    <row r="160" spans="2:2" x14ac:dyDescent="0.25">
      <c r="B160" s="15" t="s">
        <v>528</v>
      </c>
    </row>
    <row r="161" spans="2:2" x14ac:dyDescent="0.25">
      <c r="B161" s="15" t="s">
        <v>754</v>
      </c>
    </row>
    <row r="162" spans="2:2" x14ac:dyDescent="0.25">
      <c r="B162" s="15" t="s">
        <v>755</v>
      </c>
    </row>
    <row r="163" spans="2:2" x14ac:dyDescent="0.25">
      <c r="B163" s="15" t="s">
        <v>531</v>
      </c>
    </row>
    <row r="164" spans="2:2" x14ac:dyDescent="0.25">
      <c r="B164" s="15" t="s">
        <v>532</v>
      </c>
    </row>
    <row r="165" spans="2:2" x14ac:dyDescent="0.25">
      <c r="B165" s="15" t="s">
        <v>756</v>
      </c>
    </row>
    <row r="166" spans="2:2" x14ac:dyDescent="0.25">
      <c r="B166" s="15" t="s">
        <v>757</v>
      </c>
    </row>
    <row r="167" spans="2:2" x14ac:dyDescent="0.25">
      <c r="B167" s="15" t="s">
        <v>758</v>
      </c>
    </row>
    <row r="168" spans="2:2" x14ac:dyDescent="0.25">
      <c r="B168" s="15" t="s">
        <v>759</v>
      </c>
    </row>
    <row r="169" spans="2:2" x14ac:dyDescent="0.25">
      <c r="B169" s="15" t="s">
        <v>760</v>
      </c>
    </row>
    <row r="170" spans="2:2" x14ac:dyDescent="0.25">
      <c r="B170" s="15" t="s">
        <v>761</v>
      </c>
    </row>
    <row r="171" spans="2:2" x14ac:dyDescent="0.25">
      <c r="B171" s="15" t="s">
        <v>762</v>
      </c>
    </row>
    <row r="172" spans="2:2" x14ac:dyDescent="0.25">
      <c r="B172" s="15" t="s">
        <v>763</v>
      </c>
    </row>
    <row r="173" spans="2:2" x14ac:dyDescent="0.25">
      <c r="B173" s="15" t="s">
        <v>498</v>
      </c>
    </row>
    <row r="174" spans="2:2" x14ac:dyDescent="0.25">
      <c r="B174" s="15" t="s">
        <v>764</v>
      </c>
    </row>
    <row r="175" spans="2:2" x14ac:dyDescent="0.25">
      <c r="B175" s="15" t="s">
        <v>765</v>
      </c>
    </row>
    <row r="176" spans="2:2" x14ac:dyDescent="0.25">
      <c r="B176" s="15" t="s">
        <v>766</v>
      </c>
    </row>
    <row r="177" spans="2:2" x14ac:dyDescent="0.25">
      <c r="B177" s="15" t="s">
        <v>767</v>
      </c>
    </row>
    <row r="178" spans="2:2" x14ac:dyDescent="0.25">
      <c r="B178" s="15" t="s">
        <v>768</v>
      </c>
    </row>
    <row r="179" spans="2:2" x14ac:dyDescent="0.25">
      <c r="B179" s="15" t="s">
        <v>769</v>
      </c>
    </row>
    <row r="180" spans="2:2" x14ac:dyDescent="0.25">
      <c r="B180" s="15" t="s">
        <v>770</v>
      </c>
    </row>
    <row r="181" spans="2:2" x14ac:dyDescent="0.25">
      <c r="B181" s="15" t="s">
        <v>771</v>
      </c>
    </row>
    <row r="182" spans="2:2" x14ac:dyDescent="0.25">
      <c r="B182" s="15" t="s">
        <v>772</v>
      </c>
    </row>
    <row r="183" spans="2:2" x14ac:dyDescent="0.25">
      <c r="B183" s="15" t="s">
        <v>502</v>
      </c>
    </row>
    <row r="184" spans="2:2" x14ac:dyDescent="0.25">
      <c r="B184" s="15" t="s">
        <v>498</v>
      </c>
    </row>
    <row r="185" spans="2:2" x14ac:dyDescent="0.25">
      <c r="B185" s="15" t="s">
        <v>773</v>
      </c>
    </row>
    <row r="186" spans="2:2" x14ac:dyDescent="0.25">
      <c r="B186" s="15" t="s">
        <v>774</v>
      </c>
    </row>
    <row r="187" spans="2:2" x14ac:dyDescent="0.25">
      <c r="B187" s="15" t="s">
        <v>775</v>
      </c>
    </row>
    <row r="188" spans="2:2" x14ac:dyDescent="0.25">
      <c r="B188" s="15" t="s">
        <v>776</v>
      </c>
    </row>
    <row r="189" spans="2:2" x14ac:dyDescent="0.25">
      <c r="B189" s="15" t="s">
        <v>777</v>
      </c>
    </row>
    <row r="190" spans="2:2" x14ac:dyDescent="0.25">
      <c r="B190" s="15" t="s">
        <v>769</v>
      </c>
    </row>
    <row r="191" spans="2:2" x14ac:dyDescent="0.25">
      <c r="B191" s="15" t="s">
        <v>778</v>
      </c>
    </row>
    <row r="192" spans="2:2" x14ac:dyDescent="0.25">
      <c r="B192" s="15" t="s">
        <v>779</v>
      </c>
    </row>
    <row r="193" spans="2:2" x14ac:dyDescent="0.25">
      <c r="B193" s="15" t="s">
        <v>780</v>
      </c>
    </row>
    <row r="194" spans="2:2" x14ac:dyDescent="0.25">
      <c r="B194" s="15" t="s">
        <v>502</v>
      </c>
    </row>
    <row r="195" spans="2:2" x14ac:dyDescent="0.25">
      <c r="B195" s="15" t="s">
        <v>498</v>
      </c>
    </row>
    <row r="196" spans="2:2" x14ac:dyDescent="0.25">
      <c r="B196" s="15" t="s">
        <v>781</v>
      </c>
    </row>
    <row r="197" spans="2:2" x14ac:dyDescent="0.25">
      <c r="B197" s="15" t="s">
        <v>782</v>
      </c>
    </row>
    <row r="198" spans="2:2" x14ac:dyDescent="0.25">
      <c r="B198" s="15" t="s">
        <v>783</v>
      </c>
    </row>
    <row r="199" spans="2:2" x14ac:dyDescent="0.25">
      <c r="B199" s="15" t="s">
        <v>784</v>
      </c>
    </row>
    <row r="200" spans="2:2" x14ac:dyDescent="0.25">
      <c r="B200" s="15" t="s">
        <v>785</v>
      </c>
    </row>
    <row r="201" spans="2:2" x14ac:dyDescent="0.25">
      <c r="B201" s="15" t="s">
        <v>769</v>
      </c>
    </row>
    <row r="202" spans="2:2" x14ac:dyDescent="0.25">
      <c r="B202" s="15" t="s">
        <v>786</v>
      </c>
    </row>
    <row r="203" spans="2:2" x14ac:dyDescent="0.25">
      <c r="B203" s="15" t="s">
        <v>787</v>
      </c>
    </row>
    <row r="204" spans="2:2" x14ac:dyDescent="0.25">
      <c r="B204" s="15" t="s">
        <v>788</v>
      </c>
    </row>
    <row r="205" spans="2:2" x14ac:dyDescent="0.25">
      <c r="B205" s="15" t="s">
        <v>502</v>
      </c>
    </row>
    <row r="206" spans="2:2" x14ac:dyDescent="0.25">
      <c r="B206" s="15" t="s">
        <v>498</v>
      </c>
    </row>
    <row r="207" spans="2:2" x14ac:dyDescent="0.25">
      <c r="B207" s="15" t="s">
        <v>789</v>
      </c>
    </row>
    <row r="208" spans="2:2" x14ac:dyDescent="0.25">
      <c r="B208" s="15" t="s">
        <v>790</v>
      </c>
    </row>
    <row r="209" spans="2:2" x14ac:dyDescent="0.25">
      <c r="B209" s="15" t="s">
        <v>791</v>
      </c>
    </row>
    <row r="210" spans="2:2" x14ac:dyDescent="0.25">
      <c r="B210" s="15" t="s">
        <v>792</v>
      </c>
    </row>
    <row r="211" spans="2:2" x14ac:dyDescent="0.25">
      <c r="B211" s="15" t="s">
        <v>793</v>
      </c>
    </row>
    <row r="212" spans="2:2" x14ac:dyDescent="0.25">
      <c r="B212" s="15" t="s">
        <v>794</v>
      </c>
    </row>
    <row r="213" spans="2:2" x14ac:dyDescent="0.25">
      <c r="B213" s="15" t="s">
        <v>795</v>
      </c>
    </row>
    <row r="214" spans="2:2" x14ac:dyDescent="0.25">
      <c r="B214" s="15" t="s">
        <v>796</v>
      </c>
    </row>
    <row r="215" spans="2:2" x14ac:dyDescent="0.25">
      <c r="B215" s="15" t="s">
        <v>797</v>
      </c>
    </row>
    <row r="216" spans="2:2" x14ac:dyDescent="0.25">
      <c r="B216" s="15" t="s">
        <v>512</v>
      </c>
    </row>
    <row r="217" spans="2:2" x14ac:dyDescent="0.25">
      <c r="B217" s="15" t="s">
        <v>513</v>
      </c>
    </row>
    <row r="218" spans="2:2" x14ac:dyDescent="0.25">
      <c r="B218" s="15" t="s">
        <v>798</v>
      </c>
    </row>
    <row r="219" spans="2:2" x14ac:dyDescent="0.25">
      <c r="B219" s="15" t="s">
        <v>799</v>
      </c>
    </row>
    <row r="220" spans="2:2" x14ac:dyDescent="0.25">
      <c r="B220" s="15" t="s">
        <v>800</v>
      </c>
    </row>
    <row r="221" spans="2:2" x14ac:dyDescent="0.25">
      <c r="B221" s="15" t="s">
        <v>801</v>
      </c>
    </row>
    <row r="222" spans="2:2" x14ac:dyDescent="0.25">
      <c r="B222" s="15" t="s">
        <v>802</v>
      </c>
    </row>
    <row r="223" spans="2:2" x14ac:dyDescent="0.25">
      <c r="B223" s="15" t="s">
        <v>803</v>
      </c>
    </row>
    <row r="224" spans="2:2" x14ac:dyDescent="0.25">
      <c r="B224" s="15" t="s">
        <v>547</v>
      </c>
    </row>
    <row r="225" spans="2:2" x14ac:dyDescent="0.25">
      <c r="B225" s="15" t="s">
        <v>498</v>
      </c>
    </row>
    <row r="226" spans="2:2" x14ac:dyDescent="0.25">
      <c r="B226" s="15" t="s">
        <v>804</v>
      </c>
    </row>
    <row r="227" spans="2:2" x14ac:dyDescent="0.25">
      <c r="B227" s="15" t="s">
        <v>805</v>
      </c>
    </row>
    <row r="228" spans="2:2" x14ac:dyDescent="0.25">
      <c r="B228" s="15" t="s">
        <v>806</v>
      </c>
    </row>
    <row r="229" spans="2:2" x14ac:dyDescent="0.25">
      <c r="B229" s="15" t="s">
        <v>807</v>
      </c>
    </row>
    <row r="230" spans="2:2" x14ac:dyDescent="0.25">
      <c r="B230" s="15" t="s">
        <v>808</v>
      </c>
    </row>
    <row r="231" spans="2:2" x14ac:dyDescent="0.25">
      <c r="B231" s="15" t="s">
        <v>553</v>
      </c>
    </row>
    <row r="232" spans="2:2" x14ac:dyDescent="0.25">
      <c r="B232" s="15" t="s">
        <v>554</v>
      </c>
    </row>
    <row r="233" spans="2:2" x14ac:dyDescent="0.25">
      <c r="B233" s="15" t="s">
        <v>502</v>
      </c>
    </row>
    <row r="234" spans="2:2" x14ac:dyDescent="0.25">
      <c r="B234" s="15" t="s">
        <v>498</v>
      </c>
    </row>
    <row r="235" spans="2:2" x14ac:dyDescent="0.25">
      <c r="B235" s="15" t="s">
        <v>548</v>
      </c>
    </row>
    <row r="236" spans="2:2" x14ac:dyDescent="0.25">
      <c r="B236" s="15" t="s">
        <v>809</v>
      </c>
    </row>
    <row r="237" spans="2:2" x14ac:dyDescent="0.25">
      <c r="B237" s="15" t="s">
        <v>810</v>
      </c>
    </row>
    <row r="238" spans="2:2" x14ac:dyDescent="0.25">
      <c r="B238" s="15" t="s">
        <v>811</v>
      </c>
    </row>
    <row r="239" spans="2:2" x14ac:dyDescent="0.25">
      <c r="B239" s="15" t="s">
        <v>812</v>
      </c>
    </row>
    <row r="240" spans="2:2" x14ac:dyDescent="0.25">
      <c r="B240" s="15" t="s">
        <v>553</v>
      </c>
    </row>
    <row r="241" spans="2:2" x14ac:dyDescent="0.25">
      <c r="B241" s="15" t="s">
        <v>554</v>
      </c>
    </row>
    <row r="242" spans="2:2" x14ac:dyDescent="0.25">
      <c r="B242" s="15" t="s">
        <v>502</v>
      </c>
    </row>
    <row r="243" spans="2:2" x14ac:dyDescent="0.25">
      <c r="B243" s="15" t="s">
        <v>498</v>
      </c>
    </row>
    <row r="244" spans="2:2" x14ac:dyDescent="0.25">
      <c r="B244" s="15" t="s">
        <v>555</v>
      </c>
    </row>
    <row r="245" spans="2:2" x14ac:dyDescent="0.25">
      <c r="B245" s="15" t="s">
        <v>813</v>
      </c>
    </row>
    <row r="246" spans="2:2" x14ac:dyDescent="0.25">
      <c r="B246" s="15" t="s">
        <v>814</v>
      </c>
    </row>
    <row r="247" spans="2:2" x14ac:dyDescent="0.25">
      <c r="B247" s="15" t="s">
        <v>811</v>
      </c>
    </row>
    <row r="248" spans="2:2" x14ac:dyDescent="0.25">
      <c r="B248" s="15" t="s">
        <v>815</v>
      </c>
    </row>
    <row r="249" spans="2:2" x14ac:dyDescent="0.25">
      <c r="B249" s="15" t="s">
        <v>553</v>
      </c>
    </row>
    <row r="250" spans="2:2" x14ac:dyDescent="0.25">
      <c r="B250" s="15" t="s">
        <v>554</v>
      </c>
    </row>
    <row r="251" spans="2:2" x14ac:dyDescent="0.25">
      <c r="B251" s="15" t="s">
        <v>502</v>
      </c>
    </row>
    <row r="252" spans="2:2" x14ac:dyDescent="0.25">
      <c r="B252" s="15" t="s">
        <v>498</v>
      </c>
    </row>
    <row r="253" spans="2:2" x14ac:dyDescent="0.25">
      <c r="B253" s="15" t="s">
        <v>559</v>
      </c>
    </row>
    <row r="254" spans="2:2" x14ac:dyDescent="0.25">
      <c r="B254" s="15" t="s">
        <v>816</v>
      </c>
    </row>
    <row r="255" spans="2:2" x14ac:dyDescent="0.25">
      <c r="B255" s="15" t="s">
        <v>817</v>
      </c>
    </row>
    <row r="256" spans="2:2" x14ac:dyDescent="0.25">
      <c r="B256" s="15" t="s">
        <v>811</v>
      </c>
    </row>
    <row r="257" spans="2:2" x14ac:dyDescent="0.25">
      <c r="B257" s="15" t="s">
        <v>815</v>
      </c>
    </row>
    <row r="258" spans="2:2" x14ac:dyDescent="0.25">
      <c r="B258" s="15" t="s">
        <v>553</v>
      </c>
    </row>
    <row r="259" spans="2:2" x14ac:dyDescent="0.25">
      <c r="B259" s="15" t="s">
        <v>554</v>
      </c>
    </row>
    <row r="260" spans="2:2" x14ac:dyDescent="0.25">
      <c r="B260" s="15" t="s">
        <v>502</v>
      </c>
    </row>
    <row r="261" spans="2:2" x14ac:dyDescent="0.25">
      <c r="B261" s="15" t="s">
        <v>498</v>
      </c>
    </row>
    <row r="262" spans="2:2" x14ac:dyDescent="0.25">
      <c r="B262" s="15" t="s">
        <v>563</v>
      </c>
    </row>
    <row r="263" spans="2:2" x14ac:dyDescent="0.25">
      <c r="B263" s="15" t="s">
        <v>818</v>
      </c>
    </row>
    <row r="264" spans="2:2" x14ac:dyDescent="0.25">
      <c r="B264" s="15" t="s">
        <v>819</v>
      </c>
    </row>
    <row r="265" spans="2:2" x14ac:dyDescent="0.25">
      <c r="B265" s="15" t="s">
        <v>811</v>
      </c>
    </row>
    <row r="266" spans="2:2" x14ac:dyDescent="0.25">
      <c r="B266" s="15" t="s">
        <v>820</v>
      </c>
    </row>
    <row r="267" spans="2:2" x14ac:dyDescent="0.25">
      <c r="B267" s="15" t="s">
        <v>553</v>
      </c>
    </row>
    <row r="268" spans="2:2" x14ac:dyDescent="0.25">
      <c r="B268" s="15" t="s">
        <v>554</v>
      </c>
    </row>
    <row r="269" spans="2:2" x14ac:dyDescent="0.25">
      <c r="B269" s="15" t="s">
        <v>502</v>
      </c>
    </row>
    <row r="270" spans="2:2" x14ac:dyDescent="0.25">
      <c r="B270" s="15" t="s">
        <v>498</v>
      </c>
    </row>
    <row r="271" spans="2:2" x14ac:dyDescent="0.25">
      <c r="B271" s="15" t="s">
        <v>565</v>
      </c>
    </row>
    <row r="272" spans="2:2" x14ac:dyDescent="0.25">
      <c r="B272" s="15" t="s">
        <v>813</v>
      </c>
    </row>
    <row r="273" spans="2:2" x14ac:dyDescent="0.25">
      <c r="B273" s="15" t="s">
        <v>814</v>
      </c>
    </row>
    <row r="274" spans="2:2" x14ac:dyDescent="0.25">
      <c r="B274" s="15" t="s">
        <v>811</v>
      </c>
    </row>
    <row r="275" spans="2:2" x14ac:dyDescent="0.25">
      <c r="B275" s="15" t="s">
        <v>815</v>
      </c>
    </row>
    <row r="276" spans="2:2" x14ac:dyDescent="0.25">
      <c r="B276" s="15" t="s">
        <v>553</v>
      </c>
    </row>
    <row r="277" spans="2:2" x14ac:dyDescent="0.25">
      <c r="B277" s="15" t="s">
        <v>554</v>
      </c>
    </row>
    <row r="278" spans="2:2" x14ac:dyDescent="0.25">
      <c r="B278" s="15" t="s">
        <v>502</v>
      </c>
    </row>
    <row r="279" spans="2:2" x14ac:dyDescent="0.25">
      <c r="B279" s="15" t="s">
        <v>498</v>
      </c>
    </row>
    <row r="280" spans="2:2" x14ac:dyDescent="0.25">
      <c r="B280" s="15" t="s">
        <v>568</v>
      </c>
    </row>
    <row r="281" spans="2:2" x14ac:dyDescent="0.25">
      <c r="B281" s="15" t="s">
        <v>809</v>
      </c>
    </row>
    <row r="282" spans="2:2" x14ac:dyDescent="0.25">
      <c r="B282" s="15" t="s">
        <v>821</v>
      </c>
    </row>
    <row r="283" spans="2:2" x14ac:dyDescent="0.25">
      <c r="B283" s="15" t="s">
        <v>811</v>
      </c>
    </row>
    <row r="284" spans="2:2" x14ac:dyDescent="0.25">
      <c r="B284" s="15" t="s">
        <v>822</v>
      </c>
    </row>
    <row r="285" spans="2:2" x14ac:dyDescent="0.25">
      <c r="B285" s="15" t="s">
        <v>553</v>
      </c>
    </row>
    <row r="286" spans="2:2" x14ac:dyDescent="0.25">
      <c r="B286" s="15" t="s">
        <v>554</v>
      </c>
    </row>
    <row r="287" spans="2:2" x14ac:dyDescent="0.25">
      <c r="B287" s="15" t="s">
        <v>512</v>
      </c>
    </row>
    <row r="288" spans="2:2" x14ac:dyDescent="0.25">
      <c r="B288" s="15" t="s">
        <v>582</v>
      </c>
    </row>
    <row r="289" spans="2:2" x14ac:dyDescent="0.25">
      <c r="B289" s="15" t="s">
        <v>583</v>
      </c>
    </row>
    <row r="290" spans="2:2" x14ac:dyDescent="0.25">
      <c r="B290" s="15" t="s">
        <v>584</v>
      </c>
    </row>
    <row r="291" spans="2:2" x14ac:dyDescent="0.25">
      <c r="B291" s="15" t="s">
        <v>823</v>
      </c>
    </row>
    <row r="292" spans="2:2" x14ac:dyDescent="0.25">
      <c r="B292" s="15" t="s">
        <v>586</v>
      </c>
    </row>
    <row r="293" spans="2:2" x14ac:dyDescent="0.25">
      <c r="B293" s="15" t="s">
        <v>488</v>
      </c>
    </row>
    <row r="294" spans="2:2" x14ac:dyDescent="0.25">
      <c r="B294" s="15" t="s">
        <v>824</v>
      </c>
    </row>
    <row r="295" spans="2:2" x14ac:dyDescent="0.25">
      <c r="B295" s="15" t="s">
        <v>825</v>
      </c>
    </row>
    <row r="296" spans="2:2" x14ac:dyDescent="0.25">
      <c r="B296" s="15" t="s">
        <v>826</v>
      </c>
    </row>
    <row r="297" spans="2:2" x14ac:dyDescent="0.25">
      <c r="B297" s="15" t="s">
        <v>827</v>
      </c>
    </row>
    <row r="298" spans="2:2" x14ac:dyDescent="0.25">
      <c r="B298" s="15" t="s">
        <v>828</v>
      </c>
    </row>
    <row r="299" spans="2:2" x14ac:dyDescent="0.25">
      <c r="B299" s="15" t="s">
        <v>829</v>
      </c>
    </row>
    <row r="300" spans="2:2" x14ac:dyDescent="0.25">
      <c r="B300" s="15" t="s">
        <v>593</v>
      </c>
    </row>
    <row r="301" spans="2:2" x14ac:dyDescent="0.25">
      <c r="B301" s="15" t="s">
        <v>583</v>
      </c>
    </row>
    <row r="302" spans="2:2" x14ac:dyDescent="0.25">
      <c r="B302" s="15" t="s">
        <v>594</v>
      </c>
    </row>
    <row r="303" spans="2:2" x14ac:dyDescent="0.25">
      <c r="B303" s="15" t="s">
        <v>830</v>
      </c>
    </row>
    <row r="304" spans="2:2" x14ac:dyDescent="0.25">
      <c r="B304" s="15" t="s">
        <v>831</v>
      </c>
    </row>
    <row r="305" spans="2:2" x14ac:dyDescent="0.25">
      <c r="B305" s="15" t="s">
        <v>597</v>
      </c>
    </row>
    <row r="306" spans="2:2" x14ac:dyDescent="0.25">
      <c r="B306" s="15" t="s">
        <v>832</v>
      </c>
    </row>
    <row r="307" spans="2:2" x14ac:dyDescent="0.25">
      <c r="B307" s="15" t="s">
        <v>599</v>
      </c>
    </row>
    <row r="308" spans="2:2" x14ac:dyDescent="0.25">
      <c r="B308" s="15" t="s">
        <v>833</v>
      </c>
    </row>
    <row r="309" spans="2:2" x14ac:dyDescent="0.25">
      <c r="B309" s="15" t="s">
        <v>513</v>
      </c>
    </row>
    <row r="310" spans="2:2" x14ac:dyDescent="0.25">
      <c r="B310" s="15" t="s">
        <v>602</v>
      </c>
    </row>
    <row r="311" spans="2:2" x14ac:dyDescent="0.25">
      <c r="B311" s="15" t="s">
        <v>603</v>
      </c>
    </row>
    <row r="312" spans="2:2" x14ac:dyDescent="0.25">
      <c r="B312" s="15" t="s">
        <v>834</v>
      </c>
    </row>
    <row r="313" spans="2:2" x14ac:dyDescent="0.25">
      <c r="B313" s="15" t="s">
        <v>835</v>
      </c>
    </row>
    <row r="314" spans="2:2" x14ac:dyDescent="0.25">
      <c r="B314" s="15" t="s">
        <v>836</v>
      </c>
    </row>
    <row r="315" spans="2:2" x14ac:dyDescent="0.25">
      <c r="B315" s="15" t="s">
        <v>837</v>
      </c>
    </row>
    <row r="316" spans="2:2" x14ac:dyDescent="0.25">
      <c r="B316" s="15" t="s">
        <v>513</v>
      </c>
    </row>
    <row r="317" spans="2:2" x14ac:dyDescent="0.25">
      <c r="B317" s="15" t="s">
        <v>838</v>
      </c>
    </row>
    <row r="318" spans="2:2" x14ac:dyDescent="0.25">
      <c r="B318" s="15" t="s">
        <v>839</v>
      </c>
    </row>
    <row r="319" spans="2:2" x14ac:dyDescent="0.25">
      <c r="B319" s="15" t="s">
        <v>582</v>
      </c>
    </row>
    <row r="320" spans="2:2" x14ac:dyDescent="0.25">
      <c r="B320" s="15" t="s">
        <v>583</v>
      </c>
    </row>
    <row r="321" spans="2:2" x14ac:dyDescent="0.25">
      <c r="B321" s="15" t="s">
        <v>606</v>
      </c>
    </row>
    <row r="322" spans="2:2" x14ac:dyDescent="0.25">
      <c r="B322" s="15" t="s">
        <v>607</v>
      </c>
    </row>
    <row r="323" spans="2:2" x14ac:dyDescent="0.25">
      <c r="B323" s="15" t="s">
        <v>608</v>
      </c>
    </row>
    <row r="324" spans="2:2" x14ac:dyDescent="0.25">
      <c r="B324" s="15" t="s">
        <v>609</v>
      </c>
    </row>
    <row r="325" spans="2:2" x14ac:dyDescent="0.25">
      <c r="B325" s="15" t="s">
        <v>840</v>
      </c>
    </row>
    <row r="326" spans="2:2" x14ac:dyDescent="0.25">
      <c r="B326" s="15" t="s">
        <v>611</v>
      </c>
    </row>
    <row r="327" spans="2:2" x14ac:dyDescent="0.25">
      <c r="B327" s="15" t="s">
        <v>841</v>
      </c>
    </row>
    <row r="328" spans="2:2" x14ac:dyDescent="0.25">
      <c r="B328" s="15" t="s">
        <v>842</v>
      </c>
    </row>
    <row r="329" spans="2:2" x14ac:dyDescent="0.25">
      <c r="B329" s="15" t="s">
        <v>843</v>
      </c>
    </row>
    <row r="330" spans="2:2" x14ac:dyDescent="0.25">
      <c r="B330" s="15" t="s">
        <v>583</v>
      </c>
    </row>
    <row r="331" spans="2:2" x14ac:dyDescent="0.25">
      <c r="B331" s="15" t="s">
        <v>615</v>
      </c>
    </row>
    <row r="332" spans="2:2" x14ac:dyDescent="0.25">
      <c r="B332" s="15" t="s">
        <v>616</v>
      </c>
    </row>
    <row r="333" spans="2:2" x14ac:dyDescent="0.25">
      <c r="B333" s="15" t="s">
        <v>617</v>
      </c>
    </row>
    <row r="334" spans="2:2" x14ac:dyDescent="0.25">
      <c r="B334" s="15" t="s">
        <v>618</v>
      </c>
    </row>
    <row r="335" spans="2:2" x14ac:dyDescent="0.25">
      <c r="B335" s="15" t="s">
        <v>619</v>
      </c>
    </row>
    <row r="336" spans="2:2" x14ac:dyDescent="0.25">
      <c r="B336" s="15" t="s">
        <v>620</v>
      </c>
    </row>
    <row r="337" spans="2:2" x14ac:dyDescent="0.25">
      <c r="B337" s="15" t="s">
        <v>436</v>
      </c>
    </row>
    <row r="338" spans="2:2" x14ac:dyDescent="0.25">
      <c r="B338" s="15" t="s">
        <v>440</v>
      </c>
    </row>
  </sheetData>
  <pageMargins left="0.7" right="0.7" top="0.75" bottom="0.75" header="0.3" footer="0.3"/>
  <pageSetup orientation="portrait" r:id="rId1"/>
  <headerFooter differentFirst="1">
    <oddHeader>&amp;LClassification: &amp;"Microsoft Sans Serif,Bold Italic"Confidential</oddHeader>
    <oddFooter>&amp;C_x000D_&amp;1#&amp;"Aptos"&amp;10&amp;K008000 Ejada Public Information</oddFooter>
    <firstHeader>&amp;LClassification: &amp;"Microsoft Sans Serif,Bold Italic"Confidential</firstHeader>
    <firstFooter>&amp;C_x000D_&amp;1#&amp;"Aptos"&amp;10&amp;K008000 Ejada Public Information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296"/>
  <sheetViews>
    <sheetView workbookViewId="0">
      <selection activeCell="I274" sqref="I3:I274"/>
    </sheetView>
  </sheetViews>
  <sheetFormatPr defaultRowHeight="15" x14ac:dyDescent="0.25"/>
  <cols>
    <col min="1" max="1" width="10.140625" bestFit="1" customWidth="1"/>
    <col min="2" max="2" width="23.7109375" bestFit="1" customWidth="1"/>
    <col min="3" max="3" width="22.85546875" bestFit="1" customWidth="1"/>
    <col min="5" max="5" width="15.85546875" bestFit="1" customWidth="1"/>
    <col min="6" max="6" width="10.140625" bestFit="1" customWidth="1"/>
    <col min="7" max="7" width="9.85546875" bestFit="1" customWidth="1"/>
    <col min="8" max="8" width="37.7109375" bestFit="1" customWidth="1"/>
    <col min="9" max="9" width="14.28515625" bestFit="1" customWidth="1"/>
    <col min="10" max="10" width="14.85546875" bestFit="1" customWidth="1"/>
    <col min="11" max="11" width="7.140625" bestFit="1" customWidth="1"/>
    <col min="12" max="12" width="14.140625" bestFit="1" customWidth="1"/>
  </cols>
  <sheetData>
    <row r="1" spans="1:12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</row>
    <row r="2" spans="1:12" hidden="1" x14ac:dyDescent="0.25">
      <c r="A2" s="18" t="s">
        <v>12</v>
      </c>
      <c r="B2" s="18" t="s">
        <v>844</v>
      </c>
      <c r="C2" s="18" t="s">
        <v>14</v>
      </c>
      <c r="D2" s="18" t="s">
        <v>845</v>
      </c>
      <c r="E2" s="18" t="s">
        <v>29</v>
      </c>
      <c r="F2" s="18" t="s">
        <v>24</v>
      </c>
      <c r="G2" s="19" t="s">
        <v>25</v>
      </c>
      <c r="H2" s="18" t="s">
        <v>846</v>
      </c>
      <c r="I2" s="20">
        <v>-2047</v>
      </c>
      <c r="J2" s="20">
        <v>36776</v>
      </c>
      <c r="K2" s="18" t="s">
        <v>20</v>
      </c>
      <c r="L2" s="18" t="s">
        <v>12</v>
      </c>
    </row>
    <row r="3" spans="1:12" x14ac:dyDescent="0.25">
      <c r="A3" s="21" t="s">
        <v>12</v>
      </c>
      <c r="B3" s="21" t="s">
        <v>847</v>
      </c>
      <c r="C3" s="21" t="s">
        <v>14</v>
      </c>
      <c r="D3" s="21" t="s">
        <v>845</v>
      </c>
      <c r="E3" s="21" t="s">
        <v>16</v>
      </c>
      <c r="F3" s="21" t="s">
        <v>17</v>
      </c>
      <c r="G3" s="22" t="s">
        <v>18</v>
      </c>
      <c r="H3" s="21" t="s">
        <v>848</v>
      </c>
      <c r="I3" s="23">
        <v>28100</v>
      </c>
      <c r="J3" s="23">
        <v>8676</v>
      </c>
      <c r="K3" s="21" t="s">
        <v>20</v>
      </c>
      <c r="L3" s="21" t="s">
        <v>12</v>
      </c>
    </row>
    <row r="4" spans="1:12" hidden="1" x14ac:dyDescent="0.25">
      <c r="A4" s="18" t="s">
        <v>624</v>
      </c>
      <c r="B4" s="18" t="s">
        <v>849</v>
      </c>
      <c r="C4" s="18" t="s">
        <v>14</v>
      </c>
      <c r="D4" s="18" t="s">
        <v>845</v>
      </c>
      <c r="E4" s="18" t="s">
        <v>23</v>
      </c>
      <c r="F4" s="18" t="s">
        <v>24</v>
      </c>
      <c r="G4" s="19" t="s">
        <v>25</v>
      </c>
      <c r="H4" s="18" t="s">
        <v>166</v>
      </c>
      <c r="I4" s="20">
        <v>-546</v>
      </c>
      <c r="J4" s="20">
        <v>9222</v>
      </c>
      <c r="K4" s="18" t="s">
        <v>20</v>
      </c>
      <c r="L4" s="18" t="s">
        <v>624</v>
      </c>
    </row>
    <row r="5" spans="1:12" hidden="1" x14ac:dyDescent="0.25">
      <c r="A5" s="21" t="s">
        <v>21</v>
      </c>
      <c r="B5" s="21" t="s">
        <v>850</v>
      </c>
      <c r="C5" s="21" t="s">
        <v>14</v>
      </c>
      <c r="D5" s="21" t="s">
        <v>845</v>
      </c>
      <c r="E5" s="21" t="s">
        <v>29</v>
      </c>
      <c r="F5" s="21" t="s">
        <v>24</v>
      </c>
      <c r="G5" s="24" t="s">
        <v>25</v>
      </c>
      <c r="H5" s="21" t="s">
        <v>30</v>
      </c>
      <c r="I5" s="23">
        <v>-991</v>
      </c>
      <c r="J5" s="23">
        <v>10213</v>
      </c>
      <c r="K5" s="21" t="s">
        <v>20</v>
      </c>
      <c r="L5" s="21" t="s">
        <v>21</v>
      </c>
    </row>
    <row r="6" spans="1:12" hidden="1" x14ac:dyDescent="0.25">
      <c r="A6" s="18" t="s">
        <v>851</v>
      </c>
      <c r="B6" s="18" t="s">
        <v>852</v>
      </c>
      <c r="C6" s="18" t="s">
        <v>14</v>
      </c>
      <c r="D6" s="18" t="s">
        <v>845</v>
      </c>
      <c r="E6" s="18" t="s">
        <v>23</v>
      </c>
      <c r="F6" s="18" t="s">
        <v>24</v>
      </c>
      <c r="G6" s="19" t="s">
        <v>25</v>
      </c>
      <c r="H6" s="18" t="s">
        <v>153</v>
      </c>
      <c r="I6" s="20">
        <v>-545</v>
      </c>
      <c r="J6" s="20">
        <v>10758</v>
      </c>
      <c r="K6" s="18" t="s">
        <v>20</v>
      </c>
      <c r="L6" s="18" t="s">
        <v>851</v>
      </c>
    </row>
    <row r="7" spans="1:12" hidden="1" x14ac:dyDescent="0.25">
      <c r="A7" s="21" t="s">
        <v>31</v>
      </c>
      <c r="B7" s="21" t="s">
        <v>853</v>
      </c>
      <c r="C7" s="21" t="s">
        <v>14</v>
      </c>
      <c r="D7" s="21" t="s">
        <v>845</v>
      </c>
      <c r="E7" s="21" t="s">
        <v>23</v>
      </c>
      <c r="F7" s="21" t="s">
        <v>24</v>
      </c>
      <c r="G7" s="24" t="s">
        <v>25</v>
      </c>
      <c r="H7" s="21" t="s">
        <v>45</v>
      </c>
      <c r="I7" s="23">
        <v>-1500</v>
      </c>
      <c r="J7" s="23">
        <v>12258</v>
      </c>
      <c r="K7" s="21" t="s">
        <v>20</v>
      </c>
      <c r="L7" s="21" t="s">
        <v>31</v>
      </c>
    </row>
    <row r="8" spans="1:12" hidden="1" x14ac:dyDescent="0.25">
      <c r="A8" s="18" t="s">
        <v>35</v>
      </c>
      <c r="B8" s="18" t="s">
        <v>854</v>
      </c>
      <c r="C8" s="18" t="s">
        <v>14</v>
      </c>
      <c r="D8" s="18" t="s">
        <v>845</v>
      </c>
      <c r="E8" s="18" t="s">
        <v>23</v>
      </c>
      <c r="F8" s="18" t="s">
        <v>24</v>
      </c>
      <c r="G8" s="19" t="s">
        <v>25</v>
      </c>
      <c r="H8" s="18" t="s">
        <v>81</v>
      </c>
      <c r="I8" s="20">
        <v>-746</v>
      </c>
      <c r="J8" s="20">
        <v>13004</v>
      </c>
      <c r="K8" s="18" t="s">
        <v>20</v>
      </c>
      <c r="L8" s="18" t="s">
        <v>35</v>
      </c>
    </row>
    <row r="9" spans="1:12" hidden="1" x14ac:dyDescent="0.25">
      <c r="A9" s="21" t="s">
        <v>629</v>
      </c>
      <c r="B9" s="21" t="s">
        <v>855</v>
      </c>
      <c r="C9" s="21" t="s">
        <v>14</v>
      </c>
      <c r="D9" s="21" t="s">
        <v>845</v>
      </c>
      <c r="E9" s="21" t="s">
        <v>23</v>
      </c>
      <c r="F9" s="21" t="s">
        <v>24</v>
      </c>
      <c r="G9" s="24" t="s">
        <v>25</v>
      </c>
      <c r="H9" s="21" t="s">
        <v>112</v>
      </c>
      <c r="I9" s="23">
        <v>-746</v>
      </c>
      <c r="J9" s="23">
        <v>13750</v>
      </c>
      <c r="K9" s="21" t="s">
        <v>20</v>
      </c>
      <c r="L9" s="21" t="s">
        <v>629</v>
      </c>
    </row>
    <row r="10" spans="1:12" hidden="1" x14ac:dyDescent="0.25">
      <c r="A10" s="18" t="s">
        <v>38</v>
      </c>
      <c r="B10" s="18" t="s">
        <v>856</v>
      </c>
      <c r="C10" s="18" t="s">
        <v>14</v>
      </c>
      <c r="D10" s="18" t="s">
        <v>845</v>
      </c>
      <c r="E10" s="18" t="s">
        <v>23</v>
      </c>
      <c r="F10" s="18" t="s">
        <v>24</v>
      </c>
      <c r="G10" s="19" t="s">
        <v>25</v>
      </c>
      <c r="H10" s="18" t="s">
        <v>857</v>
      </c>
      <c r="I10" s="20">
        <v>-529</v>
      </c>
      <c r="J10" s="20">
        <v>14279</v>
      </c>
      <c r="K10" s="18" t="s">
        <v>20</v>
      </c>
      <c r="L10" s="18" t="s">
        <v>38</v>
      </c>
    </row>
    <row r="11" spans="1:12" hidden="1" x14ac:dyDescent="0.25">
      <c r="A11" s="21" t="s">
        <v>43</v>
      </c>
      <c r="B11" s="21" t="s">
        <v>858</v>
      </c>
      <c r="C11" s="21" t="s">
        <v>14</v>
      </c>
      <c r="D11" s="21" t="s">
        <v>845</v>
      </c>
      <c r="E11" s="21" t="s">
        <v>29</v>
      </c>
      <c r="F11" s="21" t="s">
        <v>24</v>
      </c>
      <c r="G11" s="24" t="s">
        <v>25</v>
      </c>
      <c r="H11" s="21" t="s">
        <v>223</v>
      </c>
      <c r="I11" s="23">
        <v>-991</v>
      </c>
      <c r="J11" s="23">
        <v>15270</v>
      </c>
      <c r="K11" s="21" t="s">
        <v>20</v>
      </c>
      <c r="L11" s="21" t="s">
        <v>43</v>
      </c>
    </row>
    <row r="12" spans="1:12" hidden="1" x14ac:dyDescent="0.25">
      <c r="A12" s="18" t="s">
        <v>46</v>
      </c>
      <c r="B12" s="18" t="s">
        <v>859</v>
      </c>
      <c r="C12" s="18" t="s">
        <v>14</v>
      </c>
      <c r="D12" s="18" t="s">
        <v>845</v>
      </c>
      <c r="E12" s="18" t="s">
        <v>23</v>
      </c>
      <c r="F12" s="18" t="s">
        <v>24</v>
      </c>
      <c r="G12" s="19" t="s">
        <v>25</v>
      </c>
      <c r="H12" s="18" t="s">
        <v>857</v>
      </c>
      <c r="I12" s="20">
        <v>-530</v>
      </c>
      <c r="J12" s="20">
        <v>15800</v>
      </c>
      <c r="K12" s="18" t="s">
        <v>20</v>
      </c>
      <c r="L12" s="18" t="s">
        <v>43</v>
      </c>
    </row>
    <row r="13" spans="1:12" hidden="1" x14ac:dyDescent="0.25">
      <c r="A13" s="21" t="s">
        <v>860</v>
      </c>
      <c r="B13" s="21" t="s">
        <v>861</v>
      </c>
      <c r="C13" s="21" t="s">
        <v>14</v>
      </c>
      <c r="D13" s="21" t="s">
        <v>845</v>
      </c>
      <c r="E13" s="21" t="s">
        <v>54</v>
      </c>
      <c r="F13" s="21" t="s">
        <v>24</v>
      </c>
      <c r="G13" s="24" t="s">
        <v>25</v>
      </c>
      <c r="H13" s="21" t="s">
        <v>55</v>
      </c>
      <c r="I13" s="23">
        <v>-410</v>
      </c>
      <c r="J13" s="23">
        <v>16210</v>
      </c>
      <c r="K13" s="21" t="s">
        <v>20</v>
      </c>
      <c r="L13" s="21" t="s">
        <v>860</v>
      </c>
    </row>
    <row r="14" spans="1:12" hidden="1" x14ac:dyDescent="0.25">
      <c r="A14" s="18" t="s">
        <v>633</v>
      </c>
      <c r="B14" s="18" t="s">
        <v>862</v>
      </c>
      <c r="C14" s="18" t="s">
        <v>14</v>
      </c>
      <c r="D14" s="18" t="s">
        <v>845</v>
      </c>
      <c r="E14" s="18" t="s">
        <v>33</v>
      </c>
      <c r="F14" s="18" t="s">
        <v>24</v>
      </c>
      <c r="G14" s="19" t="s">
        <v>25</v>
      </c>
      <c r="H14" s="18" t="s">
        <v>48</v>
      </c>
      <c r="I14" s="20">
        <v>-520</v>
      </c>
      <c r="J14" s="20">
        <v>16730</v>
      </c>
      <c r="K14" s="18" t="s">
        <v>20</v>
      </c>
      <c r="L14" s="18" t="s">
        <v>633</v>
      </c>
    </row>
    <row r="15" spans="1:12" hidden="1" x14ac:dyDescent="0.25">
      <c r="A15" s="21" t="s">
        <v>49</v>
      </c>
      <c r="B15" s="21" t="s">
        <v>863</v>
      </c>
      <c r="C15" s="21" t="s">
        <v>14</v>
      </c>
      <c r="D15" s="21" t="s">
        <v>845</v>
      </c>
      <c r="E15" s="21" t="s">
        <v>23</v>
      </c>
      <c r="F15" s="21" t="s">
        <v>24</v>
      </c>
      <c r="G15" s="24" t="s">
        <v>25</v>
      </c>
      <c r="H15" s="21" t="s">
        <v>51</v>
      </c>
      <c r="I15" s="23">
        <v>-453</v>
      </c>
      <c r="J15" s="23">
        <v>17183</v>
      </c>
      <c r="K15" s="21" t="s">
        <v>20</v>
      </c>
      <c r="L15" s="21" t="s">
        <v>49</v>
      </c>
    </row>
    <row r="16" spans="1:12" hidden="1" x14ac:dyDescent="0.25">
      <c r="A16" s="18" t="s">
        <v>864</v>
      </c>
      <c r="B16" s="18" t="s">
        <v>865</v>
      </c>
      <c r="C16" s="18" t="s">
        <v>14</v>
      </c>
      <c r="D16" s="18" t="s">
        <v>845</v>
      </c>
      <c r="E16" s="18" t="s">
        <v>33</v>
      </c>
      <c r="F16" s="18" t="s">
        <v>24</v>
      </c>
      <c r="G16" s="19" t="s">
        <v>25</v>
      </c>
      <c r="H16" s="18" t="s">
        <v>34</v>
      </c>
      <c r="I16" s="20">
        <v>-1095</v>
      </c>
      <c r="J16" s="20">
        <v>18278</v>
      </c>
      <c r="K16" s="18" t="s">
        <v>20</v>
      </c>
      <c r="L16" s="18" t="s">
        <v>864</v>
      </c>
    </row>
    <row r="17" spans="1:12" hidden="1" x14ac:dyDescent="0.25">
      <c r="A17" s="21" t="s">
        <v>634</v>
      </c>
      <c r="B17" s="21" t="s">
        <v>866</v>
      </c>
      <c r="C17" s="21" t="s">
        <v>14</v>
      </c>
      <c r="D17" s="21" t="s">
        <v>845</v>
      </c>
      <c r="E17" s="21" t="s">
        <v>23</v>
      </c>
      <c r="F17" s="21" t="s">
        <v>24</v>
      </c>
      <c r="G17" s="24" t="s">
        <v>25</v>
      </c>
      <c r="H17" s="21" t="s">
        <v>37</v>
      </c>
      <c r="I17" s="23">
        <v>-760</v>
      </c>
      <c r="J17" s="23">
        <v>19038</v>
      </c>
      <c r="K17" s="21" t="s">
        <v>20</v>
      </c>
      <c r="L17" s="21" t="s">
        <v>634</v>
      </c>
    </row>
    <row r="18" spans="1:12" hidden="1" x14ac:dyDescent="0.25">
      <c r="A18" s="18" t="s">
        <v>636</v>
      </c>
      <c r="B18" s="18" t="s">
        <v>867</v>
      </c>
      <c r="C18" s="18" t="s">
        <v>14</v>
      </c>
      <c r="D18" s="18" t="s">
        <v>845</v>
      </c>
      <c r="E18" s="18" t="s">
        <v>23</v>
      </c>
      <c r="F18" s="18" t="s">
        <v>24</v>
      </c>
      <c r="G18" s="19" t="s">
        <v>25</v>
      </c>
      <c r="H18" s="18" t="s">
        <v>98</v>
      </c>
      <c r="I18" s="20">
        <v>-745</v>
      </c>
      <c r="J18" s="20">
        <v>19783</v>
      </c>
      <c r="K18" s="18" t="s">
        <v>20</v>
      </c>
      <c r="L18" s="18" t="s">
        <v>636</v>
      </c>
    </row>
    <row r="19" spans="1:12" hidden="1" x14ac:dyDescent="0.25">
      <c r="A19" s="21" t="s">
        <v>56</v>
      </c>
      <c r="B19" s="21" t="s">
        <v>868</v>
      </c>
      <c r="C19" s="21" t="s">
        <v>14</v>
      </c>
      <c r="D19" s="21" t="s">
        <v>845</v>
      </c>
      <c r="E19" s="21" t="s">
        <v>23</v>
      </c>
      <c r="F19" s="21" t="s">
        <v>24</v>
      </c>
      <c r="G19" s="24" t="s">
        <v>25</v>
      </c>
      <c r="H19" s="21" t="s">
        <v>120</v>
      </c>
      <c r="I19" s="23">
        <v>-454</v>
      </c>
      <c r="J19" s="23">
        <v>20237</v>
      </c>
      <c r="K19" s="21" t="s">
        <v>20</v>
      </c>
      <c r="L19" s="21" t="s">
        <v>56</v>
      </c>
    </row>
    <row r="20" spans="1:12" hidden="1" x14ac:dyDescent="0.25">
      <c r="A20" s="18" t="s">
        <v>869</v>
      </c>
      <c r="B20" s="18" t="s">
        <v>870</v>
      </c>
      <c r="C20" s="18" t="s">
        <v>14</v>
      </c>
      <c r="D20" s="18" t="s">
        <v>845</v>
      </c>
      <c r="E20" s="18" t="s">
        <v>23</v>
      </c>
      <c r="F20" s="18" t="s">
        <v>24</v>
      </c>
      <c r="G20" s="19" t="s">
        <v>25</v>
      </c>
      <c r="H20" s="18" t="s">
        <v>98</v>
      </c>
      <c r="I20" s="20">
        <v>-746</v>
      </c>
      <c r="J20" s="20">
        <v>20983</v>
      </c>
      <c r="K20" s="18" t="s">
        <v>20</v>
      </c>
      <c r="L20" s="18" t="s">
        <v>869</v>
      </c>
    </row>
    <row r="21" spans="1:12" hidden="1" x14ac:dyDescent="0.25">
      <c r="A21" s="21" t="s">
        <v>871</v>
      </c>
      <c r="B21" s="21" t="s">
        <v>872</v>
      </c>
      <c r="C21" s="21" t="s">
        <v>14</v>
      </c>
      <c r="D21" s="21" t="s">
        <v>845</v>
      </c>
      <c r="E21" s="21" t="s">
        <v>23</v>
      </c>
      <c r="F21" s="21" t="s">
        <v>24</v>
      </c>
      <c r="G21" s="24" t="s">
        <v>25</v>
      </c>
      <c r="H21" s="21" t="s">
        <v>58</v>
      </c>
      <c r="I21" s="23">
        <v>-546</v>
      </c>
      <c r="J21" s="23">
        <v>21529</v>
      </c>
      <c r="K21" s="21" t="s">
        <v>20</v>
      </c>
      <c r="L21" s="21" t="s">
        <v>871</v>
      </c>
    </row>
    <row r="22" spans="1:12" hidden="1" x14ac:dyDescent="0.25">
      <c r="A22" s="18" t="s">
        <v>873</v>
      </c>
      <c r="B22" s="18" t="s">
        <v>874</v>
      </c>
      <c r="C22" s="18" t="s">
        <v>14</v>
      </c>
      <c r="D22" s="18" t="s">
        <v>845</v>
      </c>
      <c r="E22" s="18" t="s">
        <v>33</v>
      </c>
      <c r="F22" s="18" t="s">
        <v>24</v>
      </c>
      <c r="G22" s="19" t="s">
        <v>25</v>
      </c>
      <c r="H22" s="18" t="s">
        <v>875</v>
      </c>
      <c r="I22" s="20">
        <v>-4000</v>
      </c>
      <c r="J22" s="20">
        <v>25529</v>
      </c>
      <c r="K22" s="18" t="s">
        <v>20</v>
      </c>
      <c r="L22" s="18" t="s">
        <v>873</v>
      </c>
    </row>
    <row r="23" spans="1:12" x14ac:dyDescent="0.25">
      <c r="A23" s="21" t="s">
        <v>63</v>
      </c>
      <c r="B23" s="21" t="s">
        <v>876</v>
      </c>
      <c r="C23" s="21" t="s">
        <v>14</v>
      </c>
      <c r="D23" s="21" t="s">
        <v>845</v>
      </c>
      <c r="E23" s="21" t="s">
        <v>16</v>
      </c>
      <c r="F23" s="21" t="s">
        <v>17</v>
      </c>
      <c r="G23" s="22" t="s">
        <v>18</v>
      </c>
      <c r="H23" s="21" t="s">
        <v>848</v>
      </c>
      <c r="I23" s="23">
        <v>27800</v>
      </c>
      <c r="J23" s="23">
        <v>-2271</v>
      </c>
      <c r="K23" s="21" t="s">
        <v>20</v>
      </c>
      <c r="L23" s="21" t="s">
        <v>63</v>
      </c>
    </row>
    <row r="24" spans="1:12" hidden="1" x14ac:dyDescent="0.25">
      <c r="A24" s="18" t="s">
        <v>63</v>
      </c>
      <c r="B24" s="18" t="s">
        <v>877</v>
      </c>
      <c r="C24" s="18" t="s">
        <v>14</v>
      </c>
      <c r="D24" s="18" t="s">
        <v>845</v>
      </c>
      <c r="E24" s="18" t="s">
        <v>23</v>
      </c>
      <c r="F24" s="18" t="s">
        <v>24</v>
      </c>
      <c r="G24" s="19" t="s">
        <v>25</v>
      </c>
      <c r="H24" s="18" t="s">
        <v>72</v>
      </c>
      <c r="I24" s="20">
        <v>-813</v>
      </c>
      <c r="J24" s="20">
        <v>-1458</v>
      </c>
      <c r="K24" s="18" t="s">
        <v>20</v>
      </c>
      <c r="L24" s="18" t="s">
        <v>63</v>
      </c>
    </row>
    <row r="25" spans="1:12" hidden="1" x14ac:dyDescent="0.25">
      <c r="A25" s="21" t="s">
        <v>878</v>
      </c>
      <c r="B25" s="21" t="s">
        <v>879</v>
      </c>
      <c r="C25" s="21" t="s">
        <v>14</v>
      </c>
      <c r="D25" s="21" t="s">
        <v>845</v>
      </c>
      <c r="E25" s="21" t="s">
        <v>54</v>
      </c>
      <c r="F25" s="21" t="s">
        <v>24</v>
      </c>
      <c r="G25" s="24" t="s">
        <v>25</v>
      </c>
      <c r="H25" s="21" t="s">
        <v>103</v>
      </c>
      <c r="I25" s="23">
        <v>-405</v>
      </c>
      <c r="J25" s="23">
        <v>-1053</v>
      </c>
      <c r="K25" s="21" t="s">
        <v>20</v>
      </c>
      <c r="L25" s="21" t="s">
        <v>878</v>
      </c>
    </row>
    <row r="26" spans="1:12" hidden="1" x14ac:dyDescent="0.25">
      <c r="A26" s="18" t="s">
        <v>642</v>
      </c>
      <c r="B26" s="18" t="s">
        <v>880</v>
      </c>
      <c r="C26" s="18" t="s">
        <v>14</v>
      </c>
      <c r="D26" s="18" t="s">
        <v>845</v>
      </c>
      <c r="E26" s="18" t="s">
        <v>33</v>
      </c>
      <c r="F26" s="18" t="s">
        <v>24</v>
      </c>
      <c r="G26" s="19" t="s">
        <v>25</v>
      </c>
      <c r="H26" s="18" t="s">
        <v>115</v>
      </c>
      <c r="I26" s="20">
        <v>-1342</v>
      </c>
      <c r="J26" s="20">
        <v>289</v>
      </c>
      <c r="K26" s="18" t="s">
        <v>20</v>
      </c>
      <c r="L26" s="18" t="s">
        <v>642</v>
      </c>
    </row>
    <row r="27" spans="1:12" hidden="1" x14ac:dyDescent="0.25">
      <c r="A27" s="21" t="s">
        <v>644</v>
      </c>
      <c r="B27" s="21" t="s">
        <v>881</v>
      </c>
      <c r="C27" s="21" t="s">
        <v>14</v>
      </c>
      <c r="D27" s="21" t="s">
        <v>845</v>
      </c>
      <c r="E27" s="21" t="s">
        <v>23</v>
      </c>
      <c r="F27" s="21" t="s">
        <v>24</v>
      </c>
      <c r="G27" s="24" t="s">
        <v>25</v>
      </c>
      <c r="H27" s="21" t="s">
        <v>26</v>
      </c>
      <c r="I27" s="23">
        <v>-1163</v>
      </c>
      <c r="J27" s="23">
        <v>1452</v>
      </c>
      <c r="K27" s="21" t="s">
        <v>20</v>
      </c>
      <c r="L27" s="21" t="s">
        <v>644</v>
      </c>
    </row>
    <row r="28" spans="1:12" hidden="1" x14ac:dyDescent="0.25">
      <c r="A28" s="18" t="s">
        <v>68</v>
      </c>
      <c r="B28" s="18" t="s">
        <v>882</v>
      </c>
      <c r="C28" s="18" t="s">
        <v>14</v>
      </c>
      <c r="D28" s="18" t="s">
        <v>845</v>
      </c>
      <c r="E28" s="18" t="s">
        <v>29</v>
      </c>
      <c r="F28" s="18" t="s">
        <v>24</v>
      </c>
      <c r="G28" s="19" t="s">
        <v>25</v>
      </c>
      <c r="H28" s="18" t="s">
        <v>883</v>
      </c>
      <c r="I28" s="20">
        <v>-2405</v>
      </c>
      <c r="J28" s="20">
        <v>3857</v>
      </c>
      <c r="K28" s="18" t="s">
        <v>20</v>
      </c>
      <c r="L28" s="18" t="s">
        <v>68</v>
      </c>
    </row>
    <row r="29" spans="1:12" hidden="1" x14ac:dyDescent="0.25">
      <c r="A29" s="21" t="s">
        <v>884</v>
      </c>
      <c r="B29" s="21" t="s">
        <v>885</v>
      </c>
      <c r="C29" s="21" t="s">
        <v>14</v>
      </c>
      <c r="D29" s="21" t="s">
        <v>845</v>
      </c>
      <c r="E29" s="21" t="s">
        <v>29</v>
      </c>
      <c r="F29" s="21" t="s">
        <v>24</v>
      </c>
      <c r="G29" s="24" t="s">
        <v>25</v>
      </c>
      <c r="H29" s="21" t="s">
        <v>223</v>
      </c>
      <c r="I29" s="23">
        <v>-904</v>
      </c>
      <c r="J29" s="23">
        <v>4761</v>
      </c>
      <c r="K29" s="21" t="s">
        <v>20</v>
      </c>
      <c r="L29" s="21" t="s">
        <v>884</v>
      </c>
    </row>
    <row r="30" spans="1:12" hidden="1" x14ac:dyDescent="0.25">
      <c r="A30" s="18" t="s">
        <v>73</v>
      </c>
      <c r="B30" s="18" t="s">
        <v>886</v>
      </c>
      <c r="C30" s="18" t="s">
        <v>14</v>
      </c>
      <c r="D30" s="18" t="s">
        <v>845</v>
      </c>
      <c r="E30" s="18" t="s">
        <v>23</v>
      </c>
      <c r="F30" s="18" t="s">
        <v>24</v>
      </c>
      <c r="G30" s="19" t="s">
        <v>25</v>
      </c>
      <c r="H30" s="18" t="s">
        <v>37</v>
      </c>
      <c r="I30" s="20">
        <v>-724</v>
      </c>
      <c r="J30" s="20">
        <v>5485</v>
      </c>
      <c r="K30" s="18" t="s">
        <v>20</v>
      </c>
      <c r="L30" s="18" t="s">
        <v>73</v>
      </c>
    </row>
    <row r="31" spans="1:12" hidden="1" x14ac:dyDescent="0.25">
      <c r="A31" s="21" t="s">
        <v>70</v>
      </c>
      <c r="B31" s="21" t="s">
        <v>887</v>
      </c>
      <c r="C31" s="21" t="s">
        <v>14</v>
      </c>
      <c r="D31" s="21" t="s">
        <v>845</v>
      </c>
      <c r="E31" s="21" t="s">
        <v>23</v>
      </c>
      <c r="F31" s="21" t="s">
        <v>24</v>
      </c>
      <c r="G31" s="24" t="s">
        <v>25</v>
      </c>
      <c r="H31" s="21" t="s">
        <v>72</v>
      </c>
      <c r="I31" s="23">
        <v>-814</v>
      </c>
      <c r="J31" s="23">
        <v>6299</v>
      </c>
      <c r="K31" s="21" t="s">
        <v>20</v>
      </c>
      <c r="L31" s="21" t="s">
        <v>70</v>
      </c>
    </row>
    <row r="32" spans="1:12" hidden="1" x14ac:dyDescent="0.25">
      <c r="A32" s="18" t="s">
        <v>74</v>
      </c>
      <c r="B32" s="18" t="s">
        <v>888</v>
      </c>
      <c r="C32" s="18" t="s">
        <v>14</v>
      </c>
      <c r="D32" s="18" t="s">
        <v>845</v>
      </c>
      <c r="E32" s="18" t="s">
        <v>23</v>
      </c>
      <c r="F32" s="18" t="s">
        <v>24</v>
      </c>
      <c r="G32" s="19" t="s">
        <v>25</v>
      </c>
      <c r="H32" s="18" t="s">
        <v>51</v>
      </c>
      <c r="I32" s="20">
        <v>-1190</v>
      </c>
      <c r="J32" s="20">
        <v>7489</v>
      </c>
      <c r="K32" s="18" t="s">
        <v>20</v>
      </c>
      <c r="L32" s="18" t="s">
        <v>74</v>
      </c>
    </row>
    <row r="33" spans="1:12" hidden="1" x14ac:dyDescent="0.25">
      <c r="A33" s="21" t="s">
        <v>889</v>
      </c>
      <c r="B33" s="21" t="s">
        <v>890</v>
      </c>
      <c r="C33" s="21" t="s">
        <v>14</v>
      </c>
      <c r="D33" s="21" t="s">
        <v>845</v>
      </c>
      <c r="E33" s="21" t="s">
        <v>23</v>
      </c>
      <c r="F33" s="21" t="s">
        <v>24</v>
      </c>
      <c r="G33" s="24" t="s">
        <v>25</v>
      </c>
      <c r="H33" s="21" t="s">
        <v>334</v>
      </c>
      <c r="I33" s="23">
        <v>-955</v>
      </c>
      <c r="J33" s="23">
        <v>8444</v>
      </c>
      <c r="K33" s="21" t="s">
        <v>20</v>
      </c>
      <c r="L33" s="21" t="s">
        <v>889</v>
      </c>
    </row>
    <row r="34" spans="1:12" hidden="1" x14ac:dyDescent="0.25">
      <c r="A34" s="18" t="s">
        <v>891</v>
      </c>
      <c r="B34" s="18" t="s">
        <v>892</v>
      </c>
      <c r="C34" s="18" t="s">
        <v>14</v>
      </c>
      <c r="D34" s="18" t="s">
        <v>845</v>
      </c>
      <c r="E34" s="18" t="s">
        <v>23</v>
      </c>
      <c r="F34" s="18" t="s">
        <v>24</v>
      </c>
      <c r="G34" s="19" t="s">
        <v>25</v>
      </c>
      <c r="H34" s="18" t="s">
        <v>145</v>
      </c>
      <c r="I34" s="20">
        <v>-813</v>
      </c>
      <c r="J34" s="20">
        <v>9257</v>
      </c>
      <c r="K34" s="18" t="s">
        <v>20</v>
      </c>
      <c r="L34" s="18" t="s">
        <v>889</v>
      </c>
    </row>
    <row r="35" spans="1:12" hidden="1" x14ac:dyDescent="0.25">
      <c r="A35" s="21" t="s">
        <v>77</v>
      </c>
      <c r="B35" s="21" t="s">
        <v>893</v>
      </c>
      <c r="C35" s="21" t="s">
        <v>14</v>
      </c>
      <c r="D35" s="21" t="s">
        <v>845</v>
      </c>
      <c r="E35" s="21" t="s">
        <v>29</v>
      </c>
      <c r="F35" s="21" t="s">
        <v>24</v>
      </c>
      <c r="G35" s="24" t="s">
        <v>25</v>
      </c>
      <c r="H35" s="21" t="s">
        <v>223</v>
      </c>
      <c r="I35" s="23">
        <v>-905</v>
      </c>
      <c r="J35" s="23">
        <v>10162</v>
      </c>
      <c r="K35" s="21" t="s">
        <v>20</v>
      </c>
      <c r="L35" s="21" t="s">
        <v>77</v>
      </c>
    </row>
    <row r="36" spans="1:12" hidden="1" x14ac:dyDescent="0.25">
      <c r="A36" s="18" t="s">
        <v>79</v>
      </c>
      <c r="B36" s="18" t="s">
        <v>894</v>
      </c>
      <c r="C36" s="18" t="s">
        <v>14</v>
      </c>
      <c r="D36" s="18" t="s">
        <v>845</v>
      </c>
      <c r="E36" s="18" t="s">
        <v>33</v>
      </c>
      <c r="F36" s="18" t="s">
        <v>24</v>
      </c>
      <c r="G36" s="19" t="s">
        <v>25</v>
      </c>
      <c r="H36" s="18" t="s">
        <v>190</v>
      </c>
      <c r="I36" s="20">
        <v>-526</v>
      </c>
      <c r="J36" s="20">
        <v>10688</v>
      </c>
      <c r="K36" s="18" t="s">
        <v>20</v>
      </c>
      <c r="L36" s="18" t="s">
        <v>79</v>
      </c>
    </row>
    <row r="37" spans="1:12" hidden="1" x14ac:dyDescent="0.25">
      <c r="A37" s="21" t="s">
        <v>895</v>
      </c>
      <c r="B37" s="21" t="s">
        <v>896</v>
      </c>
      <c r="C37" s="21" t="s">
        <v>14</v>
      </c>
      <c r="D37" s="21" t="s">
        <v>845</v>
      </c>
      <c r="E37" s="21" t="s">
        <v>23</v>
      </c>
      <c r="F37" s="21" t="s">
        <v>24</v>
      </c>
      <c r="G37" s="24" t="s">
        <v>25</v>
      </c>
      <c r="H37" s="21" t="s">
        <v>95</v>
      </c>
      <c r="I37" s="23">
        <v>-954</v>
      </c>
      <c r="J37" s="23">
        <v>11642</v>
      </c>
      <c r="K37" s="21" t="s">
        <v>20</v>
      </c>
      <c r="L37" s="21" t="s">
        <v>895</v>
      </c>
    </row>
    <row r="38" spans="1:12" hidden="1" x14ac:dyDescent="0.25">
      <c r="A38" s="18" t="s">
        <v>88</v>
      </c>
      <c r="B38" s="18" t="s">
        <v>897</v>
      </c>
      <c r="C38" s="18" t="s">
        <v>14</v>
      </c>
      <c r="D38" s="18" t="s">
        <v>845</v>
      </c>
      <c r="E38" s="18" t="s">
        <v>23</v>
      </c>
      <c r="F38" s="18" t="s">
        <v>24</v>
      </c>
      <c r="G38" s="19" t="s">
        <v>25</v>
      </c>
      <c r="H38" s="18" t="s">
        <v>857</v>
      </c>
      <c r="I38" s="20">
        <v>-1287</v>
      </c>
      <c r="J38" s="20">
        <v>12929</v>
      </c>
      <c r="K38" s="18" t="s">
        <v>20</v>
      </c>
      <c r="L38" s="18" t="s">
        <v>88</v>
      </c>
    </row>
    <row r="39" spans="1:12" hidden="1" x14ac:dyDescent="0.25">
      <c r="A39" s="21" t="s">
        <v>96</v>
      </c>
      <c r="B39" s="21" t="s">
        <v>898</v>
      </c>
      <c r="C39" s="21" t="s">
        <v>14</v>
      </c>
      <c r="D39" s="21" t="s">
        <v>845</v>
      </c>
      <c r="E39" s="21" t="s">
        <v>33</v>
      </c>
      <c r="F39" s="21" t="s">
        <v>24</v>
      </c>
      <c r="G39" s="24" t="s">
        <v>25</v>
      </c>
      <c r="H39" s="21" t="s">
        <v>875</v>
      </c>
      <c r="I39" s="23">
        <v>-4000</v>
      </c>
      <c r="J39" s="23">
        <v>16929</v>
      </c>
      <c r="K39" s="21" t="s">
        <v>20</v>
      </c>
      <c r="L39" s="21" t="s">
        <v>96</v>
      </c>
    </row>
    <row r="40" spans="1:12" hidden="1" x14ac:dyDescent="0.25">
      <c r="A40" s="18" t="s">
        <v>106</v>
      </c>
      <c r="B40" s="18" t="s">
        <v>899</v>
      </c>
      <c r="C40" s="18" t="s">
        <v>14</v>
      </c>
      <c r="D40" s="18" t="s">
        <v>845</v>
      </c>
      <c r="E40" s="18" t="s">
        <v>33</v>
      </c>
      <c r="F40" s="18" t="s">
        <v>24</v>
      </c>
      <c r="G40" s="19" t="s">
        <v>25</v>
      </c>
      <c r="H40" s="18" t="s">
        <v>67</v>
      </c>
      <c r="I40" s="20">
        <v>-622</v>
      </c>
      <c r="J40" s="20">
        <v>17551</v>
      </c>
      <c r="K40" s="18" t="s">
        <v>20</v>
      </c>
      <c r="L40" s="18" t="s">
        <v>106</v>
      </c>
    </row>
    <row r="41" spans="1:12" hidden="1" x14ac:dyDescent="0.25">
      <c r="A41" s="21" t="s">
        <v>653</v>
      </c>
      <c r="B41" s="21" t="s">
        <v>900</v>
      </c>
      <c r="C41" s="21" t="s">
        <v>14</v>
      </c>
      <c r="D41" s="21" t="s">
        <v>845</v>
      </c>
      <c r="E41" s="21" t="s">
        <v>23</v>
      </c>
      <c r="F41" s="21" t="s">
        <v>24</v>
      </c>
      <c r="G41" s="24" t="s">
        <v>25</v>
      </c>
      <c r="H41" s="21" t="s">
        <v>72</v>
      </c>
      <c r="I41" s="23">
        <v>-877</v>
      </c>
      <c r="J41" s="23">
        <v>18428</v>
      </c>
      <c r="K41" s="21" t="s">
        <v>20</v>
      </c>
      <c r="L41" s="21" t="s">
        <v>653</v>
      </c>
    </row>
    <row r="42" spans="1:12" hidden="1" x14ac:dyDescent="0.25">
      <c r="A42" s="18" t="s">
        <v>108</v>
      </c>
      <c r="B42" s="18" t="s">
        <v>901</v>
      </c>
      <c r="C42" s="18" t="s">
        <v>14</v>
      </c>
      <c r="D42" s="18" t="s">
        <v>845</v>
      </c>
      <c r="E42" s="18" t="s">
        <v>23</v>
      </c>
      <c r="F42" s="18" t="s">
        <v>24</v>
      </c>
      <c r="G42" s="19" t="s">
        <v>25</v>
      </c>
      <c r="H42" s="18" t="s">
        <v>145</v>
      </c>
      <c r="I42" s="20">
        <v>-877</v>
      </c>
      <c r="J42" s="20">
        <v>19305</v>
      </c>
      <c r="K42" s="18" t="s">
        <v>20</v>
      </c>
      <c r="L42" s="18" t="s">
        <v>108</v>
      </c>
    </row>
    <row r="43" spans="1:12" x14ac:dyDescent="0.25">
      <c r="A43" s="21" t="s">
        <v>108</v>
      </c>
      <c r="B43" s="21" t="s">
        <v>902</v>
      </c>
      <c r="C43" s="21" t="s">
        <v>14</v>
      </c>
      <c r="D43" s="21" t="s">
        <v>845</v>
      </c>
      <c r="E43" s="21" t="s">
        <v>16</v>
      </c>
      <c r="F43" s="21" t="s">
        <v>17</v>
      </c>
      <c r="G43" s="22" t="s">
        <v>18</v>
      </c>
      <c r="H43" s="21" t="s">
        <v>848</v>
      </c>
      <c r="I43" s="23">
        <v>28200</v>
      </c>
      <c r="J43" s="23">
        <v>-8895</v>
      </c>
      <c r="K43" s="21" t="s">
        <v>20</v>
      </c>
      <c r="L43" s="21" t="s">
        <v>108</v>
      </c>
    </row>
    <row r="44" spans="1:12" hidden="1" x14ac:dyDescent="0.25">
      <c r="A44" s="18" t="s">
        <v>656</v>
      </c>
      <c r="B44" s="18" t="s">
        <v>903</v>
      </c>
      <c r="C44" s="18" t="s">
        <v>14</v>
      </c>
      <c r="D44" s="18" t="s">
        <v>845</v>
      </c>
      <c r="E44" s="18" t="s">
        <v>23</v>
      </c>
      <c r="F44" s="18" t="s">
        <v>24</v>
      </c>
      <c r="G44" s="19" t="s">
        <v>25</v>
      </c>
      <c r="H44" s="18" t="s">
        <v>37</v>
      </c>
      <c r="I44" s="20">
        <v>-1795</v>
      </c>
      <c r="J44" s="20">
        <v>-7100</v>
      </c>
      <c r="K44" s="18" t="s">
        <v>20</v>
      </c>
      <c r="L44" s="18" t="s">
        <v>656</v>
      </c>
    </row>
    <row r="45" spans="1:12" hidden="1" x14ac:dyDescent="0.25">
      <c r="A45" s="21" t="s">
        <v>110</v>
      </c>
      <c r="B45" s="21" t="s">
        <v>904</v>
      </c>
      <c r="C45" s="21" t="s">
        <v>14</v>
      </c>
      <c r="D45" s="21" t="s">
        <v>845</v>
      </c>
      <c r="E45" s="21" t="s">
        <v>23</v>
      </c>
      <c r="F45" s="21" t="s">
        <v>24</v>
      </c>
      <c r="G45" s="24" t="s">
        <v>25</v>
      </c>
      <c r="H45" s="21" t="s">
        <v>125</v>
      </c>
      <c r="I45" s="23">
        <v>-759</v>
      </c>
      <c r="J45" s="23">
        <v>-6341</v>
      </c>
      <c r="K45" s="21" t="s">
        <v>20</v>
      </c>
      <c r="L45" s="21" t="s">
        <v>110</v>
      </c>
    </row>
    <row r="46" spans="1:12" hidden="1" x14ac:dyDescent="0.25">
      <c r="A46" s="18" t="s">
        <v>113</v>
      </c>
      <c r="B46" s="18" t="s">
        <v>905</v>
      </c>
      <c r="C46" s="18" t="s">
        <v>14</v>
      </c>
      <c r="D46" s="18" t="s">
        <v>845</v>
      </c>
      <c r="E46" s="18" t="s">
        <v>23</v>
      </c>
      <c r="F46" s="18" t="s">
        <v>24</v>
      </c>
      <c r="G46" s="19" t="s">
        <v>25</v>
      </c>
      <c r="H46" s="18" t="s">
        <v>857</v>
      </c>
      <c r="I46" s="20">
        <v>-549</v>
      </c>
      <c r="J46" s="20">
        <v>-5792</v>
      </c>
      <c r="K46" s="18" t="s">
        <v>20</v>
      </c>
      <c r="L46" s="18" t="s">
        <v>113</v>
      </c>
    </row>
    <row r="47" spans="1:12" hidden="1" x14ac:dyDescent="0.25">
      <c r="A47" s="21" t="s">
        <v>906</v>
      </c>
      <c r="B47" s="21" t="s">
        <v>907</v>
      </c>
      <c r="C47" s="21" t="s">
        <v>14</v>
      </c>
      <c r="D47" s="21" t="s">
        <v>845</v>
      </c>
      <c r="E47" s="21" t="s">
        <v>23</v>
      </c>
      <c r="F47" s="21" t="s">
        <v>24</v>
      </c>
      <c r="G47" s="24" t="s">
        <v>25</v>
      </c>
      <c r="H47" s="21" t="s">
        <v>40</v>
      </c>
      <c r="I47" s="23">
        <v>-877</v>
      </c>
      <c r="J47" s="23">
        <v>-4915</v>
      </c>
      <c r="K47" s="21" t="s">
        <v>20</v>
      </c>
      <c r="L47" s="21" t="s">
        <v>906</v>
      </c>
    </row>
    <row r="48" spans="1:12" hidden="1" x14ac:dyDescent="0.25">
      <c r="A48" s="18" t="s">
        <v>116</v>
      </c>
      <c r="B48" s="18" t="s">
        <v>908</v>
      </c>
      <c r="C48" s="18" t="s">
        <v>14</v>
      </c>
      <c r="D48" s="18" t="s">
        <v>845</v>
      </c>
      <c r="E48" s="18" t="s">
        <v>23</v>
      </c>
      <c r="F48" s="18" t="s">
        <v>24</v>
      </c>
      <c r="G48" s="19" t="s">
        <v>25</v>
      </c>
      <c r="H48" s="18" t="s">
        <v>909</v>
      </c>
      <c r="I48" s="20">
        <v>-816</v>
      </c>
      <c r="J48" s="20">
        <v>-4099</v>
      </c>
      <c r="K48" s="18" t="s">
        <v>20</v>
      </c>
      <c r="L48" s="18" t="s">
        <v>116</v>
      </c>
    </row>
    <row r="49" spans="1:12" hidden="1" x14ac:dyDescent="0.25">
      <c r="A49" s="21" t="s">
        <v>910</v>
      </c>
      <c r="B49" s="21" t="s">
        <v>911</v>
      </c>
      <c r="C49" s="21" t="s">
        <v>14</v>
      </c>
      <c r="D49" s="21" t="s">
        <v>845</v>
      </c>
      <c r="E49" s="21" t="s">
        <v>29</v>
      </c>
      <c r="F49" s="21" t="s">
        <v>24</v>
      </c>
      <c r="G49" s="24" t="s">
        <v>25</v>
      </c>
      <c r="H49" s="21" t="s">
        <v>883</v>
      </c>
      <c r="I49" s="23">
        <v>-2083</v>
      </c>
      <c r="J49" s="23">
        <v>-2016</v>
      </c>
      <c r="K49" s="21" t="s">
        <v>20</v>
      </c>
      <c r="L49" s="21" t="s">
        <v>910</v>
      </c>
    </row>
    <row r="50" spans="1:12" hidden="1" x14ac:dyDescent="0.25">
      <c r="A50" s="18" t="s">
        <v>912</v>
      </c>
      <c r="B50" s="18" t="s">
        <v>913</v>
      </c>
      <c r="C50" s="18" t="s">
        <v>14</v>
      </c>
      <c r="D50" s="18" t="s">
        <v>845</v>
      </c>
      <c r="E50" s="18" t="s">
        <v>23</v>
      </c>
      <c r="F50" s="18" t="s">
        <v>24</v>
      </c>
      <c r="G50" s="19" t="s">
        <v>25</v>
      </c>
      <c r="H50" s="18" t="s">
        <v>120</v>
      </c>
      <c r="I50" s="20">
        <v>-503</v>
      </c>
      <c r="J50" s="20">
        <v>-1513</v>
      </c>
      <c r="K50" s="18" t="s">
        <v>20</v>
      </c>
      <c r="L50" s="18" t="s">
        <v>912</v>
      </c>
    </row>
    <row r="51" spans="1:12" hidden="1" x14ac:dyDescent="0.25">
      <c r="A51" s="21" t="s">
        <v>660</v>
      </c>
      <c r="B51" s="21" t="s">
        <v>914</v>
      </c>
      <c r="C51" s="21" t="s">
        <v>14</v>
      </c>
      <c r="D51" s="21" t="s">
        <v>845</v>
      </c>
      <c r="E51" s="21" t="s">
        <v>54</v>
      </c>
      <c r="F51" s="21" t="s">
        <v>24</v>
      </c>
      <c r="G51" s="24" t="s">
        <v>25</v>
      </c>
      <c r="H51" s="21" t="s">
        <v>647</v>
      </c>
      <c r="I51" s="23">
        <v>-391</v>
      </c>
      <c r="J51" s="23">
        <v>-1122</v>
      </c>
      <c r="K51" s="21" t="s">
        <v>20</v>
      </c>
      <c r="L51" s="21" t="s">
        <v>660</v>
      </c>
    </row>
    <row r="52" spans="1:12" hidden="1" x14ac:dyDescent="0.25">
      <c r="A52" s="18" t="s">
        <v>121</v>
      </c>
      <c r="B52" s="18" t="s">
        <v>915</v>
      </c>
      <c r="C52" s="18" t="s">
        <v>14</v>
      </c>
      <c r="D52" s="18" t="s">
        <v>845</v>
      </c>
      <c r="E52" s="18" t="s">
        <v>23</v>
      </c>
      <c r="F52" s="18" t="s">
        <v>24</v>
      </c>
      <c r="G52" s="19" t="s">
        <v>25</v>
      </c>
      <c r="H52" s="18" t="s">
        <v>95</v>
      </c>
      <c r="I52" s="20">
        <v>-817</v>
      </c>
      <c r="J52" s="20">
        <v>36776</v>
      </c>
      <c r="K52" s="18" t="s">
        <v>20</v>
      </c>
      <c r="L52" s="18" t="s">
        <v>121</v>
      </c>
    </row>
    <row r="53" spans="1:12" hidden="1" x14ac:dyDescent="0.25">
      <c r="A53" s="21" t="s">
        <v>916</v>
      </c>
      <c r="B53" s="21" t="s">
        <v>917</v>
      </c>
      <c r="C53" s="21" t="s">
        <v>14</v>
      </c>
      <c r="D53" s="21" t="s">
        <v>845</v>
      </c>
      <c r="E53" s="21" t="s">
        <v>33</v>
      </c>
      <c r="F53" s="21" t="s">
        <v>24</v>
      </c>
      <c r="G53" s="24" t="s">
        <v>25</v>
      </c>
      <c r="H53" s="21" t="s">
        <v>115</v>
      </c>
      <c r="I53" s="23">
        <v>-1175</v>
      </c>
      <c r="J53" s="23">
        <v>37951</v>
      </c>
      <c r="K53" s="21" t="s">
        <v>20</v>
      </c>
      <c r="L53" s="21" t="s">
        <v>916</v>
      </c>
    </row>
    <row r="54" spans="1:12" hidden="1" x14ac:dyDescent="0.25">
      <c r="A54" s="18" t="s">
        <v>129</v>
      </c>
      <c r="B54" s="18" t="s">
        <v>918</v>
      </c>
      <c r="C54" s="18" t="s">
        <v>14</v>
      </c>
      <c r="D54" s="18" t="s">
        <v>845</v>
      </c>
      <c r="E54" s="18" t="s">
        <v>29</v>
      </c>
      <c r="F54" s="18" t="s">
        <v>24</v>
      </c>
      <c r="G54" s="19" t="s">
        <v>25</v>
      </c>
      <c r="H54" s="18" t="s">
        <v>223</v>
      </c>
      <c r="I54" s="20">
        <v>-904</v>
      </c>
      <c r="J54" s="20">
        <v>38855</v>
      </c>
      <c r="K54" s="18" t="s">
        <v>20</v>
      </c>
      <c r="L54" s="18" t="s">
        <v>126</v>
      </c>
    </row>
    <row r="55" spans="1:12" hidden="1" x14ac:dyDescent="0.25">
      <c r="A55" s="21" t="s">
        <v>919</v>
      </c>
      <c r="B55" s="21" t="s">
        <v>920</v>
      </c>
      <c r="C55" s="21" t="s">
        <v>14</v>
      </c>
      <c r="D55" s="21" t="s">
        <v>845</v>
      </c>
      <c r="E55" s="21" t="s">
        <v>29</v>
      </c>
      <c r="F55" s="21" t="s">
        <v>24</v>
      </c>
      <c r="G55" s="24" t="s">
        <v>25</v>
      </c>
      <c r="H55" s="21" t="s">
        <v>187</v>
      </c>
      <c r="I55" s="23">
        <v>-904</v>
      </c>
      <c r="J55" s="23">
        <v>39759</v>
      </c>
      <c r="K55" s="21" t="s">
        <v>20</v>
      </c>
      <c r="L55" s="21" t="s">
        <v>919</v>
      </c>
    </row>
    <row r="56" spans="1:12" hidden="1" x14ac:dyDescent="0.25">
      <c r="A56" s="18" t="s">
        <v>921</v>
      </c>
      <c r="B56" s="18" t="s">
        <v>922</v>
      </c>
      <c r="C56" s="18" t="s">
        <v>14</v>
      </c>
      <c r="D56" s="18" t="s">
        <v>845</v>
      </c>
      <c r="E56" s="18" t="s">
        <v>23</v>
      </c>
      <c r="F56" s="18" t="s">
        <v>24</v>
      </c>
      <c r="G56" s="19" t="s">
        <v>25</v>
      </c>
      <c r="H56" s="18" t="s">
        <v>150</v>
      </c>
      <c r="I56" s="20">
        <v>-503</v>
      </c>
      <c r="J56" s="20">
        <v>40262</v>
      </c>
      <c r="K56" s="18" t="s">
        <v>20</v>
      </c>
      <c r="L56" s="18" t="s">
        <v>921</v>
      </c>
    </row>
    <row r="57" spans="1:12" hidden="1" x14ac:dyDescent="0.25">
      <c r="A57" s="21" t="s">
        <v>921</v>
      </c>
      <c r="B57" s="21" t="s">
        <v>923</v>
      </c>
      <c r="C57" s="21" t="s">
        <v>14</v>
      </c>
      <c r="D57" s="21" t="s">
        <v>845</v>
      </c>
      <c r="E57" s="21" t="s">
        <v>33</v>
      </c>
      <c r="F57" s="21" t="s">
        <v>24</v>
      </c>
      <c r="G57" s="24" t="s">
        <v>25</v>
      </c>
      <c r="H57" s="21" t="s">
        <v>875</v>
      </c>
      <c r="I57" s="23">
        <v>-4000</v>
      </c>
      <c r="J57" s="23">
        <v>44262</v>
      </c>
      <c r="K57" s="21" t="s">
        <v>20</v>
      </c>
      <c r="L57" s="21" t="s">
        <v>921</v>
      </c>
    </row>
    <row r="58" spans="1:12" hidden="1" x14ac:dyDescent="0.25">
      <c r="A58" s="18" t="s">
        <v>924</v>
      </c>
      <c r="B58" s="18" t="s">
        <v>925</v>
      </c>
      <c r="C58" s="18" t="s">
        <v>14</v>
      </c>
      <c r="D58" s="18" t="s">
        <v>845</v>
      </c>
      <c r="E58" s="18" t="s">
        <v>23</v>
      </c>
      <c r="F58" s="18" t="s">
        <v>24</v>
      </c>
      <c r="G58" s="19" t="s">
        <v>25</v>
      </c>
      <c r="H58" s="18" t="s">
        <v>926</v>
      </c>
      <c r="I58" s="20">
        <v>-548</v>
      </c>
      <c r="J58" s="20">
        <v>44810</v>
      </c>
      <c r="K58" s="18" t="s">
        <v>20</v>
      </c>
      <c r="L58" s="18" t="s">
        <v>924</v>
      </c>
    </row>
    <row r="59" spans="1:12" hidden="1" x14ac:dyDescent="0.25">
      <c r="A59" s="21" t="s">
        <v>137</v>
      </c>
      <c r="B59" s="21" t="s">
        <v>927</v>
      </c>
      <c r="C59" s="21" t="s">
        <v>14</v>
      </c>
      <c r="D59" s="21" t="s">
        <v>845</v>
      </c>
      <c r="E59" s="21" t="s">
        <v>54</v>
      </c>
      <c r="F59" s="21" t="s">
        <v>24</v>
      </c>
      <c r="G59" s="24" t="s">
        <v>25</v>
      </c>
      <c r="H59" s="21" t="s">
        <v>55</v>
      </c>
      <c r="I59" s="23">
        <v>-503</v>
      </c>
      <c r="J59" s="23">
        <v>45313</v>
      </c>
      <c r="K59" s="21" t="s">
        <v>20</v>
      </c>
      <c r="L59" s="21" t="s">
        <v>137</v>
      </c>
    </row>
    <row r="60" spans="1:12" hidden="1" x14ac:dyDescent="0.25">
      <c r="A60" s="18" t="s">
        <v>139</v>
      </c>
      <c r="B60" s="18" t="s">
        <v>928</v>
      </c>
      <c r="C60" s="18" t="s">
        <v>14</v>
      </c>
      <c r="D60" s="18" t="s">
        <v>845</v>
      </c>
      <c r="E60" s="18" t="s">
        <v>33</v>
      </c>
      <c r="F60" s="18" t="s">
        <v>24</v>
      </c>
      <c r="G60" s="19" t="s">
        <v>25</v>
      </c>
      <c r="H60" s="18" t="s">
        <v>67</v>
      </c>
      <c r="I60" s="20">
        <v>-618</v>
      </c>
      <c r="J60" s="20">
        <v>45931</v>
      </c>
      <c r="K60" s="18" t="s">
        <v>20</v>
      </c>
      <c r="L60" s="18" t="s">
        <v>139</v>
      </c>
    </row>
    <row r="61" spans="1:12" x14ac:dyDescent="0.25">
      <c r="A61" s="21" t="s">
        <v>139</v>
      </c>
      <c r="B61" s="21" t="s">
        <v>929</v>
      </c>
      <c r="C61" s="21" t="s">
        <v>14</v>
      </c>
      <c r="D61" s="21" t="s">
        <v>845</v>
      </c>
      <c r="E61" s="21" t="s">
        <v>16</v>
      </c>
      <c r="F61" s="21" t="s">
        <v>17</v>
      </c>
      <c r="G61" s="22" t="s">
        <v>18</v>
      </c>
      <c r="H61" s="21" t="s">
        <v>848</v>
      </c>
      <c r="I61" s="23">
        <v>27900</v>
      </c>
      <c r="J61" s="23">
        <v>18031</v>
      </c>
      <c r="K61" s="21" t="s">
        <v>20</v>
      </c>
      <c r="L61" s="21" t="s">
        <v>139</v>
      </c>
    </row>
    <row r="62" spans="1:12" hidden="1" x14ac:dyDescent="0.25">
      <c r="A62" s="18" t="s">
        <v>665</v>
      </c>
      <c r="B62" s="18" t="s">
        <v>930</v>
      </c>
      <c r="C62" s="18" t="s">
        <v>14</v>
      </c>
      <c r="D62" s="18" t="s">
        <v>845</v>
      </c>
      <c r="E62" s="18" t="s">
        <v>23</v>
      </c>
      <c r="F62" s="18" t="s">
        <v>24</v>
      </c>
      <c r="G62" s="19" t="s">
        <v>25</v>
      </c>
      <c r="H62" s="18" t="s">
        <v>87</v>
      </c>
      <c r="I62" s="20">
        <v>-376</v>
      </c>
      <c r="J62" s="20">
        <v>18407</v>
      </c>
      <c r="K62" s="18" t="s">
        <v>20</v>
      </c>
      <c r="L62" s="18" t="s">
        <v>665</v>
      </c>
    </row>
    <row r="63" spans="1:12" hidden="1" x14ac:dyDescent="0.25">
      <c r="A63" s="21" t="s">
        <v>141</v>
      </c>
      <c r="B63" s="21" t="s">
        <v>931</v>
      </c>
      <c r="C63" s="21" t="s">
        <v>14</v>
      </c>
      <c r="D63" s="21" t="s">
        <v>845</v>
      </c>
      <c r="E63" s="21" t="s">
        <v>33</v>
      </c>
      <c r="F63" s="21" t="s">
        <v>24</v>
      </c>
      <c r="G63" s="24" t="s">
        <v>25</v>
      </c>
      <c r="H63" s="21" t="s">
        <v>273</v>
      </c>
      <c r="I63" s="23">
        <v>-1108</v>
      </c>
      <c r="J63" s="23">
        <v>19515</v>
      </c>
      <c r="K63" s="21" t="s">
        <v>20</v>
      </c>
      <c r="L63" s="21" t="s">
        <v>141</v>
      </c>
    </row>
    <row r="64" spans="1:12" hidden="1" x14ac:dyDescent="0.25">
      <c r="A64" s="18" t="s">
        <v>932</v>
      </c>
      <c r="B64" s="18" t="s">
        <v>933</v>
      </c>
      <c r="C64" s="18" t="s">
        <v>14</v>
      </c>
      <c r="D64" s="18" t="s">
        <v>845</v>
      </c>
      <c r="E64" s="18" t="s">
        <v>23</v>
      </c>
      <c r="F64" s="18" t="s">
        <v>24</v>
      </c>
      <c r="G64" s="19" t="s">
        <v>25</v>
      </c>
      <c r="H64" s="18" t="s">
        <v>166</v>
      </c>
      <c r="I64" s="20">
        <v>-376</v>
      </c>
      <c r="J64" s="20">
        <v>19891</v>
      </c>
      <c r="K64" s="18" t="s">
        <v>20</v>
      </c>
      <c r="L64" s="18" t="s">
        <v>932</v>
      </c>
    </row>
    <row r="65" spans="1:12" hidden="1" x14ac:dyDescent="0.25">
      <c r="A65" s="21" t="s">
        <v>668</v>
      </c>
      <c r="B65" s="21" t="s">
        <v>934</v>
      </c>
      <c r="C65" s="21" t="s">
        <v>14</v>
      </c>
      <c r="D65" s="21" t="s">
        <v>845</v>
      </c>
      <c r="E65" s="21" t="s">
        <v>23</v>
      </c>
      <c r="F65" s="21" t="s">
        <v>24</v>
      </c>
      <c r="G65" s="24" t="s">
        <v>25</v>
      </c>
      <c r="H65" s="21" t="s">
        <v>84</v>
      </c>
      <c r="I65" s="23">
        <v>-613</v>
      </c>
      <c r="J65" s="23">
        <v>20504</v>
      </c>
      <c r="K65" s="21" t="s">
        <v>20</v>
      </c>
      <c r="L65" s="21" t="s">
        <v>668</v>
      </c>
    </row>
    <row r="66" spans="1:12" hidden="1" x14ac:dyDescent="0.25">
      <c r="A66" s="18" t="s">
        <v>146</v>
      </c>
      <c r="B66" s="18" t="s">
        <v>935</v>
      </c>
      <c r="C66" s="18" t="s">
        <v>14</v>
      </c>
      <c r="D66" s="18" t="s">
        <v>845</v>
      </c>
      <c r="E66" s="18" t="s">
        <v>29</v>
      </c>
      <c r="F66" s="18" t="s">
        <v>24</v>
      </c>
      <c r="G66" s="19" t="s">
        <v>25</v>
      </c>
      <c r="H66" s="18" t="s">
        <v>76</v>
      </c>
      <c r="I66" s="20">
        <v>-789</v>
      </c>
      <c r="J66" s="20">
        <v>21293</v>
      </c>
      <c r="K66" s="18" t="s">
        <v>20</v>
      </c>
      <c r="L66" s="18" t="s">
        <v>146</v>
      </c>
    </row>
    <row r="67" spans="1:12" hidden="1" x14ac:dyDescent="0.25">
      <c r="A67" s="21" t="s">
        <v>672</v>
      </c>
      <c r="B67" s="21" t="s">
        <v>936</v>
      </c>
      <c r="C67" s="21" t="s">
        <v>14</v>
      </c>
      <c r="D67" s="21" t="s">
        <v>845</v>
      </c>
      <c r="E67" s="21" t="s">
        <v>23</v>
      </c>
      <c r="F67" s="21" t="s">
        <v>24</v>
      </c>
      <c r="G67" s="24" t="s">
        <v>25</v>
      </c>
      <c r="H67" s="21" t="s">
        <v>37</v>
      </c>
      <c r="I67" s="23">
        <v>-1087</v>
      </c>
      <c r="J67" s="23">
        <v>22380</v>
      </c>
      <c r="K67" s="21" t="s">
        <v>20</v>
      </c>
      <c r="L67" s="21" t="s">
        <v>672</v>
      </c>
    </row>
    <row r="68" spans="1:12" hidden="1" x14ac:dyDescent="0.25">
      <c r="A68" s="18" t="s">
        <v>674</v>
      </c>
      <c r="B68" s="18" t="s">
        <v>937</v>
      </c>
      <c r="C68" s="18" t="s">
        <v>14</v>
      </c>
      <c r="D68" s="18" t="s">
        <v>845</v>
      </c>
      <c r="E68" s="18" t="s">
        <v>23</v>
      </c>
      <c r="F68" s="18" t="s">
        <v>24</v>
      </c>
      <c r="G68" s="19" t="s">
        <v>25</v>
      </c>
      <c r="H68" s="18" t="s">
        <v>938</v>
      </c>
      <c r="I68" s="20">
        <v>-1167</v>
      </c>
      <c r="J68" s="20">
        <v>23547</v>
      </c>
      <c r="K68" s="18" t="s">
        <v>20</v>
      </c>
      <c r="L68" s="18" t="s">
        <v>674</v>
      </c>
    </row>
    <row r="69" spans="1:12" hidden="1" x14ac:dyDescent="0.25">
      <c r="A69" s="21" t="s">
        <v>939</v>
      </c>
      <c r="B69" s="21" t="s">
        <v>940</v>
      </c>
      <c r="C69" s="21" t="s">
        <v>14</v>
      </c>
      <c r="D69" s="21" t="s">
        <v>845</v>
      </c>
      <c r="E69" s="21" t="s">
        <v>23</v>
      </c>
      <c r="F69" s="21" t="s">
        <v>24</v>
      </c>
      <c r="G69" s="24" t="s">
        <v>25</v>
      </c>
      <c r="H69" s="21" t="s">
        <v>112</v>
      </c>
      <c r="I69" s="23">
        <v>-850</v>
      </c>
      <c r="J69" s="23">
        <v>24397</v>
      </c>
      <c r="K69" s="21" t="s">
        <v>20</v>
      </c>
      <c r="L69" s="21" t="s">
        <v>939</v>
      </c>
    </row>
    <row r="70" spans="1:12" hidden="1" x14ac:dyDescent="0.25">
      <c r="A70" s="18" t="s">
        <v>148</v>
      </c>
      <c r="B70" s="18" t="s">
        <v>941</v>
      </c>
      <c r="C70" s="18" t="s">
        <v>14</v>
      </c>
      <c r="D70" s="18" t="s">
        <v>845</v>
      </c>
      <c r="E70" s="18" t="s">
        <v>23</v>
      </c>
      <c r="F70" s="18" t="s">
        <v>24</v>
      </c>
      <c r="G70" s="19" t="s">
        <v>25</v>
      </c>
      <c r="H70" s="18" t="s">
        <v>87</v>
      </c>
      <c r="I70" s="20">
        <v>-377</v>
      </c>
      <c r="J70" s="20">
        <v>24774</v>
      </c>
      <c r="K70" s="18" t="s">
        <v>20</v>
      </c>
      <c r="L70" s="18" t="s">
        <v>148</v>
      </c>
    </row>
    <row r="71" spans="1:12" hidden="1" x14ac:dyDescent="0.25">
      <c r="A71" s="21" t="s">
        <v>942</v>
      </c>
      <c r="B71" s="21" t="s">
        <v>943</v>
      </c>
      <c r="C71" s="21" t="s">
        <v>14</v>
      </c>
      <c r="D71" s="21" t="s">
        <v>845</v>
      </c>
      <c r="E71" s="21" t="s">
        <v>23</v>
      </c>
      <c r="F71" s="21" t="s">
        <v>24</v>
      </c>
      <c r="G71" s="24" t="s">
        <v>25</v>
      </c>
      <c r="H71" s="21" t="s">
        <v>145</v>
      </c>
      <c r="I71" s="23">
        <v>-850</v>
      </c>
      <c r="J71" s="23">
        <v>25624</v>
      </c>
      <c r="K71" s="21" t="s">
        <v>20</v>
      </c>
      <c r="L71" s="21" t="s">
        <v>942</v>
      </c>
    </row>
    <row r="72" spans="1:12" hidden="1" x14ac:dyDescent="0.25">
      <c r="A72" s="18" t="s">
        <v>158</v>
      </c>
      <c r="B72" s="18" t="s">
        <v>944</v>
      </c>
      <c r="C72" s="18" t="s">
        <v>14</v>
      </c>
      <c r="D72" s="18" t="s">
        <v>845</v>
      </c>
      <c r="E72" s="18" t="s">
        <v>23</v>
      </c>
      <c r="F72" s="18" t="s">
        <v>24</v>
      </c>
      <c r="G72" s="19" t="s">
        <v>25</v>
      </c>
      <c r="H72" s="18" t="s">
        <v>153</v>
      </c>
      <c r="I72" s="20">
        <v>-376</v>
      </c>
      <c r="J72" s="20">
        <v>26000</v>
      </c>
      <c r="K72" s="18" t="s">
        <v>20</v>
      </c>
      <c r="L72" s="18" t="s">
        <v>158</v>
      </c>
    </row>
    <row r="73" spans="1:12" hidden="1" x14ac:dyDescent="0.25">
      <c r="A73" s="21" t="s">
        <v>160</v>
      </c>
      <c r="B73" s="21" t="s">
        <v>945</v>
      </c>
      <c r="C73" s="21" t="s">
        <v>14</v>
      </c>
      <c r="D73" s="21" t="s">
        <v>845</v>
      </c>
      <c r="E73" s="21" t="s">
        <v>29</v>
      </c>
      <c r="F73" s="21" t="s">
        <v>24</v>
      </c>
      <c r="G73" s="24" t="s">
        <v>25</v>
      </c>
      <c r="H73" s="21" t="s">
        <v>846</v>
      </c>
      <c r="I73" s="23">
        <v>-2316</v>
      </c>
      <c r="J73" s="23">
        <v>28316</v>
      </c>
      <c r="K73" s="21" t="s">
        <v>20</v>
      </c>
      <c r="L73" s="21" t="s">
        <v>158</v>
      </c>
    </row>
    <row r="74" spans="1:12" hidden="1" x14ac:dyDescent="0.25">
      <c r="A74" s="18" t="s">
        <v>162</v>
      </c>
      <c r="B74" s="18" t="s">
        <v>946</v>
      </c>
      <c r="C74" s="18" t="s">
        <v>14</v>
      </c>
      <c r="D74" s="18" t="s">
        <v>845</v>
      </c>
      <c r="E74" s="18" t="s">
        <v>23</v>
      </c>
      <c r="F74" s="18" t="s">
        <v>24</v>
      </c>
      <c r="G74" s="19" t="s">
        <v>25</v>
      </c>
      <c r="H74" s="18" t="s">
        <v>112</v>
      </c>
      <c r="I74" s="20">
        <v>-850</v>
      </c>
      <c r="J74" s="20">
        <v>29166</v>
      </c>
      <c r="K74" s="18" t="s">
        <v>20</v>
      </c>
      <c r="L74" s="18" t="s">
        <v>162</v>
      </c>
    </row>
    <row r="75" spans="1:12" hidden="1" x14ac:dyDescent="0.25">
      <c r="A75" s="21" t="s">
        <v>947</v>
      </c>
      <c r="B75" s="21" t="s">
        <v>948</v>
      </c>
      <c r="C75" s="21" t="s">
        <v>14</v>
      </c>
      <c r="D75" s="21" t="s">
        <v>845</v>
      </c>
      <c r="E75" s="21" t="s">
        <v>23</v>
      </c>
      <c r="F75" s="21" t="s">
        <v>24</v>
      </c>
      <c r="G75" s="24" t="s">
        <v>25</v>
      </c>
      <c r="H75" s="21" t="s">
        <v>909</v>
      </c>
      <c r="I75" s="23">
        <v>-377</v>
      </c>
      <c r="J75" s="23">
        <v>29543</v>
      </c>
      <c r="K75" s="21" t="s">
        <v>20</v>
      </c>
      <c r="L75" s="21" t="s">
        <v>947</v>
      </c>
    </row>
    <row r="76" spans="1:12" hidden="1" x14ac:dyDescent="0.25">
      <c r="A76" s="18" t="s">
        <v>164</v>
      </c>
      <c r="B76" s="18" t="s">
        <v>949</v>
      </c>
      <c r="C76" s="18" t="s">
        <v>14</v>
      </c>
      <c r="D76" s="18" t="s">
        <v>845</v>
      </c>
      <c r="E76" s="18" t="s">
        <v>23</v>
      </c>
      <c r="F76" s="18" t="s">
        <v>24</v>
      </c>
      <c r="G76" s="19" t="s">
        <v>25</v>
      </c>
      <c r="H76" s="18" t="s">
        <v>84</v>
      </c>
      <c r="I76" s="20">
        <v>-613</v>
      </c>
      <c r="J76" s="20">
        <v>30156</v>
      </c>
      <c r="K76" s="18" t="s">
        <v>20</v>
      </c>
      <c r="L76" s="18" t="s">
        <v>164</v>
      </c>
    </row>
    <row r="77" spans="1:12" hidden="1" x14ac:dyDescent="0.25">
      <c r="A77" s="21" t="s">
        <v>950</v>
      </c>
      <c r="B77" s="21" t="s">
        <v>951</v>
      </c>
      <c r="C77" s="21" t="s">
        <v>14</v>
      </c>
      <c r="D77" s="21" t="s">
        <v>845</v>
      </c>
      <c r="E77" s="21" t="s">
        <v>23</v>
      </c>
      <c r="F77" s="21" t="s">
        <v>24</v>
      </c>
      <c r="G77" s="24" t="s">
        <v>25</v>
      </c>
      <c r="H77" s="21" t="s">
        <v>150</v>
      </c>
      <c r="I77" s="23">
        <v>-1065</v>
      </c>
      <c r="J77" s="23">
        <v>31221</v>
      </c>
      <c r="K77" s="21" t="s">
        <v>20</v>
      </c>
      <c r="L77" s="21" t="s">
        <v>950</v>
      </c>
    </row>
    <row r="78" spans="1:12" hidden="1" x14ac:dyDescent="0.25">
      <c r="A78" s="18" t="s">
        <v>167</v>
      </c>
      <c r="B78" s="18" t="s">
        <v>952</v>
      </c>
      <c r="C78" s="18" t="s">
        <v>14</v>
      </c>
      <c r="D78" s="18" t="s">
        <v>845</v>
      </c>
      <c r="E78" s="18" t="s">
        <v>29</v>
      </c>
      <c r="F78" s="18" t="s">
        <v>24</v>
      </c>
      <c r="G78" s="19" t="s">
        <v>25</v>
      </c>
      <c r="H78" s="18" t="s">
        <v>30</v>
      </c>
      <c r="I78" s="20">
        <v>-789</v>
      </c>
      <c r="J78" s="20">
        <v>32010</v>
      </c>
      <c r="K78" s="18" t="s">
        <v>20</v>
      </c>
      <c r="L78" s="18" t="s">
        <v>167</v>
      </c>
    </row>
    <row r="79" spans="1:12" hidden="1" x14ac:dyDescent="0.25">
      <c r="A79" s="21" t="s">
        <v>167</v>
      </c>
      <c r="B79" s="21" t="s">
        <v>953</v>
      </c>
      <c r="C79" s="21" t="s">
        <v>14</v>
      </c>
      <c r="D79" s="21" t="s">
        <v>845</v>
      </c>
      <c r="E79" s="21" t="s">
        <v>33</v>
      </c>
      <c r="F79" s="21" t="s">
        <v>24</v>
      </c>
      <c r="G79" s="24" t="s">
        <v>25</v>
      </c>
      <c r="H79" s="21" t="s">
        <v>875</v>
      </c>
      <c r="I79" s="23">
        <v>-4000</v>
      </c>
      <c r="J79" s="23">
        <v>36010</v>
      </c>
      <c r="K79" s="21" t="s">
        <v>20</v>
      </c>
      <c r="L79" s="21" t="s">
        <v>167</v>
      </c>
    </row>
    <row r="80" spans="1:12" x14ac:dyDescent="0.25">
      <c r="A80" s="18" t="s">
        <v>170</v>
      </c>
      <c r="B80" s="18" t="s">
        <v>954</v>
      </c>
      <c r="C80" s="18" t="s">
        <v>14</v>
      </c>
      <c r="D80" s="18" t="s">
        <v>845</v>
      </c>
      <c r="E80" s="18" t="s">
        <v>16</v>
      </c>
      <c r="F80" s="18" t="s">
        <v>17</v>
      </c>
      <c r="G80" s="25" t="s">
        <v>18</v>
      </c>
      <c r="H80" s="18" t="s">
        <v>848</v>
      </c>
      <c r="I80" s="20">
        <v>28300</v>
      </c>
      <c r="J80" s="20">
        <v>7710</v>
      </c>
      <c r="K80" s="18" t="s">
        <v>20</v>
      </c>
      <c r="L80" s="18" t="s">
        <v>170</v>
      </c>
    </row>
    <row r="81" spans="1:12" hidden="1" x14ac:dyDescent="0.25">
      <c r="A81" s="21" t="s">
        <v>680</v>
      </c>
      <c r="B81" s="21" t="s">
        <v>955</v>
      </c>
      <c r="C81" s="21" t="s">
        <v>14</v>
      </c>
      <c r="D81" s="21" t="s">
        <v>845</v>
      </c>
      <c r="E81" s="21" t="s">
        <v>23</v>
      </c>
      <c r="F81" s="21" t="s">
        <v>24</v>
      </c>
      <c r="G81" s="24" t="s">
        <v>25</v>
      </c>
      <c r="H81" s="21" t="s">
        <v>150</v>
      </c>
      <c r="I81" s="23">
        <v>-530</v>
      </c>
      <c r="J81" s="23">
        <v>8240</v>
      </c>
      <c r="K81" s="21" t="s">
        <v>20</v>
      </c>
      <c r="L81" s="21" t="s">
        <v>680</v>
      </c>
    </row>
    <row r="82" spans="1:12" hidden="1" x14ac:dyDescent="0.25">
      <c r="A82" s="18" t="s">
        <v>172</v>
      </c>
      <c r="B82" s="18" t="s">
        <v>956</v>
      </c>
      <c r="C82" s="18" t="s">
        <v>14</v>
      </c>
      <c r="D82" s="18" t="s">
        <v>845</v>
      </c>
      <c r="E82" s="18" t="s">
        <v>29</v>
      </c>
      <c r="F82" s="18" t="s">
        <v>24</v>
      </c>
      <c r="G82" s="19" t="s">
        <v>25</v>
      </c>
      <c r="H82" s="18" t="s">
        <v>883</v>
      </c>
      <c r="I82" s="20">
        <v>-2170</v>
      </c>
      <c r="J82" s="20">
        <v>10410</v>
      </c>
      <c r="K82" s="18" t="s">
        <v>20</v>
      </c>
      <c r="L82" s="18" t="s">
        <v>172</v>
      </c>
    </row>
    <row r="83" spans="1:12" hidden="1" x14ac:dyDescent="0.25">
      <c r="A83" s="21" t="s">
        <v>174</v>
      </c>
      <c r="B83" s="21" t="s">
        <v>957</v>
      </c>
      <c r="C83" s="21" t="s">
        <v>14</v>
      </c>
      <c r="D83" s="21" t="s">
        <v>845</v>
      </c>
      <c r="E83" s="21" t="s">
        <v>29</v>
      </c>
      <c r="F83" s="21" t="s">
        <v>24</v>
      </c>
      <c r="G83" s="24" t="s">
        <v>25</v>
      </c>
      <c r="H83" s="21" t="s">
        <v>231</v>
      </c>
      <c r="I83" s="23">
        <v>-1742</v>
      </c>
      <c r="J83" s="23">
        <v>12152</v>
      </c>
      <c r="K83" s="21" t="s">
        <v>20</v>
      </c>
      <c r="L83" s="21" t="s">
        <v>174</v>
      </c>
    </row>
    <row r="84" spans="1:12" hidden="1" x14ac:dyDescent="0.25">
      <c r="A84" s="18" t="s">
        <v>176</v>
      </c>
      <c r="B84" s="18" t="s">
        <v>958</v>
      </c>
      <c r="C84" s="18" t="s">
        <v>14</v>
      </c>
      <c r="D84" s="18" t="s">
        <v>845</v>
      </c>
      <c r="E84" s="18" t="s">
        <v>23</v>
      </c>
      <c r="F84" s="18" t="s">
        <v>24</v>
      </c>
      <c r="G84" s="19" t="s">
        <v>25</v>
      </c>
      <c r="H84" s="18" t="s">
        <v>145</v>
      </c>
      <c r="I84" s="20">
        <v>-631</v>
      </c>
      <c r="J84" s="20">
        <v>12783</v>
      </c>
      <c r="K84" s="18" t="s">
        <v>20</v>
      </c>
      <c r="L84" s="18" t="s">
        <v>176</v>
      </c>
    </row>
    <row r="85" spans="1:12" hidden="1" x14ac:dyDescent="0.25">
      <c r="A85" s="21" t="s">
        <v>959</v>
      </c>
      <c r="B85" s="21" t="s">
        <v>960</v>
      </c>
      <c r="C85" s="21" t="s">
        <v>14</v>
      </c>
      <c r="D85" s="21" t="s">
        <v>845</v>
      </c>
      <c r="E85" s="21" t="s">
        <v>23</v>
      </c>
      <c r="F85" s="21" t="s">
        <v>24</v>
      </c>
      <c r="G85" s="24" t="s">
        <v>25</v>
      </c>
      <c r="H85" s="21" t="s">
        <v>87</v>
      </c>
      <c r="I85" s="23">
        <v>-315</v>
      </c>
      <c r="J85" s="23">
        <v>13098</v>
      </c>
      <c r="K85" s="21" t="s">
        <v>20</v>
      </c>
      <c r="L85" s="21" t="s">
        <v>959</v>
      </c>
    </row>
    <row r="86" spans="1:12" hidden="1" x14ac:dyDescent="0.25">
      <c r="A86" s="18" t="s">
        <v>961</v>
      </c>
      <c r="B86" s="18" t="s">
        <v>962</v>
      </c>
      <c r="C86" s="18" t="s">
        <v>14</v>
      </c>
      <c r="D86" s="18" t="s">
        <v>845</v>
      </c>
      <c r="E86" s="18" t="s">
        <v>23</v>
      </c>
      <c r="F86" s="18" t="s">
        <v>24</v>
      </c>
      <c r="G86" s="19" t="s">
        <v>25</v>
      </c>
      <c r="H86" s="18" t="s">
        <v>98</v>
      </c>
      <c r="I86" s="20">
        <v>-631</v>
      </c>
      <c r="J86" s="20">
        <v>13729</v>
      </c>
      <c r="K86" s="18" t="s">
        <v>20</v>
      </c>
      <c r="L86" s="18" t="s">
        <v>961</v>
      </c>
    </row>
    <row r="87" spans="1:12" hidden="1" x14ac:dyDescent="0.25">
      <c r="A87" s="21" t="s">
        <v>963</v>
      </c>
      <c r="B87" s="21" t="s">
        <v>964</v>
      </c>
      <c r="C87" s="21" t="s">
        <v>14</v>
      </c>
      <c r="D87" s="21" t="s">
        <v>845</v>
      </c>
      <c r="E87" s="21" t="s">
        <v>23</v>
      </c>
      <c r="F87" s="21" t="s">
        <v>24</v>
      </c>
      <c r="G87" s="24" t="s">
        <v>25</v>
      </c>
      <c r="H87" s="21" t="s">
        <v>87</v>
      </c>
      <c r="I87" s="23">
        <v>-315</v>
      </c>
      <c r="J87" s="23">
        <v>14044</v>
      </c>
      <c r="K87" s="21" t="s">
        <v>20</v>
      </c>
      <c r="L87" s="21" t="s">
        <v>963</v>
      </c>
    </row>
    <row r="88" spans="1:12" hidden="1" x14ac:dyDescent="0.25">
      <c r="A88" s="18" t="s">
        <v>965</v>
      </c>
      <c r="B88" s="18" t="s">
        <v>966</v>
      </c>
      <c r="C88" s="18" t="s">
        <v>14</v>
      </c>
      <c r="D88" s="18" t="s">
        <v>845</v>
      </c>
      <c r="E88" s="18" t="s">
        <v>23</v>
      </c>
      <c r="F88" s="18" t="s">
        <v>24</v>
      </c>
      <c r="G88" s="19" t="s">
        <v>25</v>
      </c>
      <c r="H88" s="18" t="s">
        <v>153</v>
      </c>
      <c r="I88" s="20">
        <v>-315</v>
      </c>
      <c r="J88" s="20">
        <v>14359</v>
      </c>
      <c r="K88" s="18" t="s">
        <v>20</v>
      </c>
      <c r="L88" s="18" t="s">
        <v>965</v>
      </c>
    </row>
    <row r="89" spans="1:12" hidden="1" x14ac:dyDescent="0.25">
      <c r="A89" s="21" t="s">
        <v>185</v>
      </c>
      <c r="B89" s="21" t="s">
        <v>967</v>
      </c>
      <c r="C89" s="21" t="s">
        <v>14</v>
      </c>
      <c r="D89" s="21" t="s">
        <v>845</v>
      </c>
      <c r="E89" s="21" t="s">
        <v>23</v>
      </c>
      <c r="F89" s="21" t="s">
        <v>24</v>
      </c>
      <c r="G89" s="24" t="s">
        <v>25</v>
      </c>
      <c r="H89" s="21" t="s">
        <v>968</v>
      </c>
      <c r="I89" s="23">
        <v>-315</v>
      </c>
      <c r="J89" s="23">
        <v>14674</v>
      </c>
      <c r="K89" s="21" t="s">
        <v>20</v>
      </c>
      <c r="L89" s="21" t="s">
        <v>185</v>
      </c>
    </row>
    <row r="90" spans="1:12" hidden="1" x14ac:dyDescent="0.25">
      <c r="A90" s="18" t="s">
        <v>969</v>
      </c>
      <c r="B90" s="18" t="s">
        <v>970</v>
      </c>
      <c r="C90" s="18" t="s">
        <v>14</v>
      </c>
      <c r="D90" s="18" t="s">
        <v>845</v>
      </c>
      <c r="E90" s="18" t="s">
        <v>23</v>
      </c>
      <c r="F90" s="18" t="s">
        <v>24</v>
      </c>
      <c r="G90" s="19" t="s">
        <v>25</v>
      </c>
      <c r="H90" s="18" t="s">
        <v>81</v>
      </c>
      <c r="I90" s="20">
        <v>-631</v>
      </c>
      <c r="J90" s="20">
        <v>15305</v>
      </c>
      <c r="K90" s="18" t="s">
        <v>20</v>
      </c>
      <c r="L90" s="18" t="s">
        <v>969</v>
      </c>
    </row>
    <row r="91" spans="1:12" hidden="1" x14ac:dyDescent="0.25">
      <c r="A91" s="21" t="s">
        <v>685</v>
      </c>
      <c r="B91" s="21" t="s">
        <v>971</v>
      </c>
      <c r="C91" s="21" t="s">
        <v>14</v>
      </c>
      <c r="D91" s="21" t="s">
        <v>845</v>
      </c>
      <c r="E91" s="21" t="s">
        <v>33</v>
      </c>
      <c r="F91" s="21" t="s">
        <v>24</v>
      </c>
      <c r="G91" s="24" t="s">
        <v>25</v>
      </c>
      <c r="H91" s="21" t="s">
        <v>34</v>
      </c>
      <c r="I91" s="23">
        <v>-1251</v>
      </c>
      <c r="J91" s="23">
        <v>16556</v>
      </c>
      <c r="K91" s="21" t="s">
        <v>20</v>
      </c>
      <c r="L91" s="21" t="s">
        <v>685</v>
      </c>
    </row>
    <row r="92" spans="1:12" hidden="1" x14ac:dyDescent="0.25">
      <c r="A92" s="18" t="s">
        <v>191</v>
      </c>
      <c r="B92" s="18" t="s">
        <v>972</v>
      </c>
      <c r="C92" s="18" t="s">
        <v>14</v>
      </c>
      <c r="D92" s="18" t="s">
        <v>845</v>
      </c>
      <c r="E92" s="18" t="s">
        <v>23</v>
      </c>
      <c r="F92" s="18" t="s">
        <v>24</v>
      </c>
      <c r="G92" s="19" t="s">
        <v>25</v>
      </c>
      <c r="H92" s="18" t="s">
        <v>51</v>
      </c>
      <c r="I92" s="20">
        <v>-530</v>
      </c>
      <c r="J92" s="20">
        <v>17086</v>
      </c>
      <c r="K92" s="18" t="s">
        <v>20</v>
      </c>
      <c r="L92" s="18" t="s">
        <v>191</v>
      </c>
    </row>
    <row r="93" spans="1:12" hidden="1" x14ac:dyDescent="0.25">
      <c r="A93" s="21" t="s">
        <v>973</v>
      </c>
      <c r="B93" s="21" t="s">
        <v>974</v>
      </c>
      <c r="C93" s="21" t="s">
        <v>14</v>
      </c>
      <c r="D93" s="21" t="s">
        <v>845</v>
      </c>
      <c r="E93" s="21" t="s">
        <v>23</v>
      </c>
      <c r="F93" s="21" t="s">
        <v>24</v>
      </c>
      <c r="G93" s="24" t="s">
        <v>25</v>
      </c>
      <c r="H93" s="21" t="s">
        <v>98</v>
      </c>
      <c r="I93" s="23">
        <v>-631</v>
      </c>
      <c r="J93" s="23">
        <v>17717</v>
      </c>
      <c r="K93" s="21" t="s">
        <v>20</v>
      </c>
      <c r="L93" s="21" t="s">
        <v>973</v>
      </c>
    </row>
    <row r="94" spans="1:12" hidden="1" x14ac:dyDescent="0.25">
      <c r="A94" s="18" t="s">
        <v>687</v>
      </c>
      <c r="B94" s="18" t="s">
        <v>975</v>
      </c>
      <c r="C94" s="18" t="s">
        <v>14</v>
      </c>
      <c r="D94" s="18" t="s">
        <v>845</v>
      </c>
      <c r="E94" s="18" t="s">
        <v>23</v>
      </c>
      <c r="F94" s="18" t="s">
        <v>24</v>
      </c>
      <c r="G94" s="19" t="s">
        <v>25</v>
      </c>
      <c r="H94" s="18" t="s">
        <v>37</v>
      </c>
      <c r="I94" s="20">
        <v>-654</v>
      </c>
      <c r="J94" s="20">
        <v>18371</v>
      </c>
      <c r="K94" s="18" t="s">
        <v>20</v>
      </c>
      <c r="L94" s="18" t="s">
        <v>687</v>
      </c>
    </row>
    <row r="95" spans="1:12" hidden="1" x14ac:dyDescent="0.25">
      <c r="A95" s="21" t="s">
        <v>976</v>
      </c>
      <c r="B95" s="21" t="s">
        <v>977</v>
      </c>
      <c r="C95" s="21" t="s">
        <v>14</v>
      </c>
      <c r="D95" s="21" t="s">
        <v>845</v>
      </c>
      <c r="E95" s="21" t="s">
        <v>23</v>
      </c>
      <c r="F95" s="21" t="s">
        <v>24</v>
      </c>
      <c r="G95" s="24" t="s">
        <v>25</v>
      </c>
      <c r="H95" s="21" t="s">
        <v>26</v>
      </c>
      <c r="I95" s="23">
        <v>-1344</v>
      </c>
      <c r="J95" s="23">
        <v>19715</v>
      </c>
      <c r="K95" s="21" t="s">
        <v>20</v>
      </c>
      <c r="L95" s="21" t="s">
        <v>976</v>
      </c>
    </row>
    <row r="96" spans="1:12" hidden="1" x14ac:dyDescent="0.25">
      <c r="A96" s="18" t="s">
        <v>978</v>
      </c>
      <c r="B96" s="18" t="s">
        <v>979</v>
      </c>
      <c r="C96" s="18" t="s">
        <v>14</v>
      </c>
      <c r="D96" s="18" t="s">
        <v>845</v>
      </c>
      <c r="E96" s="18" t="s">
        <v>23</v>
      </c>
      <c r="F96" s="18" t="s">
        <v>24</v>
      </c>
      <c r="G96" s="19" t="s">
        <v>25</v>
      </c>
      <c r="H96" s="18" t="s">
        <v>909</v>
      </c>
      <c r="I96" s="20">
        <v>-315</v>
      </c>
      <c r="J96" s="20">
        <v>20030</v>
      </c>
      <c r="K96" s="18" t="s">
        <v>20</v>
      </c>
      <c r="L96" s="18" t="s">
        <v>978</v>
      </c>
    </row>
    <row r="97" spans="1:12" hidden="1" x14ac:dyDescent="0.25">
      <c r="A97" s="21" t="s">
        <v>980</v>
      </c>
      <c r="B97" s="21" t="s">
        <v>981</v>
      </c>
      <c r="C97" s="21" t="s">
        <v>14</v>
      </c>
      <c r="D97" s="21" t="s">
        <v>845</v>
      </c>
      <c r="E97" s="21" t="s">
        <v>23</v>
      </c>
      <c r="F97" s="21" t="s">
        <v>24</v>
      </c>
      <c r="G97" s="24" t="s">
        <v>25</v>
      </c>
      <c r="H97" s="21" t="s">
        <v>362</v>
      </c>
      <c r="I97" s="23">
        <v>-766</v>
      </c>
      <c r="J97" s="23">
        <v>20796</v>
      </c>
      <c r="K97" s="21" t="s">
        <v>20</v>
      </c>
      <c r="L97" s="21" t="s">
        <v>980</v>
      </c>
    </row>
    <row r="98" spans="1:12" hidden="1" x14ac:dyDescent="0.25">
      <c r="A98" s="18" t="s">
        <v>193</v>
      </c>
      <c r="B98" s="18" t="s">
        <v>982</v>
      </c>
      <c r="C98" s="18" t="s">
        <v>14</v>
      </c>
      <c r="D98" s="18" t="s">
        <v>845</v>
      </c>
      <c r="E98" s="18" t="s">
        <v>33</v>
      </c>
      <c r="F98" s="18" t="s">
        <v>24</v>
      </c>
      <c r="G98" s="19" t="s">
        <v>25</v>
      </c>
      <c r="H98" s="18" t="s">
        <v>875</v>
      </c>
      <c r="I98" s="20">
        <v>-4000</v>
      </c>
      <c r="J98" s="20">
        <v>24796</v>
      </c>
      <c r="K98" s="18" t="s">
        <v>20</v>
      </c>
      <c r="L98" s="18" t="s">
        <v>193</v>
      </c>
    </row>
    <row r="99" spans="1:12" hidden="1" x14ac:dyDescent="0.25">
      <c r="A99" s="21" t="s">
        <v>983</v>
      </c>
      <c r="B99" s="21" t="s">
        <v>984</v>
      </c>
      <c r="C99" s="21" t="s">
        <v>14</v>
      </c>
      <c r="D99" s="21" t="s">
        <v>845</v>
      </c>
      <c r="E99" s="21" t="s">
        <v>23</v>
      </c>
      <c r="F99" s="21" t="s">
        <v>24</v>
      </c>
      <c r="G99" s="24" t="s">
        <v>25</v>
      </c>
      <c r="H99" s="21" t="s">
        <v>985</v>
      </c>
      <c r="I99" s="23">
        <v>-1123</v>
      </c>
      <c r="J99" s="23">
        <v>25919</v>
      </c>
      <c r="K99" s="21" t="s">
        <v>20</v>
      </c>
      <c r="L99" s="21" t="s">
        <v>983</v>
      </c>
    </row>
    <row r="100" spans="1:12" hidden="1" x14ac:dyDescent="0.25">
      <c r="A100" s="18" t="s">
        <v>986</v>
      </c>
      <c r="B100" s="18" t="s">
        <v>987</v>
      </c>
      <c r="C100" s="18" t="s">
        <v>14</v>
      </c>
      <c r="D100" s="18" t="s">
        <v>845</v>
      </c>
      <c r="E100" s="18" t="s">
        <v>33</v>
      </c>
      <c r="F100" s="18" t="s">
        <v>24</v>
      </c>
      <c r="G100" s="19" t="s">
        <v>25</v>
      </c>
      <c r="H100" s="18" t="s">
        <v>67</v>
      </c>
      <c r="I100" s="20">
        <v>-591</v>
      </c>
      <c r="J100" s="20">
        <v>26510</v>
      </c>
      <c r="K100" s="18" t="s">
        <v>20</v>
      </c>
      <c r="L100" s="18" t="s">
        <v>986</v>
      </c>
    </row>
    <row r="101" spans="1:12" hidden="1" x14ac:dyDescent="0.25">
      <c r="A101" s="21" t="s">
        <v>197</v>
      </c>
      <c r="B101" s="21" t="s">
        <v>988</v>
      </c>
      <c r="C101" s="21" t="s">
        <v>14</v>
      </c>
      <c r="D101" s="21" t="s">
        <v>845</v>
      </c>
      <c r="E101" s="21" t="s">
        <v>23</v>
      </c>
      <c r="F101" s="21" t="s">
        <v>24</v>
      </c>
      <c r="G101" s="24" t="s">
        <v>25</v>
      </c>
      <c r="H101" s="21" t="s">
        <v>98</v>
      </c>
      <c r="I101" s="23">
        <v>-746</v>
      </c>
      <c r="J101" s="23">
        <v>27256</v>
      </c>
      <c r="K101" s="21" t="s">
        <v>20</v>
      </c>
      <c r="L101" s="21" t="s">
        <v>197</v>
      </c>
    </row>
    <row r="102" spans="1:12" hidden="1" x14ac:dyDescent="0.25">
      <c r="A102" s="18" t="s">
        <v>199</v>
      </c>
      <c r="B102" s="18" t="s">
        <v>989</v>
      </c>
      <c r="C102" s="18" t="s">
        <v>14</v>
      </c>
      <c r="D102" s="18" t="s">
        <v>845</v>
      </c>
      <c r="E102" s="18" t="s">
        <v>54</v>
      </c>
      <c r="F102" s="18" t="s">
        <v>24</v>
      </c>
      <c r="G102" s="19" t="s">
        <v>25</v>
      </c>
      <c r="H102" s="18" t="s">
        <v>647</v>
      </c>
      <c r="I102" s="20">
        <v>-500</v>
      </c>
      <c r="J102" s="20">
        <v>36776</v>
      </c>
      <c r="K102" s="18" t="s">
        <v>20</v>
      </c>
      <c r="L102" s="18" t="s">
        <v>199</v>
      </c>
    </row>
    <row r="103" spans="1:12" x14ac:dyDescent="0.25">
      <c r="A103" s="21" t="s">
        <v>199</v>
      </c>
      <c r="B103" s="21" t="s">
        <v>990</v>
      </c>
      <c r="C103" s="21" t="s">
        <v>14</v>
      </c>
      <c r="D103" s="21" t="s">
        <v>845</v>
      </c>
      <c r="E103" s="21" t="s">
        <v>16</v>
      </c>
      <c r="F103" s="21" t="s">
        <v>17</v>
      </c>
      <c r="G103" s="22" t="s">
        <v>18</v>
      </c>
      <c r="H103" s="21" t="s">
        <v>848</v>
      </c>
      <c r="I103" s="23">
        <v>27800</v>
      </c>
      <c r="J103" s="23">
        <v>8976</v>
      </c>
      <c r="K103" s="21" t="s">
        <v>20</v>
      </c>
      <c r="L103" s="21" t="s">
        <v>199</v>
      </c>
    </row>
    <row r="104" spans="1:12" hidden="1" x14ac:dyDescent="0.25">
      <c r="A104" s="18" t="s">
        <v>201</v>
      </c>
      <c r="B104" s="18" t="s">
        <v>991</v>
      </c>
      <c r="C104" s="18" t="s">
        <v>14</v>
      </c>
      <c r="D104" s="18" t="s">
        <v>845</v>
      </c>
      <c r="E104" s="18" t="s">
        <v>23</v>
      </c>
      <c r="F104" s="18" t="s">
        <v>24</v>
      </c>
      <c r="G104" s="19" t="s">
        <v>25</v>
      </c>
      <c r="H104" s="18" t="s">
        <v>968</v>
      </c>
      <c r="I104" s="20">
        <v>-801</v>
      </c>
      <c r="J104" s="20">
        <v>9777</v>
      </c>
      <c r="K104" s="18" t="s">
        <v>20</v>
      </c>
      <c r="L104" s="18" t="s">
        <v>201</v>
      </c>
    </row>
    <row r="105" spans="1:12" hidden="1" x14ac:dyDescent="0.25">
      <c r="A105" s="21" t="s">
        <v>992</v>
      </c>
      <c r="B105" s="21" t="s">
        <v>993</v>
      </c>
      <c r="C105" s="21" t="s">
        <v>14</v>
      </c>
      <c r="D105" s="21" t="s">
        <v>845</v>
      </c>
      <c r="E105" s="21" t="s">
        <v>23</v>
      </c>
      <c r="F105" s="21" t="s">
        <v>24</v>
      </c>
      <c r="G105" s="24" t="s">
        <v>25</v>
      </c>
      <c r="H105" s="21" t="s">
        <v>40</v>
      </c>
      <c r="I105" s="23">
        <v>-745</v>
      </c>
      <c r="J105" s="23">
        <v>10522</v>
      </c>
      <c r="K105" s="21" t="s">
        <v>20</v>
      </c>
      <c r="L105" s="21" t="s">
        <v>992</v>
      </c>
    </row>
    <row r="106" spans="1:12" hidden="1" x14ac:dyDescent="0.25">
      <c r="A106" s="18" t="s">
        <v>994</v>
      </c>
      <c r="B106" s="18" t="s">
        <v>995</v>
      </c>
      <c r="C106" s="18" t="s">
        <v>14</v>
      </c>
      <c r="D106" s="18" t="s">
        <v>845</v>
      </c>
      <c r="E106" s="18" t="s">
        <v>23</v>
      </c>
      <c r="F106" s="18" t="s">
        <v>24</v>
      </c>
      <c r="G106" s="19" t="s">
        <v>25</v>
      </c>
      <c r="H106" s="18" t="s">
        <v>58</v>
      </c>
      <c r="I106" s="20">
        <v>-801</v>
      </c>
      <c r="J106" s="20">
        <v>11323</v>
      </c>
      <c r="K106" s="18" t="s">
        <v>20</v>
      </c>
      <c r="L106" s="18" t="s">
        <v>994</v>
      </c>
    </row>
    <row r="107" spans="1:12" hidden="1" x14ac:dyDescent="0.25">
      <c r="A107" s="21" t="s">
        <v>996</v>
      </c>
      <c r="B107" s="21" t="s">
        <v>997</v>
      </c>
      <c r="C107" s="21" t="s">
        <v>14</v>
      </c>
      <c r="D107" s="21" t="s">
        <v>845</v>
      </c>
      <c r="E107" s="21" t="s">
        <v>23</v>
      </c>
      <c r="F107" s="21" t="s">
        <v>24</v>
      </c>
      <c r="G107" s="24" t="s">
        <v>25</v>
      </c>
      <c r="H107" s="21" t="s">
        <v>45</v>
      </c>
      <c r="I107" s="23">
        <v>-1225</v>
      </c>
      <c r="J107" s="23">
        <v>12548</v>
      </c>
      <c r="K107" s="21" t="s">
        <v>20</v>
      </c>
      <c r="L107" s="21" t="s">
        <v>996</v>
      </c>
    </row>
    <row r="108" spans="1:12" hidden="1" x14ac:dyDescent="0.25">
      <c r="A108" s="18" t="s">
        <v>998</v>
      </c>
      <c r="B108" s="18" t="s">
        <v>999</v>
      </c>
      <c r="C108" s="18" t="s">
        <v>14</v>
      </c>
      <c r="D108" s="18" t="s">
        <v>845</v>
      </c>
      <c r="E108" s="18" t="s">
        <v>29</v>
      </c>
      <c r="F108" s="18" t="s">
        <v>24</v>
      </c>
      <c r="G108" s="19" t="s">
        <v>25</v>
      </c>
      <c r="H108" s="18" t="s">
        <v>30</v>
      </c>
      <c r="I108" s="20">
        <v>-1669</v>
      </c>
      <c r="J108" s="20">
        <v>14217</v>
      </c>
      <c r="K108" s="18" t="s">
        <v>20</v>
      </c>
      <c r="L108" s="18" t="s">
        <v>998</v>
      </c>
    </row>
    <row r="109" spans="1:12" hidden="1" x14ac:dyDescent="0.25">
      <c r="A109" s="21" t="s">
        <v>209</v>
      </c>
      <c r="B109" s="21" t="s">
        <v>1000</v>
      </c>
      <c r="C109" s="21" t="s">
        <v>14</v>
      </c>
      <c r="D109" s="21" t="s">
        <v>845</v>
      </c>
      <c r="E109" s="21" t="s">
        <v>23</v>
      </c>
      <c r="F109" s="21" t="s">
        <v>24</v>
      </c>
      <c r="G109" s="24" t="s">
        <v>25</v>
      </c>
      <c r="H109" s="21" t="s">
        <v>857</v>
      </c>
      <c r="I109" s="23">
        <v>-636</v>
      </c>
      <c r="J109" s="23">
        <v>14853</v>
      </c>
      <c r="K109" s="21" t="s">
        <v>20</v>
      </c>
      <c r="L109" s="21" t="s">
        <v>209</v>
      </c>
    </row>
    <row r="110" spans="1:12" hidden="1" x14ac:dyDescent="0.25">
      <c r="A110" s="18" t="s">
        <v>697</v>
      </c>
      <c r="B110" s="18" t="s">
        <v>1001</v>
      </c>
      <c r="C110" s="18" t="s">
        <v>14</v>
      </c>
      <c r="D110" s="18" t="s">
        <v>845</v>
      </c>
      <c r="E110" s="18" t="s">
        <v>29</v>
      </c>
      <c r="F110" s="18" t="s">
        <v>24</v>
      </c>
      <c r="G110" s="19" t="s">
        <v>25</v>
      </c>
      <c r="H110" s="18" t="s">
        <v>846</v>
      </c>
      <c r="I110" s="20">
        <v>-1848</v>
      </c>
      <c r="J110" s="20">
        <v>16701</v>
      </c>
      <c r="K110" s="18" t="s">
        <v>20</v>
      </c>
      <c r="L110" s="18" t="s">
        <v>697</v>
      </c>
    </row>
    <row r="111" spans="1:12" hidden="1" x14ac:dyDescent="0.25">
      <c r="A111" s="21" t="s">
        <v>1002</v>
      </c>
      <c r="B111" s="21" t="s">
        <v>1003</v>
      </c>
      <c r="C111" s="21" t="s">
        <v>14</v>
      </c>
      <c r="D111" s="21" t="s">
        <v>845</v>
      </c>
      <c r="E111" s="21" t="s">
        <v>23</v>
      </c>
      <c r="F111" s="21" t="s">
        <v>24</v>
      </c>
      <c r="G111" s="24" t="s">
        <v>25</v>
      </c>
      <c r="H111" s="21" t="s">
        <v>938</v>
      </c>
      <c r="I111" s="23">
        <v>-637</v>
      </c>
      <c r="J111" s="23">
        <v>17338</v>
      </c>
      <c r="K111" s="21" t="s">
        <v>20</v>
      </c>
      <c r="L111" s="21" t="s">
        <v>1002</v>
      </c>
    </row>
    <row r="112" spans="1:12" hidden="1" x14ac:dyDescent="0.25">
      <c r="A112" s="18" t="s">
        <v>211</v>
      </c>
      <c r="B112" s="18" t="s">
        <v>1004</v>
      </c>
      <c r="C112" s="18" t="s">
        <v>14</v>
      </c>
      <c r="D112" s="18" t="s">
        <v>845</v>
      </c>
      <c r="E112" s="18" t="s">
        <v>23</v>
      </c>
      <c r="F112" s="18" t="s">
        <v>24</v>
      </c>
      <c r="G112" s="19" t="s">
        <v>25</v>
      </c>
      <c r="H112" s="18" t="s">
        <v>98</v>
      </c>
      <c r="I112" s="20">
        <v>-746</v>
      </c>
      <c r="J112" s="20">
        <v>18084</v>
      </c>
      <c r="K112" s="18" t="s">
        <v>20</v>
      </c>
      <c r="L112" s="18" t="s">
        <v>211</v>
      </c>
    </row>
    <row r="113" spans="1:12" hidden="1" x14ac:dyDescent="0.25">
      <c r="A113" s="21" t="s">
        <v>213</v>
      </c>
      <c r="B113" s="21" t="s">
        <v>1005</v>
      </c>
      <c r="C113" s="21" t="s">
        <v>14</v>
      </c>
      <c r="D113" s="21" t="s">
        <v>845</v>
      </c>
      <c r="E113" s="21" t="s">
        <v>23</v>
      </c>
      <c r="F113" s="21" t="s">
        <v>24</v>
      </c>
      <c r="G113" s="24" t="s">
        <v>25</v>
      </c>
      <c r="H113" s="21" t="s">
        <v>37</v>
      </c>
      <c r="I113" s="23">
        <v>-1296</v>
      </c>
      <c r="J113" s="23">
        <v>19380</v>
      </c>
      <c r="K113" s="21" t="s">
        <v>20</v>
      </c>
      <c r="L113" s="21" t="s">
        <v>213</v>
      </c>
    </row>
    <row r="114" spans="1:12" hidden="1" x14ac:dyDescent="0.25">
      <c r="A114" s="18" t="s">
        <v>215</v>
      </c>
      <c r="B114" s="18" t="s">
        <v>1006</v>
      </c>
      <c r="C114" s="18" t="s">
        <v>14</v>
      </c>
      <c r="D114" s="18" t="s">
        <v>845</v>
      </c>
      <c r="E114" s="18" t="s">
        <v>23</v>
      </c>
      <c r="F114" s="18" t="s">
        <v>24</v>
      </c>
      <c r="G114" s="19" t="s">
        <v>25</v>
      </c>
      <c r="H114" s="18" t="s">
        <v>150</v>
      </c>
      <c r="I114" s="20">
        <v>-1218</v>
      </c>
      <c r="J114" s="20">
        <v>20598</v>
      </c>
      <c r="K114" s="18" t="s">
        <v>20</v>
      </c>
      <c r="L114" s="18" t="s">
        <v>215</v>
      </c>
    </row>
    <row r="115" spans="1:12" hidden="1" x14ac:dyDescent="0.25">
      <c r="A115" s="21" t="s">
        <v>217</v>
      </c>
      <c r="B115" s="21" t="s">
        <v>1007</v>
      </c>
      <c r="C115" s="21" t="s">
        <v>14</v>
      </c>
      <c r="D115" s="21" t="s">
        <v>845</v>
      </c>
      <c r="E115" s="21" t="s">
        <v>33</v>
      </c>
      <c r="F115" s="21" t="s">
        <v>24</v>
      </c>
      <c r="G115" s="24" t="s">
        <v>25</v>
      </c>
      <c r="H115" s="21" t="s">
        <v>190</v>
      </c>
      <c r="I115" s="23">
        <v>-539</v>
      </c>
      <c r="J115" s="23">
        <v>21137</v>
      </c>
      <c r="K115" s="21" t="s">
        <v>20</v>
      </c>
      <c r="L115" s="21" t="s">
        <v>1008</v>
      </c>
    </row>
    <row r="116" spans="1:12" hidden="1" x14ac:dyDescent="0.25">
      <c r="A116" s="18" t="s">
        <v>700</v>
      </c>
      <c r="B116" s="18" t="s">
        <v>1009</v>
      </c>
      <c r="C116" s="18" t="s">
        <v>14</v>
      </c>
      <c r="D116" s="18" t="s">
        <v>845</v>
      </c>
      <c r="E116" s="18" t="s">
        <v>23</v>
      </c>
      <c r="F116" s="18" t="s">
        <v>24</v>
      </c>
      <c r="G116" s="19" t="s">
        <v>25</v>
      </c>
      <c r="H116" s="18" t="s">
        <v>98</v>
      </c>
      <c r="I116" s="20">
        <v>-745</v>
      </c>
      <c r="J116" s="20">
        <v>21882</v>
      </c>
      <c r="K116" s="18" t="s">
        <v>20</v>
      </c>
      <c r="L116" s="18" t="s">
        <v>700</v>
      </c>
    </row>
    <row r="117" spans="1:12" hidden="1" x14ac:dyDescent="0.25">
      <c r="A117" s="21" t="s">
        <v>219</v>
      </c>
      <c r="B117" s="21" t="s">
        <v>1010</v>
      </c>
      <c r="C117" s="21" t="s">
        <v>14</v>
      </c>
      <c r="D117" s="21" t="s">
        <v>845</v>
      </c>
      <c r="E117" s="21" t="s">
        <v>33</v>
      </c>
      <c r="F117" s="21" t="s">
        <v>24</v>
      </c>
      <c r="G117" s="24" t="s">
        <v>25</v>
      </c>
      <c r="H117" s="21" t="s">
        <v>115</v>
      </c>
      <c r="I117" s="23">
        <v>-1048</v>
      </c>
      <c r="J117" s="23">
        <v>22930</v>
      </c>
      <c r="K117" s="21" t="s">
        <v>20</v>
      </c>
      <c r="L117" s="21" t="s">
        <v>219</v>
      </c>
    </row>
    <row r="118" spans="1:12" hidden="1" x14ac:dyDescent="0.25">
      <c r="A118" s="18" t="s">
        <v>219</v>
      </c>
      <c r="B118" s="18" t="s">
        <v>1011</v>
      </c>
      <c r="C118" s="18" t="s">
        <v>14</v>
      </c>
      <c r="D118" s="18" t="s">
        <v>845</v>
      </c>
      <c r="E118" s="18" t="s">
        <v>33</v>
      </c>
      <c r="F118" s="18" t="s">
        <v>24</v>
      </c>
      <c r="G118" s="19" t="s">
        <v>25</v>
      </c>
      <c r="H118" s="18" t="s">
        <v>875</v>
      </c>
      <c r="I118" s="20">
        <v>-4000</v>
      </c>
      <c r="J118" s="20">
        <v>26930</v>
      </c>
      <c r="K118" s="18" t="s">
        <v>20</v>
      </c>
      <c r="L118" s="18" t="s">
        <v>219</v>
      </c>
    </row>
    <row r="119" spans="1:12" x14ac:dyDescent="0.25">
      <c r="A119" s="21" t="s">
        <v>1012</v>
      </c>
      <c r="B119" s="21" t="s">
        <v>1013</v>
      </c>
      <c r="C119" s="21" t="s">
        <v>14</v>
      </c>
      <c r="D119" s="21" t="s">
        <v>845</v>
      </c>
      <c r="E119" s="21" t="s">
        <v>16</v>
      </c>
      <c r="F119" s="21" t="s">
        <v>17</v>
      </c>
      <c r="G119" s="22" t="s">
        <v>18</v>
      </c>
      <c r="H119" s="21" t="s">
        <v>848</v>
      </c>
      <c r="I119" s="23">
        <v>28100</v>
      </c>
      <c r="J119" s="23">
        <v>-1170</v>
      </c>
      <c r="K119" s="21" t="s">
        <v>20</v>
      </c>
      <c r="L119" s="21" t="s">
        <v>1012</v>
      </c>
    </row>
    <row r="120" spans="1:12" hidden="1" x14ac:dyDescent="0.25">
      <c r="A120" s="18" t="s">
        <v>1014</v>
      </c>
      <c r="B120" s="18" t="s">
        <v>1015</v>
      </c>
      <c r="C120" s="18" t="s">
        <v>14</v>
      </c>
      <c r="D120" s="18" t="s">
        <v>845</v>
      </c>
      <c r="E120" s="18" t="s">
        <v>33</v>
      </c>
      <c r="F120" s="18" t="s">
        <v>24</v>
      </c>
      <c r="G120" s="19" t="s">
        <v>25</v>
      </c>
      <c r="H120" s="18" t="s">
        <v>67</v>
      </c>
      <c r="I120" s="20">
        <v>-669</v>
      </c>
      <c r="J120" s="20">
        <v>-501</v>
      </c>
      <c r="K120" s="18" t="s">
        <v>20</v>
      </c>
      <c r="L120" s="18" t="s">
        <v>1014</v>
      </c>
    </row>
    <row r="121" spans="1:12" hidden="1" x14ac:dyDescent="0.25">
      <c r="A121" s="21" t="s">
        <v>224</v>
      </c>
      <c r="B121" s="21" t="s">
        <v>1016</v>
      </c>
      <c r="C121" s="21" t="s">
        <v>14</v>
      </c>
      <c r="D121" s="21" t="s">
        <v>845</v>
      </c>
      <c r="E121" s="21" t="s">
        <v>23</v>
      </c>
      <c r="F121" s="21" t="s">
        <v>24</v>
      </c>
      <c r="G121" s="24" t="s">
        <v>25</v>
      </c>
      <c r="H121" s="21" t="s">
        <v>81</v>
      </c>
      <c r="I121" s="23">
        <v>-708</v>
      </c>
      <c r="J121" s="23">
        <v>207</v>
      </c>
      <c r="K121" s="21" t="s">
        <v>20</v>
      </c>
      <c r="L121" s="21" t="s">
        <v>224</v>
      </c>
    </row>
    <row r="122" spans="1:12" hidden="1" x14ac:dyDescent="0.25">
      <c r="A122" s="18" t="s">
        <v>1017</v>
      </c>
      <c r="B122" s="18" t="s">
        <v>1018</v>
      </c>
      <c r="C122" s="18" t="s">
        <v>14</v>
      </c>
      <c r="D122" s="18" t="s">
        <v>845</v>
      </c>
      <c r="E122" s="18" t="s">
        <v>29</v>
      </c>
      <c r="F122" s="18" t="s">
        <v>24</v>
      </c>
      <c r="G122" s="19" t="s">
        <v>25</v>
      </c>
      <c r="H122" s="18" t="s">
        <v>1019</v>
      </c>
      <c r="I122" s="20">
        <v>-2234</v>
      </c>
      <c r="J122" s="20">
        <v>2441</v>
      </c>
      <c r="K122" s="18" t="s">
        <v>20</v>
      </c>
      <c r="L122" s="18" t="s">
        <v>1017</v>
      </c>
    </row>
    <row r="123" spans="1:12" hidden="1" x14ac:dyDescent="0.25">
      <c r="A123" s="21" t="s">
        <v>1020</v>
      </c>
      <c r="B123" s="21" t="s">
        <v>1021</v>
      </c>
      <c r="C123" s="21" t="s">
        <v>14</v>
      </c>
      <c r="D123" s="21" t="s">
        <v>845</v>
      </c>
      <c r="E123" s="21" t="s">
        <v>33</v>
      </c>
      <c r="F123" s="21" t="s">
        <v>24</v>
      </c>
      <c r="G123" s="24" t="s">
        <v>25</v>
      </c>
      <c r="H123" s="21" t="s">
        <v>34</v>
      </c>
      <c r="I123" s="23">
        <v>-1268</v>
      </c>
      <c r="J123" s="23">
        <v>3709</v>
      </c>
      <c r="K123" s="21" t="s">
        <v>20</v>
      </c>
      <c r="L123" s="21" t="s">
        <v>1020</v>
      </c>
    </row>
    <row r="124" spans="1:12" hidden="1" x14ac:dyDescent="0.25">
      <c r="A124" s="18" t="s">
        <v>1022</v>
      </c>
      <c r="B124" s="18" t="s">
        <v>1023</v>
      </c>
      <c r="C124" s="18" t="s">
        <v>14</v>
      </c>
      <c r="D124" s="18" t="s">
        <v>845</v>
      </c>
      <c r="E124" s="18" t="s">
        <v>23</v>
      </c>
      <c r="F124" s="18" t="s">
        <v>24</v>
      </c>
      <c r="G124" s="19" t="s">
        <v>25</v>
      </c>
      <c r="H124" s="18" t="s">
        <v>334</v>
      </c>
      <c r="I124" s="20">
        <v>-873</v>
      </c>
      <c r="J124" s="20">
        <v>4582</v>
      </c>
      <c r="K124" s="18" t="s">
        <v>20</v>
      </c>
      <c r="L124" s="18" t="s">
        <v>1022</v>
      </c>
    </row>
    <row r="125" spans="1:12" hidden="1" x14ac:dyDescent="0.25">
      <c r="A125" s="21" t="s">
        <v>229</v>
      </c>
      <c r="B125" s="21" t="s">
        <v>1024</v>
      </c>
      <c r="C125" s="21" t="s">
        <v>14</v>
      </c>
      <c r="D125" s="21" t="s">
        <v>845</v>
      </c>
      <c r="E125" s="21" t="s">
        <v>23</v>
      </c>
      <c r="F125" s="21" t="s">
        <v>24</v>
      </c>
      <c r="G125" s="24" t="s">
        <v>25</v>
      </c>
      <c r="H125" s="21" t="s">
        <v>150</v>
      </c>
      <c r="I125" s="23">
        <v>-533</v>
      </c>
      <c r="J125" s="23">
        <v>5115</v>
      </c>
      <c r="K125" s="21" t="s">
        <v>20</v>
      </c>
      <c r="L125" s="21" t="s">
        <v>229</v>
      </c>
    </row>
    <row r="126" spans="1:12" hidden="1" x14ac:dyDescent="0.25">
      <c r="A126" s="18" t="s">
        <v>232</v>
      </c>
      <c r="B126" s="18" t="s">
        <v>1025</v>
      </c>
      <c r="C126" s="18" t="s">
        <v>14</v>
      </c>
      <c r="D126" s="18" t="s">
        <v>845</v>
      </c>
      <c r="E126" s="18" t="s">
        <v>23</v>
      </c>
      <c r="F126" s="18" t="s">
        <v>24</v>
      </c>
      <c r="G126" s="19" t="s">
        <v>25</v>
      </c>
      <c r="H126" s="18" t="s">
        <v>95</v>
      </c>
      <c r="I126" s="20">
        <v>-874</v>
      </c>
      <c r="J126" s="20">
        <v>5989</v>
      </c>
      <c r="K126" s="18" t="s">
        <v>20</v>
      </c>
      <c r="L126" s="18" t="s">
        <v>232</v>
      </c>
    </row>
    <row r="127" spans="1:12" hidden="1" x14ac:dyDescent="0.25">
      <c r="A127" s="21" t="s">
        <v>1026</v>
      </c>
      <c r="B127" s="21" t="s">
        <v>1027</v>
      </c>
      <c r="C127" s="21" t="s">
        <v>14</v>
      </c>
      <c r="D127" s="21" t="s">
        <v>845</v>
      </c>
      <c r="E127" s="21" t="s">
        <v>29</v>
      </c>
      <c r="F127" s="21" t="s">
        <v>24</v>
      </c>
      <c r="G127" s="24" t="s">
        <v>25</v>
      </c>
      <c r="H127" s="21" t="s">
        <v>30</v>
      </c>
      <c r="I127" s="23">
        <v>-791</v>
      </c>
      <c r="J127" s="23">
        <v>6780</v>
      </c>
      <c r="K127" s="21" t="s">
        <v>20</v>
      </c>
      <c r="L127" s="21" t="s">
        <v>1026</v>
      </c>
    </row>
    <row r="128" spans="1:12" hidden="1" x14ac:dyDescent="0.25">
      <c r="A128" s="18" t="s">
        <v>1028</v>
      </c>
      <c r="B128" s="18" t="s">
        <v>1029</v>
      </c>
      <c r="C128" s="18" t="s">
        <v>14</v>
      </c>
      <c r="D128" s="18" t="s">
        <v>845</v>
      </c>
      <c r="E128" s="18" t="s">
        <v>23</v>
      </c>
      <c r="F128" s="18" t="s">
        <v>24</v>
      </c>
      <c r="G128" s="19" t="s">
        <v>25</v>
      </c>
      <c r="H128" s="18" t="s">
        <v>51</v>
      </c>
      <c r="I128" s="20">
        <v>-533</v>
      </c>
      <c r="J128" s="20">
        <v>7313</v>
      </c>
      <c r="K128" s="18" t="s">
        <v>20</v>
      </c>
      <c r="L128" s="18" t="s">
        <v>1028</v>
      </c>
    </row>
    <row r="129" spans="1:12" hidden="1" x14ac:dyDescent="0.25">
      <c r="A129" s="21" t="s">
        <v>1030</v>
      </c>
      <c r="B129" s="21" t="s">
        <v>1031</v>
      </c>
      <c r="C129" s="21" t="s">
        <v>14</v>
      </c>
      <c r="D129" s="21" t="s">
        <v>845</v>
      </c>
      <c r="E129" s="21" t="s">
        <v>23</v>
      </c>
      <c r="F129" s="21" t="s">
        <v>24</v>
      </c>
      <c r="G129" s="24" t="s">
        <v>25</v>
      </c>
      <c r="H129" s="21" t="s">
        <v>72</v>
      </c>
      <c r="I129" s="23">
        <v>-708</v>
      </c>
      <c r="J129" s="23">
        <v>8021</v>
      </c>
      <c r="K129" s="21" t="s">
        <v>20</v>
      </c>
      <c r="L129" s="21" t="s">
        <v>1030</v>
      </c>
    </row>
    <row r="130" spans="1:12" hidden="1" x14ac:dyDescent="0.25">
      <c r="A130" s="18" t="s">
        <v>1032</v>
      </c>
      <c r="B130" s="18" t="s">
        <v>1033</v>
      </c>
      <c r="C130" s="18" t="s">
        <v>14</v>
      </c>
      <c r="D130" s="18" t="s">
        <v>845</v>
      </c>
      <c r="E130" s="18" t="s">
        <v>29</v>
      </c>
      <c r="F130" s="18" t="s">
        <v>24</v>
      </c>
      <c r="G130" s="19" t="s">
        <v>25</v>
      </c>
      <c r="H130" s="18" t="s">
        <v>30</v>
      </c>
      <c r="I130" s="20">
        <v>-791</v>
      </c>
      <c r="J130" s="20">
        <v>8812</v>
      </c>
      <c r="K130" s="18" t="s">
        <v>20</v>
      </c>
      <c r="L130" s="18" t="s">
        <v>1032</v>
      </c>
    </row>
    <row r="131" spans="1:12" hidden="1" x14ac:dyDescent="0.25">
      <c r="A131" s="21" t="s">
        <v>238</v>
      </c>
      <c r="B131" s="21" t="s">
        <v>1034</v>
      </c>
      <c r="C131" s="21" t="s">
        <v>14</v>
      </c>
      <c r="D131" s="21" t="s">
        <v>845</v>
      </c>
      <c r="E131" s="21" t="s">
        <v>23</v>
      </c>
      <c r="F131" s="21" t="s">
        <v>24</v>
      </c>
      <c r="G131" s="24" t="s">
        <v>25</v>
      </c>
      <c r="H131" s="21" t="s">
        <v>90</v>
      </c>
      <c r="I131" s="23">
        <v>-834</v>
      </c>
      <c r="J131" s="23">
        <v>9646</v>
      </c>
      <c r="K131" s="21" t="s">
        <v>20</v>
      </c>
      <c r="L131" s="21" t="s">
        <v>238</v>
      </c>
    </row>
    <row r="132" spans="1:12" hidden="1" x14ac:dyDescent="0.25">
      <c r="A132" s="18" t="s">
        <v>1035</v>
      </c>
      <c r="B132" s="18" t="s">
        <v>1036</v>
      </c>
      <c r="C132" s="18" t="s">
        <v>14</v>
      </c>
      <c r="D132" s="18" t="s">
        <v>845</v>
      </c>
      <c r="E132" s="18" t="s">
        <v>23</v>
      </c>
      <c r="F132" s="18" t="s">
        <v>24</v>
      </c>
      <c r="G132" s="19" t="s">
        <v>25</v>
      </c>
      <c r="H132" s="18" t="s">
        <v>40</v>
      </c>
      <c r="I132" s="20">
        <v>-708</v>
      </c>
      <c r="J132" s="20">
        <v>10354</v>
      </c>
      <c r="K132" s="18" t="s">
        <v>20</v>
      </c>
      <c r="L132" s="18" t="s">
        <v>1035</v>
      </c>
    </row>
    <row r="133" spans="1:12" hidden="1" x14ac:dyDescent="0.25">
      <c r="A133" s="21" t="s">
        <v>240</v>
      </c>
      <c r="B133" s="21" t="s">
        <v>1037</v>
      </c>
      <c r="C133" s="21" t="s">
        <v>14</v>
      </c>
      <c r="D133" s="21" t="s">
        <v>845</v>
      </c>
      <c r="E133" s="21" t="s">
        <v>23</v>
      </c>
      <c r="F133" s="21" t="s">
        <v>24</v>
      </c>
      <c r="G133" s="24" t="s">
        <v>25</v>
      </c>
      <c r="H133" s="21" t="s">
        <v>37</v>
      </c>
      <c r="I133" s="23">
        <v>-1597</v>
      </c>
      <c r="J133" s="23">
        <v>11951</v>
      </c>
      <c r="K133" s="21" t="s">
        <v>20</v>
      </c>
      <c r="L133" s="21" t="s">
        <v>240</v>
      </c>
    </row>
    <row r="134" spans="1:12" hidden="1" x14ac:dyDescent="0.25">
      <c r="A134" s="18" t="s">
        <v>1038</v>
      </c>
      <c r="B134" s="18" t="s">
        <v>1039</v>
      </c>
      <c r="C134" s="18" t="s">
        <v>14</v>
      </c>
      <c r="D134" s="18" t="s">
        <v>845</v>
      </c>
      <c r="E134" s="18" t="s">
        <v>23</v>
      </c>
      <c r="F134" s="18" t="s">
        <v>24</v>
      </c>
      <c r="G134" s="19" t="s">
        <v>25</v>
      </c>
      <c r="H134" s="18" t="s">
        <v>72</v>
      </c>
      <c r="I134" s="20">
        <v>-707</v>
      </c>
      <c r="J134" s="20">
        <v>12658</v>
      </c>
      <c r="K134" s="18" t="s">
        <v>20</v>
      </c>
      <c r="L134" s="18" t="s">
        <v>1038</v>
      </c>
    </row>
    <row r="135" spans="1:12" hidden="1" x14ac:dyDescent="0.25">
      <c r="A135" s="21" t="s">
        <v>248</v>
      </c>
      <c r="B135" s="21" t="s">
        <v>1040</v>
      </c>
      <c r="C135" s="21" t="s">
        <v>14</v>
      </c>
      <c r="D135" s="21" t="s">
        <v>845</v>
      </c>
      <c r="E135" s="21" t="s">
        <v>23</v>
      </c>
      <c r="F135" s="21" t="s">
        <v>24</v>
      </c>
      <c r="G135" s="24" t="s">
        <v>25</v>
      </c>
      <c r="H135" s="21" t="s">
        <v>938</v>
      </c>
      <c r="I135" s="23">
        <v>-1072</v>
      </c>
      <c r="J135" s="23">
        <v>13730</v>
      </c>
      <c r="K135" s="21" t="s">
        <v>20</v>
      </c>
      <c r="L135" s="21" t="s">
        <v>248</v>
      </c>
    </row>
    <row r="136" spans="1:12" hidden="1" x14ac:dyDescent="0.25">
      <c r="A136" s="18" t="s">
        <v>246</v>
      </c>
      <c r="B136" s="18" t="s">
        <v>1041</v>
      </c>
      <c r="C136" s="18" t="s">
        <v>14</v>
      </c>
      <c r="D136" s="18" t="s">
        <v>845</v>
      </c>
      <c r="E136" s="18" t="s">
        <v>33</v>
      </c>
      <c r="F136" s="18" t="s">
        <v>24</v>
      </c>
      <c r="G136" s="19" t="s">
        <v>25</v>
      </c>
      <c r="H136" s="18" t="s">
        <v>875</v>
      </c>
      <c r="I136" s="20">
        <v>-4000</v>
      </c>
      <c r="J136" s="20">
        <v>17730</v>
      </c>
      <c r="K136" s="18" t="s">
        <v>20</v>
      </c>
      <c r="L136" s="18" t="s">
        <v>246</v>
      </c>
    </row>
    <row r="137" spans="1:12" hidden="1" x14ac:dyDescent="0.25">
      <c r="A137" s="21" t="s">
        <v>1042</v>
      </c>
      <c r="B137" s="21" t="s">
        <v>1043</v>
      </c>
      <c r="C137" s="21" t="s">
        <v>14</v>
      </c>
      <c r="D137" s="21" t="s">
        <v>845</v>
      </c>
      <c r="E137" s="21" t="s">
        <v>23</v>
      </c>
      <c r="F137" s="21" t="s">
        <v>24</v>
      </c>
      <c r="G137" s="24" t="s">
        <v>25</v>
      </c>
      <c r="H137" s="21" t="s">
        <v>51</v>
      </c>
      <c r="I137" s="23">
        <v>-671</v>
      </c>
      <c r="J137" s="23">
        <v>18401</v>
      </c>
      <c r="K137" s="21" t="s">
        <v>20</v>
      </c>
      <c r="L137" s="21" t="s">
        <v>1042</v>
      </c>
    </row>
    <row r="138" spans="1:12" hidden="1" x14ac:dyDescent="0.25">
      <c r="A138" s="18" t="s">
        <v>251</v>
      </c>
      <c r="B138" s="18" t="s">
        <v>1044</v>
      </c>
      <c r="C138" s="18" t="s">
        <v>14</v>
      </c>
      <c r="D138" s="18" t="s">
        <v>845</v>
      </c>
      <c r="E138" s="18" t="s">
        <v>33</v>
      </c>
      <c r="F138" s="18" t="s">
        <v>24</v>
      </c>
      <c r="G138" s="19" t="s">
        <v>25</v>
      </c>
      <c r="H138" s="18" t="s">
        <v>67</v>
      </c>
      <c r="I138" s="20">
        <v>-623</v>
      </c>
      <c r="J138" s="20">
        <v>19024</v>
      </c>
      <c r="K138" s="18" t="s">
        <v>20</v>
      </c>
      <c r="L138" s="18" t="s">
        <v>251</v>
      </c>
    </row>
    <row r="139" spans="1:12" hidden="1" x14ac:dyDescent="0.25">
      <c r="A139" s="21" t="s">
        <v>253</v>
      </c>
      <c r="B139" s="21" t="s">
        <v>1045</v>
      </c>
      <c r="C139" s="21" t="s">
        <v>14</v>
      </c>
      <c r="D139" s="21" t="s">
        <v>845</v>
      </c>
      <c r="E139" s="21" t="s">
        <v>23</v>
      </c>
      <c r="F139" s="21" t="s">
        <v>24</v>
      </c>
      <c r="G139" s="24" t="s">
        <v>25</v>
      </c>
      <c r="H139" s="21" t="s">
        <v>40</v>
      </c>
      <c r="I139" s="23">
        <v>-674</v>
      </c>
      <c r="J139" s="23">
        <v>19698</v>
      </c>
      <c r="K139" s="21" t="s">
        <v>20</v>
      </c>
      <c r="L139" s="21" t="s">
        <v>253</v>
      </c>
    </row>
    <row r="140" spans="1:12" hidden="1" x14ac:dyDescent="0.25">
      <c r="A140" s="18" t="s">
        <v>1046</v>
      </c>
      <c r="B140" s="18" t="s">
        <v>1047</v>
      </c>
      <c r="C140" s="18" t="s">
        <v>14</v>
      </c>
      <c r="D140" s="18" t="s">
        <v>845</v>
      </c>
      <c r="E140" s="18" t="s">
        <v>16</v>
      </c>
      <c r="F140" s="18" t="s">
        <v>17</v>
      </c>
      <c r="G140" s="25" t="s">
        <v>18</v>
      </c>
      <c r="H140" s="18" t="s">
        <v>1048</v>
      </c>
      <c r="I140" s="20">
        <v>24200</v>
      </c>
      <c r="J140" s="20">
        <v>-4502</v>
      </c>
      <c r="K140" s="18" t="s">
        <v>20</v>
      </c>
      <c r="L140" s="18" t="s">
        <v>1046</v>
      </c>
    </row>
    <row r="141" spans="1:12" hidden="1" x14ac:dyDescent="0.25">
      <c r="A141" s="21" t="s">
        <v>1049</v>
      </c>
      <c r="B141" s="21" t="s">
        <v>1050</v>
      </c>
      <c r="C141" s="21" t="s">
        <v>14</v>
      </c>
      <c r="D141" s="21" t="s">
        <v>845</v>
      </c>
      <c r="E141" s="21" t="s">
        <v>23</v>
      </c>
      <c r="F141" s="21" t="s">
        <v>24</v>
      </c>
      <c r="G141" s="24" t="s">
        <v>25</v>
      </c>
      <c r="H141" s="21" t="s">
        <v>45</v>
      </c>
      <c r="I141" s="23">
        <v>-1675</v>
      </c>
      <c r="J141" s="23">
        <v>-2827</v>
      </c>
      <c r="K141" s="21" t="s">
        <v>20</v>
      </c>
      <c r="L141" s="21" t="s">
        <v>1049</v>
      </c>
    </row>
    <row r="142" spans="1:12" x14ac:dyDescent="0.25">
      <c r="A142" s="18" t="s">
        <v>1049</v>
      </c>
      <c r="B142" s="18" t="s">
        <v>1051</v>
      </c>
      <c r="C142" s="18" t="s">
        <v>14</v>
      </c>
      <c r="D142" s="18" t="s">
        <v>845</v>
      </c>
      <c r="E142" s="18" t="s">
        <v>16</v>
      </c>
      <c r="F142" s="18" t="s">
        <v>17</v>
      </c>
      <c r="G142" s="25" t="s">
        <v>18</v>
      </c>
      <c r="H142" s="18" t="s">
        <v>848</v>
      </c>
      <c r="I142" s="20">
        <v>27800</v>
      </c>
      <c r="J142" s="20">
        <v>-30627</v>
      </c>
      <c r="K142" s="18" t="s">
        <v>20</v>
      </c>
      <c r="L142" s="18" t="s">
        <v>1049</v>
      </c>
    </row>
    <row r="143" spans="1:12" hidden="1" x14ac:dyDescent="0.25">
      <c r="A143" s="21" t="s">
        <v>1052</v>
      </c>
      <c r="B143" s="21" t="s">
        <v>1053</v>
      </c>
      <c r="C143" s="21" t="s">
        <v>14</v>
      </c>
      <c r="D143" s="21" t="s">
        <v>845</v>
      </c>
      <c r="E143" s="21" t="s">
        <v>33</v>
      </c>
      <c r="F143" s="21" t="s">
        <v>24</v>
      </c>
      <c r="G143" s="24" t="s">
        <v>25</v>
      </c>
      <c r="H143" s="21" t="s">
        <v>115</v>
      </c>
      <c r="I143" s="23">
        <v>-1512</v>
      </c>
      <c r="J143" s="23">
        <v>-29115</v>
      </c>
      <c r="K143" s="21" t="s">
        <v>20</v>
      </c>
      <c r="L143" s="21" t="s">
        <v>1052</v>
      </c>
    </row>
    <row r="144" spans="1:12" hidden="1" x14ac:dyDescent="0.25">
      <c r="A144" s="18" t="s">
        <v>255</v>
      </c>
      <c r="B144" s="18" t="s">
        <v>1054</v>
      </c>
      <c r="C144" s="18" t="s">
        <v>14</v>
      </c>
      <c r="D144" s="18" t="s">
        <v>845</v>
      </c>
      <c r="E144" s="18" t="s">
        <v>23</v>
      </c>
      <c r="F144" s="18" t="s">
        <v>24</v>
      </c>
      <c r="G144" s="19" t="s">
        <v>25</v>
      </c>
      <c r="H144" s="18" t="s">
        <v>857</v>
      </c>
      <c r="I144" s="20">
        <v>-1372</v>
      </c>
      <c r="J144" s="20">
        <v>-27743</v>
      </c>
      <c r="K144" s="18" t="s">
        <v>20</v>
      </c>
      <c r="L144" s="18" t="s">
        <v>255</v>
      </c>
    </row>
    <row r="145" spans="1:12" hidden="1" x14ac:dyDescent="0.25">
      <c r="A145" s="21" t="s">
        <v>257</v>
      </c>
      <c r="B145" s="21" t="s">
        <v>1055</v>
      </c>
      <c r="C145" s="21" t="s">
        <v>14</v>
      </c>
      <c r="D145" s="21" t="s">
        <v>845</v>
      </c>
      <c r="E145" s="21" t="s">
        <v>23</v>
      </c>
      <c r="F145" s="21" t="s">
        <v>24</v>
      </c>
      <c r="G145" s="24" t="s">
        <v>25</v>
      </c>
      <c r="H145" s="21" t="s">
        <v>72</v>
      </c>
      <c r="I145" s="23">
        <v>-673</v>
      </c>
      <c r="J145" s="23">
        <v>-27070</v>
      </c>
      <c r="K145" s="21" t="s">
        <v>20</v>
      </c>
      <c r="L145" s="21" t="s">
        <v>257</v>
      </c>
    </row>
    <row r="146" spans="1:12" hidden="1" x14ac:dyDescent="0.25">
      <c r="A146" s="18" t="s">
        <v>259</v>
      </c>
      <c r="B146" s="18" t="s">
        <v>1056</v>
      </c>
      <c r="C146" s="18" t="s">
        <v>14</v>
      </c>
      <c r="D146" s="18" t="s">
        <v>845</v>
      </c>
      <c r="E146" s="18" t="s">
        <v>29</v>
      </c>
      <c r="F146" s="18" t="s">
        <v>24</v>
      </c>
      <c r="G146" s="19" t="s">
        <v>25</v>
      </c>
      <c r="H146" s="18" t="s">
        <v>76</v>
      </c>
      <c r="I146" s="20">
        <v>-1018</v>
      </c>
      <c r="J146" s="20">
        <v>-26052</v>
      </c>
      <c r="K146" s="18" t="s">
        <v>20</v>
      </c>
      <c r="L146" s="18" t="s">
        <v>259</v>
      </c>
    </row>
    <row r="147" spans="1:12" hidden="1" x14ac:dyDescent="0.25">
      <c r="A147" s="21" t="s">
        <v>1057</v>
      </c>
      <c r="B147" s="21" t="s">
        <v>1058</v>
      </c>
      <c r="C147" s="21" t="s">
        <v>14</v>
      </c>
      <c r="D147" s="21" t="s">
        <v>845</v>
      </c>
      <c r="E147" s="21" t="s">
        <v>23</v>
      </c>
      <c r="F147" s="21" t="s">
        <v>24</v>
      </c>
      <c r="G147" s="24" t="s">
        <v>25</v>
      </c>
      <c r="H147" s="21" t="s">
        <v>72</v>
      </c>
      <c r="I147" s="23">
        <v>-674</v>
      </c>
      <c r="J147" s="23">
        <v>-25378</v>
      </c>
      <c r="K147" s="21" t="s">
        <v>20</v>
      </c>
      <c r="L147" s="21" t="s">
        <v>1057</v>
      </c>
    </row>
    <row r="148" spans="1:12" hidden="1" x14ac:dyDescent="0.25">
      <c r="A148" s="18" t="s">
        <v>1059</v>
      </c>
      <c r="B148" s="18" t="s">
        <v>1060</v>
      </c>
      <c r="C148" s="18" t="s">
        <v>14</v>
      </c>
      <c r="D148" s="18" t="s">
        <v>845</v>
      </c>
      <c r="E148" s="18" t="s">
        <v>23</v>
      </c>
      <c r="F148" s="18" t="s">
        <v>24</v>
      </c>
      <c r="G148" s="19" t="s">
        <v>25</v>
      </c>
      <c r="H148" s="18" t="s">
        <v>37</v>
      </c>
      <c r="I148" s="20">
        <v>-578</v>
      </c>
      <c r="J148" s="20">
        <v>-24800</v>
      </c>
      <c r="K148" s="18" t="s">
        <v>20</v>
      </c>
      <c r="L148" s="18" t="s">
        <v>1059</v>
      </c>
    </row>
    <row r="149" spans="1:12" hidden="1" x14ac:dyDescent="0.25">
      <c r="A149" s="21" t="s">
        <v>1061</v>
      </c>
      <c r="B149" s="21" t="s">
        <v>1062</v>
      </c>
      <c r="C149" s="21" t="s">
        <v>14</v>
      </c>
      <c r="D149" s="21" t="s">
        <v>845</v>
      </c>
      <c r="E149" s="21" t="s">
        <v>23</v>
      </c>
      <c r="F149" s="21" t="s">
        <v>24</v>
      </c>
      <c r="G149" s="24" t="s">
        <v>25</v>
      </c>
      <c r="H149" s="21" t="s">
        <v>58</v>
      </c>
      <c r="I149" s="23">
        <v>-981</v>
      </c>
      <c r="J149" s="23">
        <v>-23819</v>
      </c>
      <c r="K149" s="21" t="s">
        <v>20</v>
      </c>
      <c r="L149" s="21" t="s">
        <v>1061</v>
      </c>
    </row>
    <row r="150" spans="1:12" hidden="1" x14ac:dyDescent="0.25">
      <c r="A150" s="18" t="s">
        <v>1063</v>
      </c>
      <c r="B150" s="18" t="s">
        <v>1064</v>
      </c>
      <c r="C150" s="18" t="s">
        <v>14</v>
      </c>
      <c r="D150" s="18" t="s">
        <v>845</v>
      </c>
      <c r="E150" s="18" t="s">
        <v>23</v>
      </c>
      <c r="F150" s="18" t="s">
        <v>24</v>
      </c>
      <c r="G150" s="19" t="s">
        <v>25</v>
      </c>
      <c r="H150" s="18" t="s">
        <v>125</v>
      </c>
      <c r="I150" s="20">
        <v>-832</v>
      </c>
      <c r="J150" s="20">
        <v>-22987</v>
      </c>
      <c r="K150" s="18" t="s">
        <v>20</v>
      </c>
      <c r="L150" s="18" t="s">
        <v>1063</v>
      </c>
    </row>
    <row r="151" spans="1:12" hidden="1" x14ac:dyDescent="0.25">
      <c r="A151" s="21" t="s">
        <v>1065</v>
      </c>
      <c r="B151" s="21" t="s">
        <v>1066</v>
      </c>
      <c r="C151" s="21" t="s">
        <v>14</v>
      </c>
      <c r="D151" s="21" t="s">
        <v>845</v>
      </c>
      <c r="E151" s="21" t="s">
        <v>23</v>
      </c>
      <c r="F151" s="21" t="s">
        <v>24</v>
      </c>
      <c r="G151" s="24" t="s">
        <v>25</v>
      </c>
      <c r="H151" s="21" t="s">
        <v>166</v>
      </c>
      <c r="I151" s="23">
        <v>-980</v>
      </c>
      <c r="J151" s="23">
        <v>-22007</v>
      </c>
      <c r="K151" s="21" t="s">
        <v>20</v>
      </c>
      <c r="L151" s="21" t="s">
        <v>1065</v>
      </c>
    </row>
    <row r="152" spans="1:12" hidden="1" x14ac:dyDescent="0.25">
      <c r="A152" s="18" t="s">
        <v>269</v>
      </c>
      <c r="B152" s="18" t="s">
        <v>1067</v>
      </c>
      <c r="C152" s="18" t="s">
        <v>14</v>
      </c>
      <c r="D152" s="18" t="s">
        <v>845</v>
      </c>
      <c r="E152" s="18" t="s">
        <v>23</v>
      </c>
      <c r="F152" s="18" t="s">
        <v>24</v>
      </c>
      <c r="G152" s="19" t="s">
        <v>25</v>
      </c>
      <c r="H152" s="18" t="s">
        <v>120</v>
      </c>
      <c r="I152" s="20">
        <v>-671</v>
      </c>
      <c r="J152" s="20">
        <v>36776</v>
      </c>
      <c r="K152" s="18" t="s">
        <v>20</v>
      </c>
      <c r="L152" s="18" t="s">
        <v>269</v>
      </c>
    </row>
    <row r="153" spans="1:12" hidden="1" x14ac:dyDescent="0.25">
      <c r="A153" s="21" t="s">
        <v>271</v>
      </c>
      <c r="B153" s="21" t="s">
        <v>1068</v>
      </c>
      <c r="C153" s="21" t="s">
        <v>14</v>
      </c>
      <c r="D153" s="21" t="s">
        <v>845</v>
      </c>
      <c r="E153" s="21" t="s">
        <v>29</v>
      </c>
      <c r="F153" s="21" t="s">
        <v>24</v>
      </c>
      <c r="G153" s="24" t="s">
        <v>25</v>
      </c>
      <c r="H153" s="21" t="s">
        <v>187</v>
      </c>
      <c r="I153" s="23">
        <v>-1018</v>
      </c>
      <c r="J153" s="23">
        <v>37794</v>
      </c>
      <c r="K153" s="21" t="s">
        <v>20</v>
      </c>
      <c r="L153" s="21" t="s">
        <v>271</v>
      </c>
    </row>
    <row r="154" spans="1:12" hidden="1" x14ac:dyDescent="0.25">
      <c r="A154" s="18" t="s">
        <v>1069</v>
      </c>
      <c r="B154" s="18" t="s">
        <v>1070</v>
      </c>
      <c r="C154" s="18" t="s">
        <v>14</v>
      </c>
      <c r="D154" s="18" t="s">
        <v>845</v>
      </c>
      <c r="E154" s="18" t="s">
        <v>23</v>
      </c>
      <c r="F154" s="18" t="s">
        <v>24</v>
      </c>
      <c r="G154" s="19" t="s">
        <v>25</v>
      </c>
      <c r="H154" s="18" t="s">
        <v>81</v>
      </c>
      <c r="I154" s="20">
        <v>-674</v>
      </c>
      <c r="J154" s="20">
        <v>38468</v>
      </c>
      <c r="K154" s="18" t="s">
        <v>20</v>
      </c>
      <c r="L154" s="18" t="s">
        <v>1069</v>
      </c>
    </row>
    <row r="155" spans="1:12" hidden="1" x14ac:dyDescent="0.25">
      <c r="A155" s="21" t="s">
        <v>276</v>
      </c>
      <c r="B155" s="21" t="s">
        <v>1071</v>
      </c>
      <c r="C155" s="21" t="s">
        <v>14</v>
      </c>
      <c r="D155" s="21" t="s">
        <v>845</v>
      </c>
      <c r="E155" s="21" t="s">
        <v>29</v>
      </c>
      <c r="F155" s="21" t="s">
        <v>24</v>
      </c>
      <c r="G155" s="24" t="s">
        <v>25</v>
      </c>
      <c r="H155" s="21" t="s">
        <v>846</v>
      </c>
      <c r="I155" s="23">
        <v>-2374</v>
      </c>
      <c r="J155" s="23">
        <v>40842</v>
      </c>
      <c r="K155" s="21" t="s">
        <v>20</v>
      </c>
      <c r="L155" s="21" t="s">
        <v>276</v>
      </c>
    </row>
    <row r="156" spans="1:12" hidden="1" x14ac:dyDescent="0.25">
      <c r="A156" s="18" t="s">
        <v>1072</v>
      </c>
      <c r="B156" s="18" t="s">
        <v>1073</v>
      </c>
      <c r="C156" s="18" t="s">
        <v>14</v>
      </c>
      <c r="D156" s="18" t="s">
        <v>845</v>
      </c>
      <c r="E156" s="18" t="s">
        <v>33</v>
      </c>
      <c r="F156" s="18" t="s">
        <v>24</v>
      </c>
      <c r="G156" s="19" t="s">
        <v>25</v>
      </c>
      <c r="H156" s="18" t="s">
        <v>875</v>
      </c>
      <c r="I156" s="20">
        <v>-4000</v>
      </c>
      <c r="J156" s="20">
        <v>44842</v>
      </c>
      <c r="K156" s="18" t="s">
        <v>20</v>
      </c>
      <c r="L156" s="18" t="s">
        <v>1072</v>
      </c>
    </row>
    <row r="157" spans="1:12" hidden="1" x14ac:dyDescent="0.25">
      <c r="A157" s="21" t="s">
        <v>1074</v>
      </c>
      <c r="B157" s="21" t="s">
        <v>1075</v>
      </c>
      <c r="C157" s="21" t="s">
        <v>14</v>
      </c>
      <c r="D157" s="21" t="s">
        <v>845</v>
      </c>
      <c r="E157" s="21" t="s">
        <v>23</v>
      </c>
      <c r="F157" s="21" t="s">
        <v>24</v>
      </c>
      <c r="G157" s="24" t="s">
        <v>25</v>
      </c>
      <c r="H157" s="21" t="s">
        <v>153</v>
      </c>
      <c r="I157" s="23">
        <v>-452</v>
      </c>
      <c r="J157" s="23">
        <v>45294</v>
      </c>
      <c r="K157" s="21" t="s">
        <v>20</v>
      </c>
      <c r="L157" s="21" t="s">
        <v>1074</v>
      </c>
    </row>
    <row r="158" spans="1:12" hidden="1" x14ac:dyDescent="0.25">
      <c r="A158" s="18" t="s">
        <v>279</v>
      </c>
      <c r="B158" s="18" t="s">
        <v>1076</v>
      </c>
      <c r="C158" s="18" t="s">
        <v>14</v>
      </c>
      <c r="D158" s="18" t="s">
        <v>845</v>
      </c>
      <c r="E158" s="18" t="s">
        <v>23</v>
      </c>
      <c r="F158" s="18" t="s">
        <v>24</v>
      </c>
      <c r="G158" s="19" t="s">
        <v>25</v>
      </c>
      <c r="H158" s="18" t="s">
        <v>58</v>
      </c>
      <c r="I158" s="20">
        <v>-452</v>
      </c>
      <c r="J158" s="20">
        <v>45746</v>
      </c>
      <c r="K158" s="18" t="s">
        <v>20</v>
      </c>
      <c r="L158" s="18" t="s">
        <v>279</v>
      </c>
    </row>
    <row r="159" spans="1:12" hidden="1" x14ac:dyDescent="0.25">
      <c r="A159" s="21" t="s">
        <v>1077</v>
      </c>
      <c r="B159" s="21" t="s">
        <v>1078</v>
      </c>
      <c r="C159" s="21" t="s">
        <v>14</v>
      </c>
      <c r="D159" s="21" t="s">
        <v>845</v>
      </c>
      <c r="E159" s="21" t="s">
        <v>29</v>
      </c>
      <c r="F159" s="21" t="s">
        <v>24</v>
      </c>
      <c r="G159" s="24" t="s">
        <v>25</v>
      </c>
      <c r="H159" s="21" t="s">
        <v>846</v>
      </c>
      <c r="I159" s="23">
        <v>-2206</v>
      </c>
      <c r="J159" s="23">
        <v>47952</v>
      </c>
      <c r="K159" s="21" t="s">
        <v>20</v>
      </c>
      <c r="L159" s="21" t="s">
        <v>1077</v>
      </c>
    </row>
    <row r="160" spans="1:12" hidden="1" x14ac:dyDescent="0.25">
      <c r="A160" s="18" t="s">
        <v>281</v>
      </c>
      <c r="B160" s="18" t="s">
        <v>1079</v>
      </c>
      <c r="C160" s="18" t="s">
        <v>14</v>
      </c>
      <c r="D160" s="18" t="s">
        <v>845</v>
      </c>
      <c r="E160" s="18" t="s">
        <v>23</v>
      </c>
      <c r="F160" s="18" t="s">
        <v>24</v>
      </c>
      <c r="G160" s="19" t="s">
        <v>25</v>
      </c>
      <c r="H160" s="18" t="s">
        <v>153</v>
      </c>
      <c r="I160" s="20">
        <v>-452</v>
      </c>
      <c r="J160" s="20">
        <v>48404</v>
      </c>
      <c r="K160" s="18" t="s">
        <v>20</v>
      </c>
      <c r="L160" s="18" t="s">
        <v>281</v>
      </c>
    </row>
    <row r="161" spans="1:12" x14ac:dyDescent="0.25">
      <c r="A161" s="21" t="s">
        <v>281</v>
      </c>
      <c r="B161" s="21" t="s">
        <v>1080</v>
      </c>
      <c r="C161" s="21" t="s">
        <v>14</v>
      </c>
      <c r="D161" s="21" t="s">
        <v>845</v>
      </c>
      <c r="E161" s="21" t="s">
        <v>16</v>
      </c>
      <c r="F161" s="21" t="s">
        <v>17</v>
      </c>
      <c r="G161" s="22" t="s">
        <v>18</v>
      </c>
      <c r="H161" s="21" t="s">
        <v>848</v>
      </c>
      <c r="I161" s="23">
        <v>27800</v>
      </c>
      <c r="J161" s="23">
        <v>20604</v>
      </c>
      <c r="K161" s="21" t="s">
        <v>20</v>
      </c>
      <c r="L161" s="21" t="s">
        <v>281</v>
      </c>
    </row>
    <row r="162" spans="1:12" hidden="1" x14ac:dyDescent="0.25">
      <c r="A162" s="18" t="s">
        <v>1081</v>
      </c>
      <c r="B162" s="18" t="s">
        <v>1082</v>
      </c>
      <c r="C162" s="18" t="s">
        <v>14</v>
      </c>
      <c r="D162" s="18" t="s">
        <v>845</v>
      </c>
      <c r="E162" s="18" t="s">
        <v>23</v>
      </c>
      <c r="F162" s="18" t="s">
        <v>24</v>
      </c>
      <c r="G162" s="19" t="s">
        <v>25</v>
      </c>
      <c r="H162" s="18" t="s">
        <v>166</v>
      </c>
      <c r="I162" s="20">
        <v>-452</v>
      </c>
      <c r="J162" s="20">
        <v>21056</v>
      </c>
      <c r="K162" s="18" t="s">
        <v>20</v>
      </c>
      <c r="L162" s="18" t="s">
        <v>1081</v>
      </c>
    </row>
    <row r="163" spans="1:12" hidden="1" x14ac:dyDescent="0.25">
      <c r="A163" s="21" t="s">
        <v>1083</v>
      </c>
      <c r="B163" s="21" t="s">
        <v>1084</v>
      </c>
      <c r="C163" s="21" t="s">
        <v>14</v>
      </c>
      <c r="D163" s="21" t="s">
        <v>845</v>
      </c>
      <c r="E163" s="21" t="s">
        <v>23</v>
      </c>
      <c r="F163" s="21" t="s">
        <v>24</v>
      </c>
      <c r="G163" s="24" t="s">
        <v>25</v>
      </c>
      <c r="H163" s="21" t="s">
        <v>362</v>
      </c>
      <c r="I163" s="23">
        <v>-715</v>
      </c>
      <c r="J163" s="23">
        <v>21771</v>
      </c>
      <c r="K163" s="21" t="s">
        <v>20</v>
      </c>
      <c r="L163" s="21" t="s">
        <v>1083</v>
      </c>
    </row>
    <row r="164" spans="1:12" hidden="1" x14ac:dyDescent="0.25">
      <c r="A164" s="18" t="s">
        <v>283</v>
      </c>
      <c r="B164" s="18" t="s">
        <v>1085</v>
      </c>
      <c r="C164" s="18" t="s">
        <v>14</v>
      </c>
      <c r="D164" s="18" t="s">
        <v>845</v>
      </c>
      <c r="E164" s="18" t="s">
        <v>54</v>
      </c>
      <c r="F164" s="18" t="s">
        <v>24</v>
      </c>
      <c r="G164" s="19" t="s">
        <v>25</v>
      </c>
      <c r="H164" s="18" t="s">
        <v>55</v>
      </c>
      <c r="I164" s="20">
        <v>-408</v>
      </c>
      <c r="J164" s="20">
        <v>22179</v>
      </c>
      <c r="K164" s="18" t="s">
        <v>20</v>
      </c>
      <c r="L164" s="18" t="s">
        <v>283</v>
      </c>
    </row>
    <row r="165" spans="1:12" hidden="1" x14ac:dyDescent="0.25">
      <c r="A165" s="21" t="s">
        <v>285</v>
      </c>
      <c r="B165" s="21" t="s">
        <v>1086</v>
      </c>
      <c r="C165" s="21" t="s">
        <v>14</v>
      </c>
      <c r="D165" s="21" t="s">
        <v>845</v>
      </c>
      <c r="E165" s="21" t="s">
        <v>23</v>
      </c>
      <c r="F165" s="21" t="s">
        <v>24</v>
      </c>
      <c r="G165" s="24" t="s">
        <v>25</v>
      </c>
      <c r="H165" s="21" t="s">
        <v>51</v>
      </c>
      <c r="I165" s="23">
        <v>-511</v>
      </c>
      <c r="J165" s="23">
        <v>22690</v>
      </c>
      <c r="K165" s="21" t="s">
        <v>20</v>
      </c>
      <c r="L165" s="21" t="s">
        <v>285</v>
      </c>
    </row>
    <row r="166" spans="1:12" hidden="1" x14ac:dyDescent="0.25">
      <c r="A166" s="18" t="s">
        <v>1087</v>
      </c>
      <c r="B166" s="18" t="s">
        <v>1088</v>
      </c>
      <c r="C166" s="18" t="s">
        <v>14</v>
      </c>
      <c r="D166" s="18" t="s">
        <v>845</v>
      </c>
      <c r="E166" s="18" t="s">
        <v>33</v>
      </c>
      <c r="F166" s="18" t="s">
        <v>24</v>
      </c>
      <c r="G166" s="19" t="s">
        <v>25</v>
      </c>
      <c r="H166" s="18" t="s">
        <v>190</v>
      </c>
      <c r="I166" s="20">
        <v>-521</v>
      </c>
      <c r="J166" s="20">
        <v>23211</v>
      </c>
      <c r="K166" s="18" t="s">
        <v>20</v>
      </c>
      <c r="L166" s="18" t="s">
        <v>1087</v>
      </c>
    </row>
    <row r="167" spans="1:12" hidden="1" x14ac:dyDescent="0.25">
      <c r="A167" s="21" t="s">
        <v>1089</v>
      </c>
      <c r="B167" s="21" t="s">
        <v>1090</v>
      </c>
      <c r="C167" s="21" t="s">
        <v>14</v>
      </c>
      <c r="D167" s="21" t="s">
        <v>845</v>
      </c>
      <c r="E167" s="21" t="s">
        <v>23</v>
      </c>
      <c r="F167" s="21" t="s">
        <v>24</v>
      </c>
      <c r="G167" s="24" t="s">
        <v>25</v>
      </c>
      <c r="H167" s="21" t="s">
        <v>72</v>
      </c>
      <c r="I167" s="23">
        <v>-706</v>
      </c>
      <c r="J167" s="23">
        <v>23917</v>
      </c>
      <c r="K167" s="21" t="s">
        <v>20</v>
      </c>
      <c r="L167" s="21" t="s">
        <v>1089</v>
      </c>
    </row>
    <row r="168" spans="1:12" hidden="1" x14ac:dyDescent="0.25">
      <c r="A168" s="18" t="s">
        <v>1091</v>
      </c>
      <c r="B168" s="18" t="s">
        <v>1092</v>
      </c>
      <c r="C168" s="18" t="s">
        <v>14</v>
      </c>
      <c r="D168" s="18" t="s">
        <v>845</v>
      </c>
      <c r="E168" s="18" t="s">
        <v>23</v>
      </c>
      <c r="F168" s="18" t="s">
        <v>24</v>
      </c>
      <c r="G168" s="19" t="s">
        <v>25</v>
      </c>
      <c r="H168" s="18" t="s">
        <v>120</v>
      </c>
      <c r="I168" s="20">
        <v>-512</v>
      </c>
      <c r="J168" s="20">
        <v>24429</v>
      </c>
      <c r="K168" s="18" t="s">
        <v>20</v>
      </c>
      <c r="L168" s="18" t="s">
        <v>1089</v>
      </c>
    </row>
    <row r="169" spans="1:12" hidden="1" x14ac:dyDescent="0.25">
      <c r="A169" s="21" t="s">
        <v>1093</v>
      </c>
      <c r="B169" s="21" t="s">
        <v>1094</v>
      </c>
      <c r="C169" s="21" t="s">
        <v>14</v>
      </c>
      <c r="D169" s="21" t="s">
        <v>845</v>
      </c>
      <c r="E169" s="21" t="s">
        <v>23</v>
      </c>
      <c r="F169" s="21" t="s">
        <v>24</v>
      </c>
      <c r="G169" s="24" t="s">
        <v>25</v>
      </c>
      <c r="H169" s="21" t="s">
        <v>938</v>
      </c>
      <c r="I169" s="23">
        <v>-1337</v>
      </c>
      <c r="J169" s="23">
        <v>25766</v>
      </c>
      <c r="K169" s="21" t="s">
        <v>20</v>
      </c>
      <c r="L169" s="21" t="s">
        <v>1093</v>
      </c>
    </row>
    <row r="170" spans="1:12" hidden="1" x14ac:dyDescent="0.25">
      <c r="A170" s="18" t="s">
        <v>1095</v>
      </c>
      <c r="B170" s="18" t="s">
        <v>1096</v>
      </c>
      <c r="C170" s="18" t="s">
        <v>14</v>
      </c>
      <c r="D170" s="18" t="s">
        <v>845</v>
      </c>
      <c r="E170" s="18" t="s">
        <v>23</v>
      </c>
      <c r="F170" s="18" t="s">
        <v>24</v>
      </c>
      <c r="G170" s="19" t="s">
        <v>25</v>
      </c>
      <c r="H170" s="18" t="s">
        <v>81</v>
      </c>
      <c r="I170" s="20">
        <v>-707</v>
      </c>
      <c r="J170" s="20">
        <v>26473</v>
      </c>
      <c r="K170" s="18" t="s">
        <v>20</v>
      </c>
      <c r="L170" s="18" t="s">
        <v>1095</v>
      </c>
    </row>
    <row r="171" spans="1:12" hidden="1" x14ac:dyDescent="0.25">
      <c r="A171" s="21" t="s">
        <v>1097</v>
      </c>
      <c r="B171" s="21" t="s">
        <v>1098</v>
      </c>
      <c r="C171" s="21" t="s">
        <v>14</v>
      </c>
      <c r="D171" s="21" t="s">
        <v>845</v>
      </c>
      <c r="E171" s="21" t="s">
        <v>23</v>
      </c>
      <c r="F171" s="21" t="s">
        <v>24</v>
      </c>
      <c r="G171" s="24" t="s">
        <v>25</v>
      </c>
      <c r="H171" s="21" t="s">
        <v>40</v>
      </c>
      <c r="I171" s="23">
        <v>-706</v>
      </c>
      <c r="J171" s="23">
        <v>27179</v>
      </c>
      <c r="K171" s="21" t="s">
        <v>20</v>
      </c>
      <c r="L171" s="21" t="s">
        <v>1097</v>
      </c>
    </row>
    <row r="172" spans="1:12" hidden="1" x14ac:dyDescent="0.25">
      <c r="A172" s="18" t="s">
        <v>295</v>
      </c>
      <c r="B172" s="18" t="s">
        <v>1099</v>
      </c>
      <c r="C172" s="18" t="s">
        <v>14</v>
      </c>
      <c r="D172" s="18" t="s">
        <v>845</v>
      </c>
      <c r="E172" s="18" t="s">
        <v>23</v>
      </c>
      <c r="F172" s="18" t="s">
        <v>24</v>
      </c>
      <c r="G172" s="19" t="s">
        <v>25</v>
      </c>
      <c r="H172" s="18" t="s">
        <v>112</v>
      </c>
      <c r="I172" s="20">
        <v>-706</v>
      </c>
      <c r="J172" s="20">
        <v>27885</v>
      </c>
      <c r="K172" s="18" t="s">
        <v>20</v>
      </c>
      <c r="L172" s="18" t="s">
        <v>295</v>
      </c>
    </row>
    <row r="173" spans="1:12" hidden="1" x14ac:dyDescent="0.25">
      <c r="A173" s="21" t="s">
        <v>1100</v>
      </c>
      <c r="B173" s="21" t="s">
        <v>1101</v>
      </c>
      <c r="C173" s="21" t="s">
        <v>14</v>
      </c>
      <c r="D173" s="21" t="s">
        <v>845</v>
      </c>
      <c r="E173" s="21" t="s">
        <v>29</v>
      </c>
      <c r="F173" s="21" t="s">
        <v>24</v>
      </c>
      <c r="G173" s="24" t="s">
        <v>25</v>
      </c>
      <c r="H173" s="21" t="s">
        <v>76</v>
      </c>
      <c r="I173" s="23">
        <v>-826</v>
      </c>
      <c r="J173" s="23">
        <v>28711</v>
      </c>
      <c r="K173" s="21" t="s">
        <v>20</v>
      </c>
      <c r="L173" s="21" t="s">
        <v>1100</v>
      </c>
    </row>
    <row r="174" spans="1:12" hidden="1" x14ac:dyDescent="0.25">
      <c r="A174" s="18" t="s">
        <v>1102</v>
      </c>
      <c r="B174" s="18" t="s">
        <v>1103</v>
      </c>
      <c r="C174" s="18" t="s">
        <v>14</v>
      </c>
      <c r="D174" s="18" t="s">
        <v>845</v>
      </c>
      <c r="E174" s="18" t="s">
        <v>29</v>
      </c>
      <c r="F174" s="18" t="s">
        <v>24</v>
      </c>
      <c r="G174" s="19" t="s">
        <v>25</v>
      </c>
      <c r="H174" s="18" t="s">
        <v>128</v>
      </c>
      <c r="I174" s="20">
        <v>-827</v>
      </c>
      <c r="J174" s="20">
        <v>29538</v>
      </c>
      <c r="K174" s="18" t="s">
        <v>20</v>
      </c>
      <c r="L174" s="18" t="s">
        <v>1102</v>
      </c>
    </row>
    <row r="175" spans="1:12" hidden="1" x14ac:dyDescent="0.25">
      <c r="A175" s="21" t="s">
        <v>297</v>
      </c>
      <c r="B175" s="21" t="s">
        <v>1104</v>
      </c>
      <c r="C175" s="21" t="s">
        <v>14</v>
      </c>
      <c r="D175" s="21" t="s">
        <v>845</v>
      </c>
      <c r="E175" s="21" t="s">
        <v>33</v>
      </c>
      <c r="F175" s="21" t="s">
        <v>24</v>
      </c>
      <c r="G175" s="24" t="s">
        <v>25</v>
      </c>
      <c r="H175" s="21" t="s">
        <v>875</v>
      </c>
      <c r="I175" s="23">
        <v>-4000</v>
      </c>
      <c r="J175" s="23">
        <v>33538</v>
      </c>
      <c r="K175" s="21" t="s">
        <v>20</v>
      </c>
      <c r="L175" s="21" t="s">
        <v>297</v>
      </c>
    </row>
    <row r="176" spans="1:12" hidden="1" x14ac:dyDescent="0.25">
      <c r="A176" s="18" t="s">
        <v>299</v>
      </c>
      <c r="B176" s="18" t="s">
        <v>1105</v>
      </c>
      <c r="C176" s="18" t="s">
        <v>14</v>
      </c>
      <c r="D176" s="18" t="s">
        <v>845</v>
      </c>
      <c r="E176" s="18" t="s">
        <v>23</v>
      </c>
      <c r="F176" s="18" t="s">
        <v>24</v>
      </c>
      <c r="G176" s="19" t="s">
        <v>25</v>
      </c>
      <c r="H176" s="18" t="s">
        <v>37</v>
      </c>
      <c r="I176" s="20">
        <v>-1198</v>
      </c>
      <c r="J176" s="20">
        <v>34736</v>
      </c>
      <c r="K176" s="18" t="s">
        <v>20</v>
      </c>
      <c r="L176" s="18" t="s">
        <v>299</v>
      </c>
    </row>
    <row r="177" spans="1:12" hidden="1" x14ac:dyDescent="0.25">
      <c r="A177" s="21" t="s">
        <v>301</v>
      </c>
      <c r="B177" s="21" t="s">
        <v>1106</v>
      </c>
      <c r="C177" s="21" t="s">
        <v>14</v>
      </c>
      <c r="D177" s="21" t="s">
        <v>845</v>
      </c>
      <c r="E177" s="21" t="s">
        <v>33</v>
      </c>
      <c r="F177" s="21" t="s">
        <v>24</v>
      </c>
      <c r="G177" s="24" t="s">
        <v>25</v>
      </c>
      <c r="H177" s="21" t="s">
        <v>115</v>
      </c>
      <c r="I177" s="23">
        <v>-1306</v>
      </c>
      <c r="J177" s="23">
        <v>36042</v>
      </c>
      <c r="K177" s="21" t="s">
        <v>20</v>
      </c>
      <c r="L177" s="21" t="s">
        <v>301</v>
      </c>
    </row>
    <row r="178" spans="1:12" hidden="1" x14ac:dyDescent="0.25">
      <c r="A178" s="18" t="s">
        <v>303</v>
      </c>
      <c r="B178" s="18" t="s">
        <v>1107</v>
      </c>
      <c r="C178" s="18" t="s">
        <v>14</v>
      </c>
      <c r="D178" s="18" t="s">
        <v>845</v>
      </c>
      <c r="E178" s="18" t="s">
        <v>23</v>
      </c>
      <c r="F178" s="18" t="s">
        <v>24</v>
      </c>
      <c r="G178" s="19" t="s">
        <v>25</v>
      </c>
      <c r="H178" s="18" t="s">
        <v>84</v>
      </c>
      <c r="I178" s="20">
        <v>-1501</v>
      </c>
      <c r="J178" s="20">
        <v>37543</v>
      </c>
      <c r="K178" s="18" t="s">
        <v>20</v>
      </c>
      <c r="L178" s="18" t="s">
        <v>303</v>
      </c>
    </row>
    <row r="179" spans="1:12" x14ac:dyDescent="0.25">
      <c r="A179" s="21" t="s">
        <v>305</v>
      </c>
      <c r="B179" s="21" t="s">
        <v>1108</v>
      </c>
      <c r="C179" s="21" t="s">
        <v>14</v>
      </c>
      <c r="D179" s="21" t="s">
        <v>845</v>
      </c>
      <c r="E179" s="21" t="s">
        <v>16</v>
      </c>
      <c r="F179" s="21" t="s">
        <v>17</v>
      </c>
      <c r="G179" s="22" t="s">
        <v>18</v>
      </c>
      <c r="H179" s="21" t="s">
        <v>848</v>
      </c>
      <c r="I179" s="23">
        <v>28400</v>
      </c>
      <c r="J179" s="23">
        <v>9143</v>
      </c>
      <c r="K179" s="21" t="s">
        <v>20</v>
      </c>
      <c r="L179" s="21" t="s">
        <v>305</v>
      </c>
    </row>
    <row r="180" spans="1:12" hidden="1" x14ac:dyDescent="0.25">
      <c r="A180" s="18" t="s">
        <v>305</v>
      </c>
      <c r="B180" s="18" t="s">
        <v>1109</v>
      </c>
      <c r="C180" s="18" t="s">
        <v>14</v>
      </c>
      <c r="D180" s="18" t="s">
        <v>845</v>
      </c>
      <c r="E180" s="18" t="s">
        <v>23</v>
      </c>
      <c r="F180" s="18" t="s">
        <v>24</v>
      </c>
      <c r="G180" s="19" t="s">
        <v>25</v>
      </c>
      <c r="H180" s="18" t="s">
        <v>120</v>
      </c>
      <c r="I180" s="20">
        <v>-1157</v>
      </c>
      <c r="J180" s="20">
        <v>10300</v>
      </c>
      <c r="K180" s="18" t="s">
        <v>20</v>
      </c>
      <c r="L180" s="18" t="s">
        <v>305</v>
      </c>
    </row>
    <row r="181" spans="1:12" hidden="1" x14ac:dyDescent="0.25">
      <c r="A181" s="21" t="s">
        <v>307</v>
      </c>
      <c r="B181" s="21" t="s">
        <v>1110</v>
      </c>
      <c r="C181" s="21" t="s">
        <v>14</v>
      </c>
      <c r="D181" s="21" t="s">
        <v>845</v>
      </c>
      <c r="E181" s="21" t="s">
        <v>23</v>
      </c>
      <c r="F181" s="21" t="s">
        <v>24</v>
      </c>
      <c r="G181" s="24" t="s">
        <v>25</v>
      </c>
      <c r="H181" s="21" t="s">
        <v>938</v>
      </c>
      <c r="I181" s="23">
        <v>-1324</v>
      </c>
      <c r="J181" s="23">
        <v>11624</v>
      </c>
      <c r="K181" s="21" t="s">
        <v>20</v>
      </c>
      <c r="L181" s="21" t="s">
        <v>307</v>
      </c>
    </row>
    <row r="182" spans="1:12" hidden="1" x14ac:dyDescent="0.25">
      <c r="A182" s="18" t="s">
        <v>309</v>
      </c>
      <c r="B182" s="18" t="s">
        <v>1111</v>
      </c>
      <c r="C182" s="18" t="s">
        <v>14</v>
      </c>
      <c r="D182" s="18" t="s">
        <v>845</v>
      </c>
      <c r="E182" s="18" t="s">
        <v>29</v>
      </c>
      <c r="F182" s="18" t="s">
        <v>24</v>
      </c>
      <c r="G182" s="19" t="s">
        <v>25</v>
      </c>
      <c r="H182" s="18" t="s">
        <v>223</v>
      </c>
      <c r="I182" s="20">
        <v>-794</v>
      </c>
      <c r="J182" s="20">
        <v>12418</v>
      </c>
      <c r="K182" s="18" t="s">
        <v>20</v>
      </c>
      <c r="L182" s="18" t="s">
        <v>309</v>
      </c>
    </row>
    <row r="183" spans="1:12" hidden="1" x14ac:dyDescent="0.25">
      <c r="A183" s="21" t="s">
        <v>315</v>
      </c>
      <c r="B183" s="21" t="s">
        <v>1112</v>
      </c>
      <c r="C183" s="21" t="s">
        <v>14</v>
      </c>
      <c r="D183" s="21" t="s">
        <v>845</v>
      </c>
      <c r="E183" s="21" t="s">
        <v>23</v>
      </c>
      <c r="F183" s="21" t="s">
        <v>24</v>
      </c>
      <c r="G183" s="24" t="s">
        <v>25</v>
      </c>
      <c r="H183" s="21" t="s">
        <v>362</v>
      </c>
      <c r="I183" s="23">
        <v>-862</v>
      </c>
      <c r="J183" s="23">
        <v>13280</v>
      </c>
      <c r="K183" s="21" t="s">
        <v>20</v>
      </c>
      <c r="L183" s="21" t="s">
        <v>315</v>
      </c>
    </row>
    <row r="184" spans="1:12" hidden="1" x14ac:dyDescent="0.25">
      <c r="A184" s="18" t="s">
        <v>1113</v>
      </c>
      <c r="B184" s="18" t="s">
        <v>1114</v>
      </c>
      <c r="C184" s="18" t="s">
        <v>14</v>
      </c>
      <c r="D184" s="18" t="s">
        <v>845</v>
      </c>
      <c r="E184" s="18" t="s">
        <v>23</v>
      </c>
      <c r="F184" s="18" t="s">
        <v>24</v>
      </c>
      <c r="G184" s="19" t="s">
        <v>25</v>
      </c>
      <c r="H184" s="18" t="s">
        <v>95</v>
      </c>
      <c r="I184" s="20">
        <v>-855</v>
      </c>
      <c r="J184" s="20">
        <v>14135</v>
      </c>
      <c r="K184" s="18" t="s">
        <v>20</v>
      </c>
      <c r="L184" s="18" t="s">
        <v>1113</v>
      </c>
    </row>
    <row r="185" spans="1:12" hidden="1" x14ac:dyDescent="0.25">
      <c r="A185" s="21" t="s">
        <v>1115</v>
      </c>
      <c r="B185" s="21" t="s">
        <v>1116</v>
      </c>
      <c r="C185" s="21" t="s">
        <v>14</v>
      </c>
      <c r="D185" s="21" t="s">
        <v>845</v>
      </c>
      <c r="E185" s="21" t="s">
        <v>23</v>
      </c>
      <c r="F185" s="21" t="s">
        <v>24</v>
      </c>
      <c r="G185" s="24" t="s">
        <v>25</v>
      </c>
      <c r="H185" s="21" t="s">
        <v>98</v>
      </c>
      <c r="I185" s="23">
        <v>-634</v>
      </c>
      <c r="J185" s="23">
        <v>14769</v>
      </c>
      <c r="K185" s="21" t="s">
        <v>20</v>
      </c>
      <c r="L185" s="21" t="s">
        <v>1115</v>
      </c>
    </row>
    <row r="186" spans="1:12" hidden="1" x14ac:dyDescent="0.25">
      <c r="A186" s="18" t="s">
        <v>1117</v>
      </c>
      <c r="B186" s="18" t="s">
        <v>1118</v>
      </c>
      <c r="C186" s="18" t="s">
        <v>14</v>
      </c>
      <c r="D186" s="18" t="s">
        <v>845</v>
      </c>
      <c r="E186" s="18" t="s">
        <v>33</v>
      </c>
      <c r="F186" s="18" t="s">
        <v>24</v>
      </c>
      <c r="G186" s="19" t="s">
        <v>25</v>
      </c>
      <c r="H186" s="18" t="s">
        <v>273</v>
      </c>
      <c r="I186" s="20">
        <v>-1041</v>
      </c>
      <c r="J186" s="20">
        <v>15810</v>
      </c>
      <c r="K186" s="18" t="s">
        <v>20</v>
      </c>
      <c r="L186" s="18" t="s">
        <v>1117</v>
      </c>
    </row>
    <row r="187" spans="1:12" hidden="1" x14ac:dyDescent="0.25">
      <c r="A187" s="21" t="s">
        <v>317</v>
      </c>
      <c r="B187" s="21" t="s">
        <v>1119</v>
      </c>
      <c r="C187" s="21" t="s">
        <v>14</v>
      </c>
      <c r="D187" s="21" t="s">
        <v>845</v>
      </c>
      <c r="E187" s="21" t="s">
        <v>23</v>
      </c>
      <c r="F187" s="21" t="s">
        <v>24</v>
      </c>
      <c r="G187" s="24" t="s">
        <v>25</v>
      </c>
      <c r="H187" s="21" t="s">
        <v>153</v>
      </c>
      <c r="I187" s="23">
        <v>-856</v>
      </c>
      <c r="J187" s="23">
        <v>16666</v>
      </c>
      <c r="K187" s="21" t="s">
        <v>20</v>
      </c>
      <c r="L187" s="21" t="s">
        <v>317</v>
      </c>
    </row>
    <row r="188" spans="1:12" hidden="1" x14ac:dyDescent="0.25">
      <c r="A188" s="18" t="s">
        <v>320</v>
      </c>
      <c r="B188" s="18" t="s">
        <v>1120</v>
      </c>
      <c r="C188" s="18" t="s">
        <v>14</v>
      </c>
      <c r="D188" s="18" t="s">
        <v>845</v>
      </c>
      <c r="E188" s="18" t="s">
        <v>23</v>
      </c>
      <c r="F188" s="18" t="s">
        <v>24</v>
      </c>
      <c r="G188" s="19" t="s">
        <v>25</v>
      </c>
      <c r="H188" s="18" t="s">
        <v>145</v>
      </c>
      <c r="I188" s="20">
        <v>-634</v>
      </c>
      <c r="J188" s="20">
        <v>17300</v>
      </c>
      <c r="K188" s="18" t="s">
        <v>20</v>
      </c>
      <c r="L188" s="18" t="s">
        <v>317</v>
      </c>
    </row>
    <row r="189" spans="1:12" hidden="1" x14ac:dyDescent="0.25">
      <c r="A189" s="21" t="s">
        <v>1121</v>
      </c>
      <c r="B189" s="21" t="s">
        <v>1122</v>
      </c>
      <c r="C189" s="21" t="s">
        <v>14</v>
      </c>
      <c r="D189" s="21" t="s">
        <v>845</v>
      </c>
      <c r="E189" s="21" t="s">
        <v>29</v>
      </c>
      <c r="F189" s="21" t="s">
        <v>24</v>
      </c>
      <c r="G189" s="24" t="s">
        <v>25</v>
      </c>
      <c r="H189" s="21" t="s">
        <v>846</v>
      </c>
      <c r="I189" s="23">
        <v>-1994</v>
      </c>
      <c r="J189" s="23">
        <v>19294</v>
      </c>
      <c r="K189" s="21" t="s">
        <v>20</v>
      </c>
      <c r="L189" s="21" t="s">
        <v>1121</v>
      </c>
    </row>
    <row r="190" spans="1:12" hidden="1" x14ac:dyDescent="0.25">
      <c r="A190" s="18" t="s">
        <v>323</v>
      </c>
      <c r="B190" s="18" t="s">
        <v>1123</v>
      </c>
      <c r="C190" s="18" t="s">
        <v>14</v>
      </c>
      <c r="D190" s="18" t="s">
        <v>845</v>
      </c>
      <c r="E190" s="18" t="s">
        <v>23</v>
      </c>
      <c r="F190" s="18" t="s">
        <v>24</v>
      </c>
      <c r="G190" s="19" t="s">
        <v>25</v>
      </c>
      <c r="H190" s="18" t="s">
        <v>37</v>
      </c>
      <c r="I190" s="20">
        <v>-331</v>
      </c>
      <c r="J190" s="20">
        <v>19625</v>
      </c>
      <c r="K190" s="18" t="s">
        <v>20</v>
      </c>
      <c r="L190" s="18" t="s">
        <v>323</v>
      </c>
    </row>
    <row r="191" spans="1:12" hidden="1" x14ac:dyDescent="0.25">
      <c r="A191" s="21" t="s">
        <v>325</v>
      </c>
      <c r="B191" s="21" t="s">
        <v>1124</v>
      </c>
      <c r="C191" s="21" t="s">
        <v>14</v>
      </c>
      <c r="D191" s="21" t="s">
        <v>845</v>
      </c>
      <c r="E191" s="21" t="s">
        <v>54</v>
      </c>
      <c r="F191" s="21" t="s">
        <v>24</v>
      </c>
      <c r="G191" s="24" t="s">
        <v>25</v>
      </c>
      <c r="H191" s="21" t="s">
        <v>319</v>
      </c>
      <c r="I191" s="23">
        <v>-504</v>
      </c>
      <c r="J191" s="23">
        <v>20129</v>
      </c>
      <c r="K191" s="21" t="s">
        <v>20</v>
      </c>
      <c r="L191" s="21" t="s">
        <v>325</v>
      </c>
    </row>
    <row r="192" spans="1:12" hidden="1" x14ac:dyDescent="0.25">
      <c r="A192" s="18" t="s">
        <v>327</v>
      </c>
      <c r="B192" s="18" t="s">
        <v>1125</v>
      </c>
      <c r="C192" s="18" t="s">
        <v>14</v>
      </c>
      <c r="D192" s="18" t="s">
        <v>845</v>
      </c>
      <c r="E192" s="18" t="s">
        <v>29</v>
      </c>
      <c r="F192" s="18" t="s">
        <v>24</v>
      </c>
      <c r="G192" s="19" t="s">
        <v>25</v>
      </c>
      <c r="H192" s="18" t="s">
        <v>231</v>
      </c>
      <c r="I192" s="20">
        <v>-794</v>
      </c>
      <c r="J192" s="20">
        <v>20923</v>
      </c>
      <c r="K192" s="18" t="s">
        <v>20</v>
      </c>
      <c r="L192" s="18" t="s">
        <v>327</v>
      </c>
    </row>
    <row r="193" spans="1:12" hidden="1" x14ac:dyDescent="0.25">
      <c r="A193" s="21" t="s">
        <v>329</v>
      </c>
      <c r="B193" s="21" t="s">
        <v>1126</v>
      </c>
      <c r="C193" s="21" t="s">
        <v>14</v>
      </c>
      <c r="D193" s="21" t="s">
        <v>845</v>
      </c>
      <c r="E193" s="21" t="s">
        <v>33</v>
      </c>
      <c r="F193" s="21" t="s">
        <v>24</v>
      </c>
      <c r="G193" s="24" t="s">
        <v>25</v>
      </c>
      <c r="H193" s="21" t="s">
        <v>190</v>
      </c>
      <c r="I193" s="23">
        <v>-551</v>
      </c>
      <c r="J193" s="23">
        <v>21474</v>
      </c>
      <c r="K193" s="21" t="s">
        <v>20</v>
      </c>
      <c r="L193" s="21" t="s">
        <v>329</v>
      </c>
    </row>
    <row r="194" spans="1:12" hidden="1" x14ac:dyDescent="0.25">
      <c r="A194" s="18" t="s">
        <v>1127</v>
      </c>
      <c r="B194" s="18" t="s">
        <v>1128</v>
      </c>
      <c r="C194" s="18" t="s">
        <v>14</v>
      </c>
      <c r="D194" s="18" t="s">
        <v>845</v>
      </c>
      <c r="E194" s="18" t="s">
        <v>23</v>
      </c>
      <c r="F194" s="18" t="s">
        <v>24</v>
      </c>
      <c r="G194" s="19" t="s">
        <v>25</v>
      </c>
      <c r="H194" s="18" t="s">
        <v>145</v>
      </c>
      <c r="I194" s="20">
        <v>-634</v>
      </c>
      <c r="J194" s="20">
        <v>22108</v>
      </c>
      <c r="K194" s="18" t="s">
        <v>20</v>
      </c>
      <c r="L194" s="18" t="s">
        <v>1127</v>
      </c>
    </row>
    <row r="195" spans="1:12" hidden="1" x14ac:dyDescent="0.25">
      <c r="A195" s="21" t="s">
        <v>1127</v>
      </c>
      <c r="B195" s="21" t="s">
        <v>1129</v>
      </c>
      <c r="C195" s="21" t="s">
        <v>14</v>
      </c>
      <c r="D195" s="21" t="s">
        <v>845</v>
      </c>
      <c r="E195" s="21" t="s">
        <v>33</v>
      </c>
      <c r="F195" s="21" t="s">
        <v>24</v>
      </c>
      <c r="G195" s="24" t="s">
        <v>25</v>
      </c>
      <c r="H195" s="21" t="s">
        <v>875</v>
      </c>
      <c r="I195" s="23">
        <v>-4000</v>
      </c>
      <c r="J195" s="23">
        <v>26108</v>
      </c>
      <c r="K195" s="21" t="s">
        <v>20</v>
      </c>
      <c r="L195" s="21" t="s">
        <v>1127</v>
      </c>
    </row>
    <row r="196" spans="1:12" hidden="1" x14ac:dyDescent="0.25">
      <c r="A196" s="18" t="s">
        <v>1130</v>
      </c>
      <c r="B196" s="18" t="s">
        <v>1131</v>
      </c>
      <c r="C196" s="18" t="s">
        <v>14</v>
      </c>
      <c r="D196" s="18" t="s">
        <v>845</v>
      </c>
      <c r="E196" s="18" t="s">
        <v>23</v>
      </c>
      <c r="F196" s="18" t="s">
        <v>24</v>
      </c>
      <c r="G196" s="19" t="s">
        <v>25</v>
      </c>
      <c r="H196" s="18" t="s">
        <v>40</v>
      </c>
      <c r="I196" s="20">
        <v>-634</v>
      </c>
      <c r="J196" s="20">
        <v>26742</v>
      </c>
      <c r="K196" s="18" t="s">
        <v>20</v>
      </c>
      <c r="L196" s="18" t="s">
        <v>1130</v>
      </c>
    </row>
    <row r="197" spans="1:12" hidden="1" x14ac:dyDescent="0.25">
      <c r="A197" s="21" t="s">
        <v>335</v>
      </c>
      <c r="B197" s="21" t="s">
        <v>1132</v>
      </c>
      <c r="C197" s="21" t="s">
        <v>14</v>
      </c>
      <c r="D197" s="21" t="s">
        <v>845</v>
      </c>
      <c r="E197" s="21" t="s">
        <v>29</v>
      </c>
      <c r="F197" s="21" t="s">
        <v>24</v>
      </c>
      <c r="G197" s="24" t="s">
        <v>25</v>
      </c>
      <c r="H197" s="21" t="s">
        <v>128</v>
      </c>
      <c r="I197" s="23">
        <v>-580</v>
      </c>
      <c r="J197" s="23">
        <v>27322</v>
      </c>
      <c r="K197" s="21" t="s">
        <v>20</v>
      </c>
      <c r="L197" s="21" t="s">
        <v>335</v>
      </c>
    </row>
    <row r="198" spans="1:12" hidden="1" x14ac:dyDescent="0.25">
      <c r="A198" s="18" t="s">
        <v>337</v>
      </c>
      <c r="B198" s="18" t="s">
        <v>1133</v>
      </c>
      <c r="C198" s="18" t="s">
        <v>14</v>
      </c>
      <c r="D198" s="18" t="s">
        <v>845</v>
      </c>
      <c r="E198" s="18" t="s">
        <v>23</v>
      </c>
      <c r="F198" s="18" t="s">
        <v>24</v>
      </c>
      <c r="G198" s="19" t="s">
        <v>25</v>
      </c>
      <c r="H198" s="18" t="s">
        <v>95</v>
      </c>
      <c r="I198" s="20">
        <v>-868</v>
      </c>
      <c r="J198" s="20">
        <v>28190</v>
      </c>
      <c r="K198" s="18" t="s">
        <v>20</v>
      </c>
      <c r="L198" s="18" t="s">
        <v>337</v>
      </c>
    </row>
    <row r="199" spans="1:12" x14ac:dyDescent="0.25">
      <c r="A199" s="21" t="s">
        <v>337</v>
      </c>
      <c r="B199" s="21" t="s">
        <v>1134</v>
      </c>
      <c r="C199" s="21" t="s">
        <v>14</v>
      </c>
      <c r="D199" s="21" t="s">
        <v>845</v>
      </c>
      <c r="E199" s="21" t="s">
        <v>16</v>
      </c>
      <c r="F199" s="21" t="s">
        <v>17</v>
      </c>
      <c r="G199" s="22" t="s">
        <v>18</v>
      </c>
      <c r="H199" s="21" t="s">
        <v>848</v>
      </c>
      <c r="I199" s="23">
        <v>27600</v>
      </c>
      <c r="J199" s="23">
        <v>590</v>
      </c>
      <c r="K199" s="21" t="s">
        <v>20</v>
      </c>
      <c r="L199" s="21" t="s">
        <v>337</v>
      </c>
    </row>
    <row r="200" spans="1:12" hidden="1" x14ac:dyDescent="0.25">
      <c r="A200" s="18" t="s">
        <v>1135</v>
      </c>
      <c r="B200" s="18" t="s">
        <v>1136</v>
      </c>
      <c r="C200" s="18" t="s">
        <v>14</v>
      </c>
      <c r="D200" s="18" t="s">
        <v>845</v>
      </c>
      <c r="E200" s="18" t="s">
        <v>23</v>
      </c>
      <c r="F200" s="18" t="s">
        <v>24</v>
      </c>
      <c r="G200" s="19" t="s">
        <v>25</v>
      </c>
      <c r="H200" s="18" t="s">
        <v>81</v>
      </c>
      <c r="I200" s="20">
        <v>-1011</v>
      </c>
      <c r="J200" s="20">
        <v>1601</v>
      </c>
      <c r="K200" s="18" t="s">
        <v>20</v>
      </c>
      <c r="L200" s="18" t="s">
        <v>1135</v>
      </c>
    </row>
    <row r="201" spans="1:12" hidden="1" x14ac:dyDescent="0.25">
      <c r="A201" s="21" t="s">
        <v>1137</v>
      </c>
      <c r="B201" s="21" t="s">
        <v>1138</v>
      </c>
      <c r="C201" s="21" t="s">
        <v>14</v>
      </c>
      <c r="D201" s="21" t="s">
        <v>845</v>
      </c>
      <c r="E201" s="21" t="s">
        <v>23</v>
      </c>
      <c r="F201" s="21" t="s">
        <v>24</v>
      </c>
      <c r="G201" s="24" t="s">
        <v>25</v>
      </c>
      <c r="H201" s="21" t="s">
        <v>45</v>
      </c>
      <c r="I201" s="23">
        <v>-605</v>
      </c>
      <c r="J201" s="23">
        <v>2206</v>
      </c>
      <c r="K201" s="21" t="s">
        <v>20</v>
      </c>
      <c r="L201" s="21" t="s">
        <v>1137</v>
      </c>
    </row>
    <row r="202" spans="1:12" hidden="1" x14ac:dyDescent="0.25">
      <c r="A202" s="18" t="s">
        <v>1139</v>
      </c>
      <c r="B202" s="18" t="s">
        <v>1140</v>
      </c>
      <c r="C202" s="18" t="s">
        <v>14</v>
      </c>
      <c r="D202" s="18" t="s">
        <v>845</v>
      </c>
      <c r="E202" s="18" t="s">
        <v>54</v>
      </c>
      <c r="F202" s="18" t="s">
        <v>24</v>
      </c>
      <c r="G202" s="19" t="s">
        <v>25</v>
      </c>
      <c r="H202" s="18" t="s">
        <v>103</v>
      </c>
      <c r="I202" s="20">
        <v>-407</v>
      </c>
      <c r="J202" s="20">
        <v>36776</v>
      </c>
      <c r="K202" s="18" t="s">
        <v>20</v>
      </c>
      <c r="L202" s="18" t="s">
        <v>1139</v>
      </c>
    </row>
    <row r="203" spans="1:12" hidden="1" x14ac:dyDescent="0.25">
      <c r="A203" s="21" t="s">
        <v>1141</v>
      </c>
      <c r="B203" s="21" t="s">
        <v>1142</v>
      </c>
      <c r="C203" s="21" t="s">
        <v>14</v>
      </c>
      <c r="D203" s="21" t="s">
        <v>845</v>
      </c>
      <c r="E203" s="21" t="s">
        <v>29</v>
      </c>
      <c r="F203" s="21" t="s">
        <v>24</v>
      </c>
      <c r="G203" s="24" t="s">
        <v>25</v>
      </c>
      <c r="H203" s="21" t="s">
        <v>128</v>
      </c>
      <c r="I203" s="23">
        <v>-580</v>
      </c>
      <c r="J203" s="23">
        <v>37356</v>
      </c>
      <c r="K203" s="21" t="s">
        <v>20</v>
      </c>
      <c r="L203" s="21" t="s">
        <v>1141</v>
      </c>
    </row>
    <row r="204" spans="1:12" hidden="1" x14ac:dyDescent="0.25">
      <c r="A204" s="18" t="s">
        <v>1143</v>
      </c>
      <c r="B204" s="18" t="s">
        <v>1144</v>
      </c>
      <c r="C204" s="18" t="s">
        <v>14</v>
      </c>
      <c r="D204" s="18" t="s">
        <v>845</v>
      </c>
      <c r="E204" s="18" t="s">
        <v>29</v>
      </c>
      <c r="F204" s="18" t="s">
        <v>24</v>
      </c>
      <c r="G204" s="19" t="s">
        <v>25</v>
      </c>
      <c r="H204" s="18" t="s">
        <v>76</v>
      </c>
      <c r="I204" s="20">
        <v>-581</v>
      </c>
      <c r="J204" s="20">
        <v>37937</v>
      </c>
      <c r="K204" s="18" t="s">
        <v>20</v>
      </c>
      <c r="L204" s="18" t="s">
        <v>1143</v>
      </c>
    </row>
    <row r="205" spans="1:12" hidden="1" x14ac:dyDescent="0.25">
      <c r="A205" s="21" t="s">
        <v>344</v>
      </c>
      <c r="B205" s="21" t="s">
        <v>1145</v>
      </c>
      <c r="C205" s="21" t="s">
        <v>14</v>
      </c>
      <c r="D205" s="21" t="s">
        <v>845</v>
      </c>
      <c r="E205" s="21" t="s">
        <v>23</v>
      </c>
      <c r="F205" s="21" t="s">
        <v>24</v>
      </c>
      <c r="G205" s="24" t="s">
        <v>25</v>
      </c>
      <c r="H205" s="21" t="s">
        <v>938</v>
      </c>
      <c r="I205" s="23">
        <v>-1154</v>
      </c>
      <c r="J205" s="23">
        <v>39091</v>
      </c>
      <c r="K205" s="21" t="s">
        <v>20</v>
      </c>
      <c r="L205" s="21" t="s">
        <v>344</v>
      </c>
    </row>
    <row r="206" spans="1:12" hidden="1" x14ac:dyDescent="0.25">
      <c r="A206" s="18" t="s">
        <v>348</v>
      </c>
      <c r="B206" s="18" t="s">
        <v>1146</v>
      </c>
      <c r="C206" s="18" t="s">
        <v>14</v>
      </c>
      <c r="D206" s="18" t="s">
        <v>845</v>
      </c>
      <c r="E206" s="18" t="s">
        <v>23</v>
      </c>
      <c r="F206" s="18" t="s">
        <v>24</v>
      </c>
      <c r="G206" s="19" t="s">
        <v>25</v>
      </c>
      <c r="H206" s="18" t="s">
        <v>37</v>
      </c>
      <c r="I206" s="20">
        <v>-244</v>
      </c>
      <c r="J206" s="20">
        <v>39335</v>
      </c>
      <c r="K206" s="18" t="s">
        <v>20</v>
      </c>
      <c r="L206" s="18" t="s">
        <v>348</v>
      </c>
    </row>
    <row r="207" spans="1:12" hidden="1" x14ac:dyDescent="0.25">
      <c r="A207" s="21" t="s">
        <v>350</v>
      </c>
      <c r="B207" s="21" t="s">
        <v>1147</v>
      </c>
      <c r="C207" s="21" t="s">
        <v>14</v>
      </c>
      <c r="D207" s="21" t="s">
        <v>845</v>
      </c>
      <c r="E207" s="21" t="s">
        <v>23</v>
      </c>
      <c r="F207" s="21" t="s">
        <v>24</v>
      </c>
      <c r="G207" s="24" t="s">
        <v>25</v>
      </c>
      <c r="H207" s="21" t="s">
        <v>26</v>
      </c>
      <c r="I207" s="23">
        <v>-606</v>
      </c>
      <c r="J207" s="23">
        <v>39941</v>
      </c>
      <c r="K207" s="21" t="s">
        <v>20</v>
      </c>
      <c r="L207" s="21" t="s">
        <v>350</v>
      </c>
    </row>
    <row r="208" spans="1:12" hidden="1" x14ac:dyDescent="0.25">
      <c r="A208" s="18" t="s">
        <v>1148</v>
      </c>
      <c r="B208" s="18" t="s">
        <v>1149</v>
      </c>
      <c r="C208" s="18" t="s">
        <v>14</v>
      </c>
      <c r="D208" s="18" t="s">
        <v>845</v>
      </c>
      <c r="E208" s="18" t="s">
        <v>23</v>
      </c>
      <c r="F208" s="18" t="s">
        <v>24</v>
      </c>
      <c r="G208" s="19" t="s">
        <v>25</v>
      </c>
      <c r="H208" s="18" t="s">
        <v>112</v>
      </c>
      <c r="I208" s="20">
        <v>-1011</v>
      </c>
      <c r="J208" s="20">
        <v>40952</v>
      </c>
      <c r="K208" s="18" t="s">
        <v>20</v>
      </c>
      <c r="L208" s="18" t="s">
        <v>1148</v>
      </c>
    </row>
    <row r="209" spans="1:12" hidden="1" x14ac:dyDescent="0.25">
      <c r="A209" s="21" t="s">
        <v>1150</v>
      </c>
      <c r="B209" s="21" t="s">
        <v>1151</v>
      </c>
      <c r="C209" s="21" t="s">
        <v>14</v>
      </c>
      <c r="D209" s="21" t="s">
        <v>845</v>
      </c>
      <c r="E209" s="21" t="s">
        <v>33</v>
      </c>
      <c r="F209" s="21" t="s">
        <v>24</v>
      </c>
      <c r="G209" s="24" t="s">
        <v>25</v>
      </c>
      <c r="H209" s="21" t="s">
        <v>67</v>
      </c>
      <c r="I209" s="23">
        <v>-638</v>
      </c>
      <c r="J209" s="23">
        <v>41590</v>
      </c>
      <c r="K209" s="21" t="s">
        <v>20</v>
      </c>
      <c r="L209" s="21" t="s">
        <v>1150</v>
      </c>
    </row>
    <row r="210" spans="1:12" hidden="1" x14ac:dyDescent="0.25">
      <c r="A210" s="18" t="s">
        <v>354</v>
      </c>
      <c r="B210" s="18" t="s">
        <v>1152</v>
      </c>
      <c r="C210" s="18" t="s">
        <v>14</v>
      </c>
      <c r="D210" s="18" t="s">
        <v>845</v>
      </c>
      <c r="E210" s="18" t="s">
        <v>29</v>
      </c>
      <c r="F210" s="18" t="s">
        <v>24</v>
      </c>
      <c r="G210" s="19" t="s">
        <v>25</v>
      </c>
      <c r="H210" s="18" t="s">
        <v>1019</v>
      </c>
      <c r="I210" s="20">
        <v>-2249</v>
      </c>
      <c r="J210" s="20">
        <v>43839</v>
      </c>
      <c r="K210" s="18" t="s">
        <v>20</v>
      </c>
      <c r="L210" s="18" t="s">
        <v>354</v>
      </c>
    </row>
    <row r="211" spans="1:12" hidden="1" x14ac:dyDescent="0.25">
      <c r="A211" s="21" t="s">
        <v>1153</v>
      </c>
      <c r="B211" s="21" t="s">
        <v>1154</v>
      </c>
      <c r="C211" s="21" t="s">
        <v>14</v>
      </c>
      <c r="D211" s="21" t="s">
        <v>845</v>
      </c>
      <c r="E211" s="21" t="s">
        <v>23</v>
      </c>
      <c r="F211" s="21" t="s">
        <v>24</v>
      </c>
      <c r="G211" s="24" t="s">
        <v>25</v>
      </c>
      <c r="H211" s="21" t="s">
        <v>81</v>
      </c>
      <c r="I211" s="23">
        <v>-1011</v>
      </c>
      <c r="J211" s="23">
        <v>44850</v>
      </c>
      <c r="K211" s="21" t="s">
        <v>20</v>
      </c>
      <c r="L211" s="21" t="s">
        <v>1153</v>
      </c>
    </row>
    <row r="212" spans="1:12" hidden="1" x14ac:dyDescent="0.25">
      <c r="A212" s="18" t="s">
        <v>356</v>
      </c>
      <c r="B212" s="18" t="s">
        <v>1155</v>
      </c>
      <c r="C212" s="18" t="s">
        <v>14</v>
      </c>
      <c r="D212" s="18" t="s">
        <v>845</v>
      </c>
      <c r="E212" s="18" t="s">
        <v>33</v>
      </c>
      <c r="F212" s="18" t="s">
        <v>24</v>
      </c>
      <c r="G212" s="19" t="s">
        <v>25</v>
      </c>
      <c r="H212" s="18" t="s">
        <v>34</v>
      </c>
      <c r="I212" s="20">
        <v>-1171</v>
      </c>
      <c r="J212" s="20">
        <v>46021</v>
      </c>
      <c r="K212" s="18" t="s">
        <v>20</v>
      </c>
      <c r="L212" s="18" t="s">
        <v>356</v>
      </c>
    </row>
    <row r="213" spans="1:12" hidden="1" x14ac:dyDescent="0.25">
      <c r="A213" s="21" t="s">
        <v>1156</v>
      </c>
      <c r="B213" s="21" t="s">
        <v>1157</v>
      </c>
      <c r="C213" s="21" t="s">
        <v>14</v>
      </c>
      <c r="D213" s="21" t="s">
        <v>845</v>
      </c>
      <c r="E213" s="21" t="s">
        <v>23</v>
      </c>
      <c r="F213" s="21" t="s">
        <v>24</v>
      </c>
      <c r="G213" s="24" t="s">
        <v>25</v>
      </c>
      <c r="H213" s="21" t="s">
        <v>51</v>
      </c>
      <c r="I213" s="23">
        <v>-1116</v>
      </c>
      <c r="J213" s="23">
        <v>47137</v>
      </c>
      <c r="K213" s="21" t="s">
        <v>20</v>
      </c>
      <c r="L213" s="21" t="s">
        <v>1156</v>
      </c>
    </row>
    <row r="214" spans="1:12" hidden="1" x14ac:dyDescent="0.25">
      <c r="A214" s="18" t="s">
        <v>358</v>
      </c>
      <c r="B214" s="18" t="s">
        <v>1158</v>
      </c>
      <c r="C214" s="18" t="s">
        <v>14</v>
      </c>
      <c r="D214" s="18" t="s">
        <v>845</v>
      </c>
      <c r="E214" s="18" t="s">
        <v>23</v>
      </c>
      <c r="F214" s="18" t="s">
        <v>24</v>
      </c>
      <c r="G214" s="19" t="s">
        <v>25</v>
      </c>
      <c r="H214" s="18" t="s">
        <v>909</v>
      </c>
      <c r="I214" s="20">
        <v>-868</v>
      </c>
      <c r="J214" s="20">
        <v>48005</v>
      </c>
      <c r="K214" s="18" t="s">
        <v>20</v>
      </c>
      <c r="L214" s="18" t="s">
        <v>358</v>
      </c>
    </row>
    <row r="215" spans="1:12" hidden="1" x14ac:dyDescent="0.25">
      <c r="A215" s="21" t="s">
        <v>358</v>
      </c>
      <c r="B215" s="21" t="s">
        <v>1159</v>
      </c>
      <c r="C215" s="21" t="s">
        <v>14</v>
      </c>
      <c r="D215" s="21" t="s">
        <v>845</v>
      </c>
      <c r="E215" s="21" t="s">
        <v>33</v>
      </c>
      <c r="F215" s="21" t="s">
        <v>24</v>
      </c>
      <c r="G215" s="24" t="s">
        <v>25</v>
      </c>
      <c r="H215" s="21" t="s">
        <v>875</v>
      </c>
      <c r="I215" s="23">
        <v>-4000</v>
      </c>
      <c r="J215" s="23">
        <v>52005</v>
      </c>
      <c r="K215" s="21" t="s">
        <v>20</v>
      </c>
      <c r="L215" s="21" t="s">
        <v>358</v>
      </c>
    </row>
    <row r="216" spans="1:12" hidden="1" x14ac:dyDescent="0.25">
      <c r="A216" s="18" t="s">
        <v>1160</v>
      </c>
      <c r="B216" s="18" t="s">
        <v>1161</v>
      </c>
      <c r="C216" s="18" t="s">
        <v>14</v>
      </c>
      <c r="D216" s="18" t="s">
        <v>845</v>
      </c>
      <c r="E216" s="18" t="s">
        <v>23</v>
      </c>
      <c r="F216" s="18" t="s">
        <v>24</v>
      </c>
      <c r="G216" s="19" t="s">
        <v>25</v>
      </c>
      <c r="H216" s="18" t="s">
        <v>58</v>
      </c>
      <c r="I216" s="20">
        <v>-334</v>
      </c>
      <c r="J216" s="20">
        <v>52339</v>
      </c>
      <c r="K216" s="18" t="s">
        <v>20</v>
      </c>
      <c r="L216" s="18" t="s">
        <v>1160</v>
      </c>
    </row>
    <row r="217" spans="1:12" x14ac:dyDescent="0.25">
      <c r="A217" s="21" t="s">
        <v>1160</v>
      </c>
      <c r="B217" s="21" t="s">
        <v>1162</v>
      </c>
      <c r="C217" s="21" t="s">
        <v>14</v>
      </c>
      <c r="D217" s="21" t="s">
        <v>845</v>
      </c>
      <c r="E217" s="21" t="s">
        <v>16</v>
      </c>
      <c r="F217" s="21" t="s">
        <v>17</v>
      </c>
      <c r="G217" s="22" t="s">
        <v>18</v>
      </c>
      <c r="H217" s="21" t="s">
        <v>848</v>
      </c>
      <c r="I217" s="23">
        <v>28200</v>
      </c>
      <c r="J217" s="23">
        <v>24139</v>
      </c>
      <c r="K217" s="21" t="s">
        <v>20</v>
      </c>
      <c r="L217" s="21" t="s">
        <v>1160</v>
      </c>
    </row>
    <row r="218" spans="1:12" hidden="1" x14ac:dyDescent="0.25">
      <c r="A218" s="18" t="s">
        <v>360</v>
      </c>
      <c r="B218" s="18" t="s">
        <v>1163</v>
      </c>
      <c r="C218" s="18" t="s">
        <v>14</v>
      </c>
      <c r="D218" s="18" t="s">
        <v>845</v>
      </c>
      <c r="E218" s="18" t="s">
        <v>29</v>
      </c>
      <c r="F218" s="18" t="s">
        <v>24</v>
      </c>
      <c r="G218" s="19" t="s">
        <v>25</v>
      </c>
      <c r="H218" s="18" t="s">
        <v>846</v>
      </c>
      <c r="I218" s="20">
        <v>-2286</v>
      </c>
      <c r="J218" s="20">
        <v>26425</v>
      </c>
      <c r="K218" s="18" t="s">
        <v>20</v>
      </c>
      <c r="L218" s="18" t="s">
        <v>360</v>
      </c>
    </row>
    <row r="219" spans="1:12" hidden="1" x14ac:dyDescent="0.25">
      <c r="A219" s="21" t="s">
        <v>1164</v>
      </c>
      <c r="B219" s="21" t="s">
        <v>1165</v>
      </c>
      <c r="C219" s="21" t="s">
        <v>14</v>
      </c>
      <c r="D219" s="21" t="s">
        <v>845</v>
      </c>
      <c r="E219" s="21" t="s">
        <v>23</v>
      </c>
      <c r="F219" s="21" t="s">
        <v>24</v>
      </c>
      <c r="G219" s="24" t="s">
        <v>25</v>
      </c>
      <c r="H219" s="21" t="s">
        <v>58</v>
      </c>
      <c r="I219" s="23">
        <v>-333</v>
      </c>
      <c r="J219" s="23">
        <v>26758</v>
      </c>
      <c r="K219" s="21" t="s">
        <v>20</v>
      </c>
      <c r="L219" s="21" t="s">
        <v>1164</v>
      </c>
    </row>
    <row r="220" spans="1:12" hidden="1" x14ac:dyDescent="0.25">
      <c r="A220" s="18" t="s">
        <v>363</v>
      </c>
      <c r="B220" s="18" t="s">
        <v>1166</v>
      </c>
      <c r="C220" s="18" t="s">
        <v>14</v>
      </c>
      <c r="D220" s="18" t="s">
        <v>845</v>
      </c>
      <c r="E220" s="18" t="s">
        <v>29</v>
      </c>
      <c r="F220" s="18" t="s">
        <v>24</v>
      </c>
      <c r="G220" s="19" t="s">
        <v>25</v>
      </c>
      <c r="H220" s="18" t="s">
        <v>30</v>
      </c>
      <c r="I220" s="20">
        <v>-946</v>
      </c>
      <c r="J220" s="20">
        <v>27704</v>
      </c>
      <c r="K220" s="18" t="s">
        <v>20</v>
      </c>
      <c r="L220" s="18" t="s">
        <v>363</v>
      </c>
    </row>
    <row r="221" spans="1:12" hidden="1" x14ac:dyDescent="0.25">
      <c r="A221" s="21" t="s">
        <v>365</v>
      </c>
      <c r="B221" s="21" t="s">
        <v>1167</v>
      </c>
      <c r="C221" s="21" t="s">
        <v>14</v>
      </c>
      <c r="D221" s="21" t="s">
        <v>845</v>
      </c>
      <c r="E221" s="21" t="s">
        <v>29</v>
      </c>
      <c r="F221" s="21" t="s">
        <v>24</v>
      </c>
      <c r="G221" s="24" t="s">
        <v>25</v>
      </c>
      <c r="H221" s="21" t="s">
        <v>231</v>
      </c>
      <c r="I221" s="23">
        <v>-947</v>
      </c>
      <c r="J221" s="23">
        <v>28651</v>
      </c>
      <c r="K221" s="21" t="s">
        <v>20</v>
      </c>
      <c r="L221" s="21" t="s">
        <v>363</v>
      </c>
    </row>
    <row r="222" spans="1:12" hidden="1" x14ac:dyDescent="0.25">
      <c r="A222" s="18" t="s">
        <v>1168</v>
      </c>
      <c r="B222" s="18" t="s">
        <v>1169</v>
      </c>
      <c r="C222" s="18" t="s">
        <v>14</v>
      </c>
      <c r="D222" s="18" t="s">
        <v>845</v>
      </c>
      <c r="E222" s="18" t="s">
        <v>23</v>
      </c>
      <c r="F222" s="18" t="s">
        <v>24</v>
      </c>
      <c r="G222" s="19" t="s">
        <v>25</v>
      </c>
      <c r="H222" s="18" t="s">
        <v>40</v>
      </c>
      <c r="I222" s="20">
        <v>-955</v>
      </c>
      <c r="J222" s="20">
        <v>29606</v>
      </c>
      <c r="K222" s="18" t="s">
        <v>20</v>
      </c>
      <c r="L222" s="18" t="s">
        <v>1168</v>
      </c>
    </row>
    <row r="223" spans="1:12" hidden="1" x14ac:dyDescent="0.25">
      <c r="A223" s="21" t="s">
        <v>1170</v>
      </c>
      <c r="B223" s="21" t="s">
        <v>1171</v>
      </c>
      <c r="C223" s="21" t="s">
        <v>14</v>
      </c>
      <c r="D223" s="21" t="s">
        <v>845</v>
      </c>
      <c r="E223" s="21" t="s">
        <v>33</v>
      </c>
      <c r="F223" s="21" t="s">
        <v>24</v>
      </c>
      <c r="G223" s="24" t="s">
        <v>25</v>
      </c>
      <c r="H223" s="21" t="s">
        <v>48</v>
      </c>
      <c r="I223" s="23">
        <v>-703</v>
      </c>
      <c r="J223" s="23">
        <v>30309</v>
      </c>
      <c r="K223" s="21" t="s">
        <v>20</v>
      </c>
      <c r="L223" s="21" t="s">
        <v>1170</v>
      </c>
    </row>
    <row r="224" spans="1:12" hidden="1" x14ac:dyDescent="0.25">
      <c r="A224" s="18" t="s">
        <v>1172</v>
      </c>
      <c r="B224" s="18" t="s">
        <v>1173</v>
      </c>
      <c r="C224" s="18" t="s">
        <v>14</v>
      </c>
      <c r="D224" s="18" t="s">
        <v>845</v>
      </c>
      <c r="E224" s="18" t="s">
        <v>23</v>
      </c>
      <c r="F224" s="18" t="s">
        <v>24</v>
      </c>
      <c r="G224" s="19" t="s">
        <v>25</v>
      </c>
      <c r="H224" s="18" t="s">
        <v>334</v>
      </c>
      <c r="I224" s="20">
        <v>-334</v>
      </c>
      <c r="J224" s="20">
        <v>30643</v>
      </c>
      <c r="K224" s="18" t="s">
        <v>20</v>
      </c>
      <c r="L224" s="18" t="s">
        <v>1172</v>
      </c>
    </row>
    <row r="225" spans="1:12" hidden="1" x14ac:dyDescent="0.25">
      <c r="A225" s="21" t="s">
        <v>1174</v>
      </c>
      <c r="B225" s="21" t="s">
        <v>1175</v>
      </c>
      <c r="C225" s="21" t="s">
        <v>14</v>
      </c>
      <c r="D225" s="21" t="s">
        <v>845</v>
      </c>
      <c r="E225" s="21" t="s">
        <v>23</v>
      </c>
      <c r="F225" s="21" t="s">
        <v>24</v>
      </c>
      <c r="G225" s="24" t="s">
        <v>25</v>
      </c>
      <c r="H225" s="21" t="s">
        <v>95</v>
      </c>
      <c r="I225" s="23">
        <v>-333</v>
      </c>
      <c r="J225" s="23">
        <v>30976</v>
      </c>
      <c r="K225" s="21" t="s">
        <v>20</v>
      </c>
      <c r="L225" s="21" t="s">
        <v>1174</v>
      </c>
    </row>
    <row r="226" spans="1:12" hidden="1" x14ac:dyDescent="0.25">
      <c r="A226" s="18" t="s">
        <v>372</v>
      </c>
      <c r="B226" s="18" t="s">
        <v>1176</v>
      </c>
      <c r="C226" s="18" t="s">
        <v>14</v>
      </c>
      <c r="D226" s="18" t="s">
        <v>845</v>
      </c>
      <c r="E226" s="18" t="s">
        <v>23</v>
      </c>
      <c r="F226" s="18" t="s">
        <v>24</v>
      </c>
      <c r="G226" s="19" t="s">
        <v>25</v>
      </c>
      <c r="H226" s="18" t="s">
        <v>40</v>
      </c>
      <c r="I226" s="20">
        <v>-955</v>
      </c>
      <c r="J226" s="20">
        <v>31931</v>
      </c>
      <c r="K226" s="18" t="s">
        <v>20</v>
      </c>
      <c r="L226" s="18" t="s">
        <v>372</v>
      </c>
    </row>
    <row r="227" spans="1:12" hidden="1" x14ac:dyDescent="0.25">
      <c r="A227" s="21" t="s">
        <v>374</v>
      </c>
      <c r="B227" s="21" t="s">
        <v>1177</v>
      </c>
      <c r="C227" s="21" t="s">
        <v>14</v>
      </c>
      <c r="D227" s="21" t="s">
        <v>845</v>
      </c>
      <c r="E227" s="21" t="s">
        <v>23</v>
      </c>
      <c r="F227" s="21" t="s">
        <v>24</v>
      </c>
      <c r="G227" s="24" t="s">
        <v>25</v>
      </c>
      <c r="H227" s="21" t="s">
        <v>1178</v>
      </c>
      <c r="I227" s="23">
        <v>-722</v>
      </c>
      <c r="J227" s="23">
        <v>32653</v>
      </c>
      <c r="K227" s="21" t="s">
        <v>20</v>
      </c>
      <c r="L227" s="21" t="s">
        <v>374</v>
      </c>
    </row>
    <row r="228" spans="1:12" hidden="1" x14ac:dyDescent="0.25">
      <c r="A228" s="18" t="s">
        <v>1179</v>
      </c>
      <c r="B228" s="18" t="s">
        <v>1180</v>
      </c>
      <c r="C228" s="18" t="s">
        <v>14</v>
      </c>
      <c r="D228" s="18" t="s">
        <v>845</v>
      </c>
      <c r="E228" s="18" t="s">
        <v>33</v>
      </c>
      <c r="F228" s="18" t="s">
        <v>24</v>
      </c>
      <c r="G228" s="19" t="s">
        <v>25</v>
      </c>
      <c r="H228" s="18" t="s">
        <v>34</v>
      </c>
      <c r="I228" s="20">
        <v>-1287</v>
      </c>
      <c r="J228" s="20">
        <v>33940</v>
      </c>
      <c r="K228" s="18" t="s">
        <v>20</v>
      </c>
      <c r="L228" s="18" t="s">
        <v>1179</v>
      </c>
    </row>
    <row r="229" spans="1:12" hidden="1" x14ac:dyDescent="0.25">
      <c r="A229" s="21" t="s">
        <v>1181</v>
      </c>
      <c r="B229" s="21" t="s">
        <v>1182</v>
      </c>
      <c r="C229" s="21" t="s">
        <v>14</v>
      </c>
      <c r="D229" s="21" t="s">
        <v>845</v>
      </c>
      <c r="E229" s="21" t="s">
        <v>23</v>
      </c>
      <c r="F229" s="21" t="s">
        <v>24</v>
      </c>
      <c r="G229" s="24" t="s">
        <v>25</v>
      </c>
      <c r="H229" s="21" t="s">
        <v>926</v>
      </c>
      <c r="I229" s="23">
        <v>-644</v>
      </c>
      <c r="J229" s="23">
        <v>34584</v>
      </c>
      <c r="K229" s="21" t="s">
        <v>20</v>
      </c>
      <c r="L229" s="21" t="s">
        <v>1181</v>
      </c>
    </row>
    <row r="230" spans="1:12" hidden="1" x14ac:dyDescent="0.25">
      <c r="A230" s="18" t="s">
        <v>376</v>
      </c>
      <c r="B230" s="18" t="s">
        <v>1183</v>
      </c>
      <c r="C230" s="18" t="s">
        <v>14</v>
      </c>
      <c r="D230" s="18" t="s">
        <v>845</v>
      </c>
      <c r="E230" s="18" t="s">
        <v>23</v>
      </c>
      <c r="F230" s="18" t="s">
        <v>24</v>
      </c>
      <c r="G230" s="19" t="s">
        <v>25</v>
      </c>
      <c r="H230" s="18" t="s">
        <v>40</v>
      </c>
      <c r="I230" s="20">
        <v>-955</v>
      </c>
      <c r="J230" s="20">
        <v>35539</v>
      </c>
      <c r="K230" s="18" t="s">
        <v>20</v>
      </c>
      <c r="L230" s="18" t="s">
        <v>376</v>
      </c>
    </row>
    <row r="231" spans="1:12" hidden="1" x14ac:dyDescent="0.25">
      <c r="A231" s="21" t="s">
        <v>1184</v>
      </c>
      <c r="B231" s="21" t="s">
        <v>1185</v>
      </c>
      <c r="C231" s="21" t="s">
        <v>14</v>
      </c>
      <c r="D231" s="21" t="s">
        <v>845</v>
      </c>
      <c r="E231" s="21" t="s">
        <v>23</v>
      </c>
      <c r="F231" s="21" t="s">
        <v>24</v>
      </c>
      <c r="G231" s="24" t="s">
        <v>25</v>
      </c>
      <c r="H231" s="21" t="s">
        <v>51</v>
      </c>
      <c r="I231" s="23">
        <v>-1043</v>
      </c>
      <c r="J231" s="23">
        <v>36582</v>
      </c>
      <c r="K231" s="21" t="s">
        <v>20</v>
      </c>
      <c r="L231" s="21" t="s">
        <v>1184</v>
      </c>
    </row>
    <row r="232" spans="1:12" hidden="1" x14ac:dyDescent="0.25">
      <c r="A232" s="18" t="s">
        <v>1186</v>
      </c>
      <c r="B232" s="18" t="s">
        <v>1187</v>
      </c>
      <c r="C232" s="18" t="s">
        <v>14</v>
      </c>
      <c r="D232" s="18" t="s">
        <v>845</v>
      </c>
      <c r="E232" s="18" t="s">
        <v>23</v>
      </c>
      <c r="F232" s="18" t="s">
        <v>24</v>
      </c>
      <c r="G232" s="19" t="s">
        <v>25</v>
      </c>
      <c r="H232" s="18" t="s">
        <v>938</v>
      </c>
      <c r="I232" s="20">
        <v>-644</v>
      </c>
      <c r="J232" s="20">
        <v>37226</v>
      </c>
      <c r="K232" s="18" t="s">
        <v>20</v>
      </c>
      <c r="L232" s="18" t="s">
        <v>1186</v>
      </c>
    </row>
    <row r="233" spans="1:12" hidden="1" x14ac:dyDescent="0.25">
      <c r="A233" s="21" t="s">
        <v>386</v>
      </c>
      <c r="B233" s="21" t="s">
        <v>1188</v>
      </c>
      <c r="C233" s="21" t="s">
        <v>14</v>
      </c>
      <c r="D233" s="21" t="s">
        <v>845</v>
      </c>
      <c r="E233" s="21" t="s">
        <v>23</v>
      </c>
      <c r="F233" s="21" t="s">
        <v>24</v>
      </c>
      <c r="G233" s="24" t="s">
        <v>25</v>
      </c>
      <c r="H233" s="21" t="s">
        <v>968</v>
      </c>
      <c r="I233" s="23">
        <v>-333</v>
      </c>
      <c r="J233" s="23">
        <v>37559</v>
      </c>
      <c r="K233" s="21" t="s">
        <v>20</v>
      </c>
      <c r="L233" s="21" t="s">
        <v>386</v>
      </c>
    </row>
    <row r="234" spans="1:12" hidden="1" x14ac:dyDescent="0.25">
      <c r="A234" s="18" t="s">
        <v>1189</v>
      </c>
      <c r="B234" s="18" t="s">
        <v>1190</v>
      </c>
      <c r="C234" s="18" t="s">
        <v>14</v>
      </c>
      <c r="D234" s="18" t="s">
        <v>845</v>
      </c>
      <c r="E234" s="18" t="s">
        <v>23</v>
      </c>
      <c r="F234" s="18" t="s">
        <v>24</v>
      </c>
      <c r="G234" s="19" t="s">
        <v>25</v>
      </c>
      <c r="H234" s="18" t="s">
        <v>26</v>
      </c>
      <c r="I234" s="20">
        <v>-1546</v>
      </c>
      <c r="J234" s="20">
        <v>39105</v>
      </c>
      <c r="K234" s="18" t="s">
        <v>20</v>
      </c>
      <c r="L234" s="18" t="s">
        <v>1189</v>
      </c>
    </row>
    <row r="235" spans="1:12" hidden="1" x14ac:dyDescent="0.25">
      <c r="A235" s="21" t="s">
        <v>1189</v>
      </c>
      <c r="B235" s="21" t="s">
        <v>1191</v>
      </c>
      <c r="C235" s="21" t="s">
        <v>14</v>
      </c>
      <c r="D235" s="21" t="s">
        <v>845</v>
      </c>
      <c r="E235" s="21" t="s">
        <v>33</v>
      </c>
      <c r="F235" s="21" t="s">
        <v>24</v>
      </c>
      <c r="G235" s="24" t="s">
        <v>25</v>
      </c>
      <c r="H235" s="21" t="s">
        <v>875</v>
      </c>
      <c r="I235" s="23">
        <v>-4000</v>
      </c>
      <c r="J235" s="23">
        <v>43105</v>
      </c>
      <c r="K235" s="21" t="s">
        <v>20</v>
      </c>
      <c r="L235" s="21" t="s">
        <v>1189</v>
      </c>
    </row>
    <row r="236" spans="1:12" hidden="1" x14ac:dyDescent="0.25">
      <c r="A236" s="18" t="s">
        <v>1192</v>
      </c>
      <c r="B236" s="18" t="s">
        <v>1193</v>
      </c>
      <c r="C236" s="18" t="s">
        <v>14</v>
      </c>
      <c r="D236" s="18" t="s">
        <v>845</v>
      </c>
      <c r="E236" s="18" t="s">
        <v>23</v>
      </c>
      <c r="F236" s="18" t="s">
        <v>24</v>
      </c>
      <c r="G236" s="19" t="s">
        <v>25</v>
      </c>
      <c r="H236" s="18" t="s">
        <v>322</v>
      </c>
      <c r="I236" s="20">
        <v>-607</v>
      </c>
      <c r="J236" s="20">
        <v>43712</v>
      </c>
      <c r="K236" s="18" t="s">
        <v>20</v>
      </c>
      <c r="L236" s="18" t="s">
        <v>1192</v>
      </c>
    </row>
    <row r="237" spans="1:12" hidden="1" x14ac:dyDescent="0.25">
      <c r="A237" s="21" t="s">
        <v>1194</v>
      </c>
      <c r="B237" s="21" t="s">
        <v>1195</v>
      </c>
      <c r="C237" s="21" t="s">
        <v>14</v>
      </c>
      <c r="D237" s="21" t="s">
        <v>845</v>
      </c>
      <c r="E237" s="21" t="s">
        <v>29</v>
      </c>
      <c r="F237" s="21" t="s">
        <v>24</v>
      </c>
      <c r="G237" s="24" t="s">
        <v>25</v>
      </c>
      <c r="H237" s="21" t="s">
        <v>187</v>
      </c>
      <c r="I237" s="23">
        <v>-552</v>
      </c>
      <c r="J237" s="23">
        <v>44264</v>
      </c>
      <c r="K237" s="21" t="s">
        <v>20</v>
      </c>
      <c r="L237" s="21" t="s">
        <v>1194</v>
      </c>
    </row>
    <row r="238" spans="1:12" hidden="1" x14ac:dyDescent="0.25">
      <c r="A238" s="18" t="s">
        <v>1196</v>
      </c>
      <c r="B238" s="18" t="s">
        <v>1197</v>
      </c>
      <c r="C238" s="18" t="s">
        <v>14</v>
      </c>
      <c r="D238" s="18" t="s">
        <v>845</v>
      </c>
      <c r="E238" s="18" t="s">
        <v>54</v>
      </c>
      <c r="F238" s="18" t="s">
        <v>24</v>
      </c>
      <c r="G238" s="19" t="s">
        <v>25</v>
      </c>
      <c r="H238" s="18" t="s">
        <v>55</v>
      </c>
      <c r="I238" s="20">
        <v>-475</v>
      </c>
      <c r="J238" s="20">
        <v>44739</v>
      </c>
      <c r="K238" s="18" t="s">
        <v>20</v>
      </c>
      <c r="L238" s="18" t="s">
        <v>1196</v>
      </c>
    </row>
    <row r="239" spans="1:12" x14ac:dyDescent="0.25">
      <c r="A239" s="21" t="s">
        <v>1196</v>
      </c>
      <c r="B239" s="21" t="s">
        <v>1198</v>
      </c>
      <c r="C239" s="21" t="s">
        <v>14</v>
      </c>
      <c r="D239" s="21" t="s">
        <v>845</v>
      </c>
      <c r="E239" s="21" t="s">
        <v>16</v>
      </c>
      <c r="F239" s="21" t="s">
        <v>17</v>
      </c>
      <c r="G239" s="22" t="s">
        <v>18</v>
      </c>
      <c r="H239" s="21" t="s">
        <v>848</v>
      </c>
      <c r="I239" s="23">
        <v>27900</v>
      </c>
      <c r="J239" s="23">
        <v>16839</v>
      </c>
      <c r="K239" s="21" t="s">
        <v>20</v>
      </c>
      <c r="L239" s="21" t="s">
        <v>1196</v>
      </c>
    </row>
    <row r="240" spans="1:12" hidden="1" x14ac:dyDescent="0.25">
      <c r="A240" s="18" t="s">
        <v>1199</v>
      </c>
      <c r="B240" s="18" t="s">
        <v>1200</v>
      </c>
      <c r="C240" s="18" t="s">
        <v>14</v>
      </c>
      <c r="D240" s="18" t="s">
        <v>845</v>
      </c>
      <c r="E240" s="18" t="s">
        <v>23</v>
      </c>
      <c r="F240" s="18" t="s">
        <v>24</v>
      </c>
      <c r="G240" s="19" t="s">
        <v>25</v>
      </c>
      <c r="H240" s="18" t="s">
        <v>985</v>
      </c>
      <c r="I240" s="20">
        <v>-551</v>
      </c>
      <c r="J240" s="20">
        <v>17390</v>
      </c>
      <c r="K240" s="18" t="s">
        <v>20</v>
      </c>
      <c r="L240" s="18" t="s">
        <v>1199</v>
      </c>
    </row>
    <row r="241" spans="1:12" hidden="1" x14ac:dyDescent="0.25">
      <c r="A241" s="21" t="s">
        <v>1201</v>
      </c>
      <c r="B241" s="21" t="s">
        <v>1202</v>
      </c>
      <c r="C241" s="21" t="s">
        <v>14</v>
      </c>
      <c r="D241" s="21" t="s">
        <v>845</v>
      </c>
      <c r="E241" s="21" t="s">
        <v>23</v>
      </c>
      <c r="F241" s="21" t="s">
        <v>24</v>
      </c>
      <c r="G241" s="24" t="s">
        <v>25</v>
      </c>
      <c r="H241" s="21" t="s">
        <v>40</v>
      </c>
      <c r="I241" s="23">
        <v>-784</v>
      </c>
      <c r="J241" s="23">
        <v>18174</v>
      </c>
      <c r="K241" s="21" t="s">
        <v>20</v>
      </c>
      <c r="L241" s="21" t="s">
        <v>1201</v>
      </c>
    </row>
    <row r="242" spans="1:12" hidden="1" x14ac:dyDescent="0.25">
      <c r="A242" s="18" t="s">
        <v>1203</v>
      </c>
      <c r="B242" s="18" t="s">
        <v>1204</v>
      </c>
      <c r="C242" s="18" t="s">
        <v>14</v>
      </c>
      <c r="D242" s="18" t="s">
        <v>845</v>
      </c>
      <c r="E242" s="18" t="s">
        <v>23</v>
      </c>
      <c r="F242" s="18" t="s">
        <v>24</v>
      </c>
      <c r="G242" s="19" t="s">
        <v>25</v>
      </c>
      <c r="H242" s="18" t="s">
        <v>322</v>
      </c>
      <c r="I242" s="20">
        <v>-608</v>
      </c>
      <c r="J242" s="20">
        <v>18782</v>
      </c>
      <c r="K242" s="18" t="s">
        <v>20</v>
      </c>
      <c r="L242" s="18" t="s">
        <v>1203</v>
      </c>
    </row>
    <row r="243" spans="1:12" hidden="1" x14ac:dyDescent="0.25">
      <c r="A243" s="21" t="s">
        <v>1205</v>
      </c>
      <c r="B243" s="21" t="s">
        <v>1206</v>
      </c>
      <c r="C243" s="21" t="s">
        <v>14</v>
      </c>
      <c r="D243" s="21" t="s">
        <v>845</v>
      </c>
      <c r="E243" s="21" t="s">
        <v>23</v>
      </c>
      <c r="F243" s="21" t="s">
        <v>24</v>
      </c>
      <c r="G243" s="24" t="s">
        <v>25</v>
      </c>
      <c r="H243" s="21" t="s">
        <v>926</v>
      </c>
      <c r="I243" s="23">
        <v>-551</v>
      </c>
      <c r="J243" s="23">
        <v>19333</v>
      </c>
      <c r="K243" s="21" t="s">
        <v>20</v>
      </c>
      <c r="L243" s="21" t="s">
        <v>1205</v>
      </c>
    </row>
    <row r="244" spans="1:12" hidden="1" x14ac:dyDescent="0.25">
      <c r="A244" s="18" t="s">
        <v>1207</v>
      </c>
      <c r="B244" s="18" t="s">
        <v>1208</v>
      </c>
      <c r="C244" s="18" t="s">
        <v>14</v>
      </c>
      <c r="D244" s="18" t="s">
        <v>845</v>
      </c>
      <c r="E244" s="18" t="s">
        <v>33</v>
      </c>
      <c r="F244" s="18" t="s">
        <v>24</v>
      </c>
      <c r="G244" s="19" t="s">
        <v>25</v>
      </c>
      <c r="H244" s="18" t="s">
        <v>34</v>
      </c>
      <c r="I244" s="20">
        <v>-1126</v>
      </c>
      <c r="J244" s="20">
        <v>20459</v>
      </c>
      <c r="K244" s="18" t="s">
        <v>20</v>
      </c>
      <c r="L244" s="18" t="s">
        <v>1207</v>
      </c>
    </row>
    <row r="245" spans="1:12" hidden="1" x14ac:dyDescent="0.25">
      <c r="A245" s="21" t="s">
        <v>1209</v>
      </c>
      <c r="B245" s="21" t="s">
        <v>1210</v>
      </c>
      <c r="C245" s="21" t="s">
        <v>14</v>
      </c>
      <c r="D245" s="21" t="s">
        <v>845</v>
      </c>
      <c r="E245" s="21" t="s">
        <v>29</v>
      </c>
      <c r="F245" s="21" t="s">
        <v>24</v>
      </c>
      <c r="G245" s="24" t="s">
        <v>25</v>
      </c>
      <c r="H245" s="21" t="s">
        <v>128</v>
      </c>
      <c r="I245" s="23">
        <v>-552</v>
      </c>
      <c r="J245" s="23">
        <v>21011</v>
      </c>
      <c r="K245" s="21" t="s">
        <v>20</v>
      </c>
      <c r="L245" s="21" t="s">
        <v>1209</v>
      </c>
    </row>
    <row r="246" spans="1:12" hidden="1" x14ac:dyDescent="0.25">
      <c r="A246" s="18" t="s">
        <v>1211</v>
      </c>
      <c r="B246" s="18" t="s">
        <v>1212</v>
      </c>
      <c r="C246" s="18" t="s">
        <v>14</v>
      </c>
      <c r="D246" s="18" t="s">
        <v>845</v>
      </c>
      <c r="E246" s="18" t="s">
        <v>23</v>
      </c>
      <c r="F246" s="18" t="s">
        <v>24</v>
      </c>
      <c r="G246" s="19" t="s">
        <v>25</v>
      </c>
      <c r="H246" s="18" t="s">
        <v>37</v>
      </c>
      <c r="I246" s="20">
        <v>-2844</v>
      </c>
      <c r="J246" s="20">
        <v>23855</v>
      </c>
      <c r="K246" s="18" t="s">
        <v>20</v>
      </c>
      <c r="L246" s="18" t="s">
        <v>1211</v>
      </c>
    </row>
    <row r="247" spans="1:12" hidden="1" x14ac:dyDescent="0.25">
      <c r="A247" s="21" t="s">
        <v>1213</v>
      </c>
      <c r="B247" s="21" t="s">
        <v>1214</v>
      </c>
      <c r="C247" s="21" t="s">
        <v>14</v>
      </c>
      <c r="D247" s="21" t="s">
        <v>845</v>
      </c>
      <c r="E247" s="21" t="s">
        <v>33</v>
      </c>
      <c r="F247" s="21" t="s">
        <v>24</v>
      </c>
      <c r="G247" s="24" t="s">
        <v>25</v>
      </c>
      <c r="H247" s="21" t="s">
        <v>48</v>
      </c>
      <c r="I247" s="23">
        <v>-661</v>
      </c>
      <c r="J247" s="23">
        <v>24516</v>
      </c>
      <c r="K247" s="21" t="s">
        <v>20</v>
      </c>
      <c r="L247" s="21" t="s">
        <v>1213</v>
      </c>
    </row>
    <row r="248" spans="1:12" hidden="1" x14ac:dyDescent="0.25">
      <c r="A248" s="18" t="s">
        <v>1215</v>
      </c>
      <c r="B248" s="18" t="s">
        <v>1216</v>
      </c>
      <c r="C248" s="18" t="s">
        <v>14</v>
      </c>
      <c r="D248" s="18" t="s">
        <v>845</v>
      </c>
      <c r="E248" s="18" t="s">
        <v>23</v>
      </c>
      <c r="F248" s="18" t="s">
        <v>24</v>
      </c>
      <c r="G248" s="19" t="s">
        <v>25</v>
      </c>
      <c r="H248" s="18" t="s">
        <v>909</v>
      </c>
      <c r="I248" s="20">
        <v>-607</v>
      </c>
      <c r="J248" s="20">
        <v>25123</v>
      </c>
      <c r="K248" s="18" t="s">
        <v>20</v>
      </c>
      <c r="L248" s="18" t="s">
        <v>1215</v>
      </c>
    </row>
    <row r="249" spans="1:12" hidden="1" x14ac:dyDescent="0.25">
      <c r="A249" s="21" t="s">
        <v>1217</v>
      </c>
      <c r="B249" s="21" t="s">
        <v>1218</v>
      </c>
      <c r="C249" s="21" t="s">
        <v>14</v>
      </c>
      <c r="D249" s="21" t="s">
        <v>845</v>
      </c>
      <c r="E249" s="21" t="s">
        <v>23</v>
      </c>
      <c r="F249" s="21" t="s">
        <v>24</v>
      </c>
      <c r="G249" s="24" t="s">
        <v>25</v>
      </c>
      <c r="H249" s="21" t="s">
        <v>150</v>
      </c>
      <c r="I249" s="23">
        <v>-1070</v>
      </c>
      <c r="J249" s="23">
        <v>26193</v>
      </c>
      <c r="K249" s="21" t="s">
        <v>20</v>
      </c>
      <c r="L249" s="21" t="s">
        <v>1217</v>
      </c>
    </row>
    <row r="250" spans="1:12" hidden="1" x14ac:dyDescent="0.25">
      <c r="A250" s="18" t="s">
        <v>1219</v>
      </c>
      <c r="B250" s="18" t="s">
        <v>1220</v>
      </c>
      <c r="C250" s="18" t="s">
        <v>14</v>
      </c>
      <c r="D250" s="18" t="s">
        <v>845</v>
      </c>
      <c r="E250" s="18" t="s">
        <v>23</v>
      </c>
      <c r="F250" s="18" t="s">
        <v>24</v>
      </c>
      <c r="G250" s="19" t="s">
        <v>25</v>
      </c>
      <c r="H250" s="18" t="s">
        <v>98</v>
      </c>
      <c r="I250" s="20">
        <v>-784</v>
      </c>
      <c r="J250" s="20">
        <v>26977</v>
      </c>
      <c r="K250" s="18" t="s">
        <v>20</v>
      </c>
      <c r="L250" s="18" t="s">
        <v>1219</v>
      </c>
    </row>
    <row r="251" spans="1:12" hidden="1" x14ac:dyDescent="0.25">
      <c r="A251" s="21" t="s">
        <v>1221</v>
      </c>
      <c r="B251" s="21" t="s">
        <v>1222</v>
      </c>
      <c r="C251" s="21" t="s">
        <v>14</v>
      </c>
      <c r="D251" s="21" t="s">
        <v>845</v>
      </c>
      <c r="E251" s="21" t="s">
        <v>23</v>
      </c>
      <c r="F251" s="21" t="s">
        <v>24</v>
      </c>
      <c r="G251" s="24" t="s">
        <v>25</v>
      </c>
      <c r="H251" s="21" t="s">
        <v>98</v>
      </c>
      <c r="I251" s="23">
        <v>-783</v>
      </c>
      <c r="J251" s="23">
        <v>27760</v>
      </c>
      <c r="K251" s="21" t="s">
        <v>20</v>
      </c>
      <c r="L251" s="21" t="s">
        <v>1221</v>
      </c>
    </row>
    <row r="252" spans="1:12" hidden="1" x14ac:dyDescent="0.25">
      <c r="A252" s="18" t="s">
        <v>1223</v>
      </c>
      <c r="B252" s="18" t="s">
        <v>1224</v>
      </c>
      <c r="C252" s="18" t="s">
        <v>14</v>
      </c>
      <c r="D252" s="18" t="s">
        <v>845</v>
      </c>
      <c r="E252" s="18" t="s">
        <v>29</v>
      </c>
      <c r="F252" s="18" t="s">
        <v>24</v>
      </c>
      <c r="G252" s="19" t="s">
        <v>25</v>
      </c>
      <c r="H252" s="18" t="s">
        <v>1019</v>
      </c>
      <c r="I252" s="20">
        <v>-1792</v>
      </c>
      <c r="J252" s="20">
        <v>36776</v>
      </c>
      <c r="K252" s="18" t="s">
        <v>20</v>
      </c>
      <c r="L252" s="18" t="s">
        <v>1223</v>
      </c>
    </row>
    <row r="253" spans="1:12" hidden="1" x14ac:dyDescent="0.25">
      <c r="A253" s="21" t="s">
        <v>1225</v>
      </c>
      <c r="B253" s="21" t="s">
        <v>1226</v>
      </c>
      <c r="C253" s="21" t="s">
        <v>14</v>
      </c>
      <c r="D253" s="21" t="s">
        <v>845</v>
      </c>
      <c r="E253" s="21" t="s">
        <v>29</v>
      </c>
      <c r="F253" s="21" t="s">
        <v>24</v>
      </c>
      <c r="G253" s="24" t="s">
        <v>25</v>
      </c>
      <c r="H253" s="21" t="s">
        <v>187</v>
      </c>
      <c r="I253" s="23">
        <v>-553</v>
      </c>
      <c r="J253" s="23">
        <v>37329</v>
      </c>
      <c r="K253" s="21" t="s">
        <v>20</v>
      </c>
      <c r="L253" s="21" t="s">
        <v>1225</v>
      </c>
    </row>
    <row r="254" spans="1:12" hidden="1" x14ac:dyDescent="0.25">
      <c r="A254" s="18" t="s">
        <v>1227</v>
      </c>
      <c r="B254" s="18" t="s">
        <v>1228</v>
      </c>
      <c r="C254" s="18" t="s">
        <v>14</v>
      </c>
      <c r="D254" s="18" t="s">
        <v>845</v>
      </c>
      <c r="E254" s="18" t="s">
        <v>33</v>
      </c>
      <c r="F254" s="18" t="s">
        <v>24</v>
      </c>
      <c r="G254" s="19" t="s">
        <v>25</v>
      </c>
      <c r="H254" s="18" t="s">
        <v>875</v>
      </c>
      <c r="I254" s="20">
        <v>-4000</v>
      </c>
      <c r="J254" s="20">
        <v>41329</v>
      </c>
      <c r="K254" s="18" t="s">
        <v>20</v>
      </c>
      <c r="L254" s="18" t="s">
        <v>1227</v>
      </c>
    </row>
    <row r="255" spans="1:12" x14ac:dyDescent="0.25">
      <c r="A255" s="21" t="s">
        <v>1229</v>
      </c>
      <c r="B255" s="21" t="s">
        <v>1230</v>
      </c>
      <c r="C255" s="21" t="s">
        <v>14</v>
      </c>
      <c r="D255" s="21" t="s">
        <v>845</v>
      </c>
      <c r="E255" s="21" t="s">
        <v>16</v>
      </c>
      <c r="F255" s="21" t="s">
        <v>17</v>
      </c>
      <c r="G255" s="22" t="s">
        <v>18</v>
      </c>
      <c r="H255" s="21" t="s">
        <v>848</v>
      </c>
      <c r="I255" s="23">
        <v>28500</v>
      </c>
      <c r="J255" s="23">
        <v>12829</v>
      </c>
      <c r="K255" s="21" t="s">
        <v>20</v>
      </c>
      <c r="L255" s="21" t="s">
        <v>1229</v>
      </c>
    </row>
    <row r="256" spans="1:12" hidden="1" x14ac:dyDescent="0.25">
      <c r="A256" s="18" t="s">
        <v>1231</v>
      </c>
      <c r="B256" s="18" t="s">
        <v>1232</v>
      </c>
      <c r="C256" s="18" t="s">
        <v>14</v>
      </c>
      <c r="D256" s="18" t="s">
        <v>845</v>
      </c>
      <c r="E256" s="18" t="s">
        <v>29</v>
      </c>
      <c r="F256" s="18" t="s">
        <v>24</v>
      </c>
      <c r="G256" s="19" t="s">
        <v>25</v>
      </c>
      <c r="H256" s="18" t="s">
        <v>223</v>
      </c>
      <c r="I256" s="20">
        <v>-953</v>
      </c>
      <c r="J256" s="20">
        <v>13782</v>
      </c>
      <c r="K256" s="18" t="s">
        <v>20</v>
      </c>
      <c r="L256" s="18" t="s">
        <v>1231</v>
      </c>
    </row>
    <row r="257" spans="1:12" hidden="1" x14ac:dyDescent="0.25">
      <c r="A257" s="21" t="s">
        <v>1233</v>
      </c>
      <c r="B257" s="21" t="s">
        <v>1234</v>
      </c>
      <c r="C257" s="21" t="s">
        <v>14</v>
      </c>
      <c r="D257" s="21" t="s">
        <v>845</v>
      </c>
      <c r="E257" s="21" t="s">
        <v>29</v>
      </c>
      <c r="F257" s="21" t="s">
        <v>24</v>
      </c>
      <c r="G257" s="24" t="s">
        <v>25</v>
      </c>
      <c r="H257" s="21" t="s">
        <v>223</v>
      </c>
      <c r="I257" s="23">
        <v>-952</v>
      </c>
      <c r="J257" s="23">
        <v>14734</v>
      </c>
      <c r="K257" s="21" t="s">
        <v>20</v>
      </c>
      <c r="L257" s="21" t="s">
        <v>1233</v>
      </c>
    </row>
    <row r="258" spans="1:12" hidden="1" x14ac:dyDescent="0.25">
      <c r="A258" s="18" t="s">
        <v>1235</v>
      </c>
      <c r="B258" s="18" t="s">
        <v>1236</v>
      </c>
      <c r="C258" s="18" t="s">
        <v>14</v>
      </c>
      <c r="D258" s="18" t="s">
        <v>845</v>
      </c>
      <c r="E258" s="18" t="s">
        <v>29</v>
      </c>
      <c r="F258" s="18" t="s">
        <v>24</v>
      </c>
      <c r="G258" s="19" t="s">
        <v>25</v>
      </c>
      <c r="H258" s="18" t="s">
        <v>883</v>
      </c>
      <c r="I258" s="20">
        <v>-2348</v>
      </c>
      <c r="J258" s="20">
        <v>17082</v>
      </c>
      <c r="K258" s="18" t="s">
        <v>20</v>
      </c>
      <c r="L258" s="18" t="s">
        <v>1237</v>
      </c>
    </row>
    <row r="259" spans="1:12" hidden="1" x14ac:dyDescent="0.25">
      <c r="A259" s="21" t="s">
        <v>1238</v>
      </c>
      <c r="B259" s="21" t="s">
        <v>1239</v>
      </c>
      <c r="C259" s="21" t="s">
        <v>14</v>
      </c>
      <c r="D259" s="21" t="s">
        <v>845</v>
      </c>
      <c r="E259" s="21" t="s">
        <v>23</v>
      </c>
      <c r="F259" s="21" t="s">
        <v>24</v>
      </c>
      <c r="G259" s="24" t="s">
        <v>25</v>
      </c>
      <c r="H259" s="21" t="s">
        <v>322</v>
      </c>
      <c r="I259" s="23">
        <v>-988</v>
      </c>
      <c r="J259" s="23">
        <v>18070</v>
      </c>
      <c r="K259" s="21" t="s">
        <v>20</v>
      </c>
      <c r="L259" s="21" t="s">
        <v>1238</v>
      </c>
    </row>
    <row r="260" spans="1:12" hidden="1" x14ac:dyDescent="0.25">
      <c r="A260" s="18" t="s">
        <v>1240</v>
      </c>
      <c r="B260" s="18" t="s">
        <v>1241</v>
      </c>
      <c r="C260" s="18" t="s">
        <v>14</v>
      </c>
      <c r="D260" s="18" t="s">
        <v>845</v>
      </c>
      <c r="E260" s="18" t="s">
        <v>23</v>
      </c>
      <c r="F260" s="18" t="s">
        <v>24</v>
      </c>
      <c r="G260" s="19" t="s">
        <v>25</v>
      </c>
      <c r="H260" s="18" t="s">
        <v>98</v>
      </c>
      <c r="I260" s="20">
        <v>-881</v>
      </c>
      <c r="J260" s="20">
        <v>18951</v>
      </c>
      <c r="K260" s="18" t="s">
        <v>20</v>
      </c>
      <c r="L260" s="18" t="s">
        <v>1240</v>
      </c>
    </row>
    <row r="261" spans="1:12" hidden="1" x14ac:dyDescent="0.25">
      <c r="A261" s="21" t="s">
        <v>1242</v>
      </c>
      <c r="B261" s="21" t="s">
        <v>1243</v>
      </c>
      <c r="C261" s="21" t="s">
        <v>14</v>
      </c>
      <c r="D261" s="21" t="s">
        <v>845</v>
      </c>
      <c r="E261" s="21" t="s">
        <v>23</v>
      </c>
      <c r="F261" s="21" t="s">
        <v>24</v>
      </c>
      <c r="G261" s="24" t="s">
        <v>25</v>
      </c>
      <c r="H261" s="21" t="s">
        <v>120</v>
      </c>
      <c r="I261" s="23">
        <v>-1095</v>
      </c>
      <c r="J261" s="23">
        <v>20046</v>
      </c>
      <c r="K261" s="21" t="s">
        <v>20</v>
      </c>
      <c r="L261" s="21" t="s">
        <v>1242</v>
      </c>
    </row>
    <row r="262" spans="1:12" hidden="1" x14ac:dyDescent="0.25">
      <c r="A262" s="18" t="s">
        <v>1244</v>
      </c>
      <c r="B262" s="18" t="s">
        <v>1245</v>
      </c>
      <c r="C262" s="18" t="s">
        <v>14</v>
      </c>
      <c r="D262" s="18" t="s">
        <v>845</v>
      </c>
      <c r="E262" s="18" t="s">
        <v>33</v>
      </c>
      <c r="F262" s="18" t="s">
        <v>24</v>
      </c>
      <c r="G262" s="19" t="s">
        <v>25</v>
      </c>
      <c r="H262" s="18" t="s">
        <v>190</v>
      </c>
      <c r="I262" s="20">
        <v>-678</v>
      </c>
      <c r="J262" s="20">
        <v>20724</v>
      </c>
      <c r="K262" s="18" t="s">
        <v>20</v>
      </c>
      <c r="L262" s="18" t="s">
        <v>1244</v>
      </c>
    </row>
    <row r="263" spans="1:12" hidden="1" x14ac:dyDescent="0.25">
      <c r="A263" s="21" t="s">
        <v>1246</v>
      </c>
      <c r="B263" s="21" t="s">
        <v>1247</v>
      </c>
      <c r="C263" s="21" t="s">
        <v>14</v>
      </c>
      <c r="D263" s="21" t="s">
        <v>845</v>
      </c>
      <c r="E263" s="21" t="s">
        <v>54</v>
      </c>
      <c r="F263" s="21" t="s">
        <v>24</v>
      </c>
      <c r="G263" s="24" t="s">
        <v>25</v>
      </c>
      <c r="H263" s="21" t="s">
        <v>55</v>
      </c>
      <c r="I263" s="23">
        <v>-434</v>
      </c>
      <c r="J263" s="23">
        <v>21158</v>
      </c>
      <c r="K263" s="21" t="s">
        <v>20</v>
      </c>
      <c r="L263" s="21" t="s">
        <v>1246</v>
      </c>
    </row>
    <row r="264" spans="1:12" hidden="1" x14ac:dyDescent="0.25">
      <c r="A264" s="18" t="s">
        <v>1248</v>
      </c>
      <c r="B264" s="18" t="s">
        <v>1249</v>
      </c>
      <c r="C264" s="18" t="s">
        <v>14</v>
      </c>
      <c r="D264" s="18" t="s">
        <v>845</v>
      </c>
      <c r="E264" s="18" t="s">
        <v>23</v>
      </c>
      <c r="F264" s="18" t="s">
        <v>24</v>
      </c>
      <c r="G264" s="19" t="s">
        <v>25</v>
      </c>
      <c r="H264" s="18" t="s">
        <v>985</v>
      </c>
      <c r="I264" s="20">
        <v>-668</v>
      </c>
      <c r="J264" s="20">
        <v>21826</v>
      </c>
      <c r="K264" s="18" t="s">
        <v>20</v>
      </c>
      <c r="L264" s="18" t="s">
        <v>1248</v>
      </c>
    </row>
    <row r="265" spans="1:12" hidden="1" x14ac:dyDescent="0.25">
      <c r="A265" s="21" t="s">
        <v>1250</v>
      </c>
      <c r="B265" s="21" t="s">
        <v>1251</v>
      </c>
      <c r="C265" s="21" t="s">
        <v>14</v>
      </c>
      <c r="D265" s="21" t="s">
        <v>845</v>
      </c>
      <c r="E265" s="21" t="s">
        <v>33</v>
      </c>
      <c r="F265" s="21" t="s">
        <v>24</v>
      </c>
      <c r="G265" s="24" t="s">
        <v>25</v>
      </c>
      <c r="H265" s="21" t="s">
        <v>115</v>
      </c>
      <c r="I265" s="23">
        <v>-1261</v>
      </c>
      <c r="J265" s="23">
        <v>23087</v>
      </c>
      <c r="K265" s="21" t="s">
        <v>20</v>
      </c>
      <c r="L265" s="21" t="s">
        <v>1250</v>
      </c>
    </row>
    <row r="266" spans="1:12" hidden="1" x14ac:dyDescent="0.25">
      <c r="A266" s="18" t="s">
        <v>1252</v>
      </c>
      <c r="B266" s="18" t="s">
        <v>1253</v>
      </c>
      <c r="C266" s="18" t="s">
        <v>14</v>
      </c>
      <c r="D266" s="18" t="s">
        <v>845</v>
      </c>
      <c r="E266" s="18" t="s">
        <v>23</v>
      </c>
      <c r="F266" s="18" t="s">
        <v>24</v>
      </c>
      <c r="G266" s="19" t="s">
        <v>25</v>
      </c>
      <c r="H266" s="18" t="s">
        <v>112</v>
      </c>
      <c r="I266" s="20">
        <v>-881</v>
      </c>
      <c r="J266" s="20">
        <v>23968</v>
      </c>
      <c r="K266" s="18" t="s">
        <v>20</v>
      </c>
      <c r="L266" s="18" t="s">
        <v>1254</v>
      </c>
    </row>
    <row r="267" spans="1:12" hidden="1" x14ac:dyDescent="0.25">
      <c r="A267" s="21" t="s">
        <v>1255</v>
      </c>
      <c r="B267" s="21" t="s">
        <v>1256</v>
      </c>
      <c r="C267" s="21" t="s">
        <v>14</v>
      </c>
      <c r="D267" s="21" t="s">
        <v>845</v>
      </c>
      <c r="E267" s="21" t="s">
        <v>23</v>
      </c>
      <c r="F267" s="21" t="s">
        <v>24</v>
      </c>
      <c r="G267" s="24" t="s">
        <v>25</v>
      </c>
      <c r="H267" s="21" t="s">
        <v>926</v>
      </c>
      <c r="I267" s="23">
        <v>-668</v>
      </c>
      <c r="J267" s="23">
        <v>24636</v>
      </c>
      <c r="K267" s="21" t="s">
        <v>20</v>
      </c>
      <c r="L267" s="21" t="s">
        <v>1255</v>
      </c>
    </row>
    <row r="268" spans="1:12" hidden="1" x14ac:dyDescent="0.25">
      <c r="A268" s="18" t="s">
        <v>1257</v>
      </c>
      <c r="B268" s="18" t="s">
        <v>1258</v>
      </c>
      <c r="C268" s="18" t="s">
        <v>14</v>
      </c>
      <c r="D268" s="18" t="s">
        <v>845</v>
      </c>
      <c r="E268" s="18" t="s">
        <v>23</v>
      </c>
      <c r="F268" s="18" t="s">
        <v>24</v>
      </c>
      <c r="G268" s="19" t="s">
        <v>25</v>
      </c>
      <c r="H268" s="18" t="s">
        <v>45</v>
      </c>
      <c r="I268" s="20">
        <v>-762</v>
      </c>
      <c r="J268" s="20">
        <v>25398</v>
      </c>
      <c r="K268" s="18" t="s">
        <v>20</v>
      </c>
      <c r="L268" s="18" t="s">
        <v>1257</v>
      </c>
    </row>
    <row r="269" spans="1:12" hidden="1" x14ac:dyDescent="0.25">
      <c r="A269" s="21" t="s">
        <v>1259</v>
      </c>
      <c r="B269" s="21" t="s">
        <v>1260</v>
      </c>
      <c r="C269" s="21" t="s">
        <v>14</v>
      </c>
      <c r="D269" s="21" t="s">
        <v>845</v>
      </c>
      <c r="E269" s="21" t="s">
        <v>23</v>
      </c>
      <c r="F269" s="21" t="s">
        <v>24</v>
      </c>
      <c r="G269" s="24" t="s">
        <v>25</v>
      </c>
      <c r="H269" s="21" t="s">
        <v>98</v>
      </c>
      <c r="I269" s="23">
        <v>-882</v>
      </c>
      <c r="J269" s="23">
        <v>26280</v>
      </c>
      <c r="K269" s="21" t="s">
        <v>20</v>
      </c>
      <c r="L269" s="21" t="s">
        <v>1259</v>
      </c>
    </row>
    <row r="270" spans="1:12" hidden="1" x14ac:dyDescent="0.25">
      <c r="A270" s="18" t="s">
        <v>1261</v>
      </c>
      <c r="B270" s="18" t="s">
        <v>1262</v>
      </c>
      <c r="C270" s="18" t="s">
        <v>14</v>
      </c>
      <c r="D270" s="18" t="s">
        <v>845</v>
      </c>
      <c r="E270" s="18" t="s">
        <v>23</v>
      </c>
      <c r="F270" s="18" t="s">
        <v>24</v>
      </c>
      <c r="G270" s="19" t="s">
        <v>25</v>
      </c>
      <c r="H270" s="18" t="s">
        <v>84</v>
      </c>
      <c r="I270" s="20">
        <v>-761</v>
      </c>
      <c r="J270" s="20">
        <v>27041</v>
      </c>
      <c r="K270" s="18" t="s">
        <v>20</v>
      </c>
      <c r="L270" s="18" t="s">
        <v>1261</v>
      </c>
    </row>
    <row r="271" spans="1:12" hidden="1" x14ac:dyDescent="0.25">
      <c r="A271" s="21" t="s">
        <v>1263</v>
      </c>
      <c r="B271" s="21" t="s">
        <v>1264</v>
      </c>
      <c r="C271" s="21" t="s">
        <v>14</v>
      </c>
      <c r="D271" s="21" t="s">
        <v>845</v>
      </c>
      <c r="E271" s="21" t="s">
        <v>23</v>
      </c>
      <c r="F271" s="21" t="s">
        <v>24</v>
      </c>
      <c r="G271" s="24" t="s">
        <v>25</v>
      </c>
      <c r="H271" s="21" t="s">
        <v>87</v>
      </c>
      <c r="I271" s="23">
        <v>-988</v>
      </c>
      <c r="J271" s="23">
        <v>28029</v>
      </c>
      <c r="K271" s="21" t="s">
        <v>20</v>
      </c>
      <c r="L271" s="21" t="s">
        <v>1263</v>
      </c>
    </row>
    <row r="272" spans="1:12" hidden="1" x14ac:dyDescent="0.25">
      <c r="A272" s="18" t="s">
        <v>1265</v>
      </c>
      <c r="B272" s="18" t="s">
        <v>1266</v>
      </c>
      <c r="C272" s="18" t="s">
        <v>14</v>
      </c>
      <c r="D272" s="18" t="s">
        <v>845</v>
      </c>
      <c r="E272" s="18" t="s">
        <v>33</v>
      </c>
      <c r="F272" s="18" t="s">
        <v>24</v>
      </c>
      <c r="G272" s="19" t="s">
        <v>25</v>
      </c>
      <c r="H272" s="18" t="s">
        <v>875</v>
      </c>
      <c r="I272" s="20">
        <v>-4000</v>
      </c>
      <c r="J272" s="20">
        <v>32029</v>
      </c>
      <c r="K272" s="18" t="s">
        <v>20</v>
      </c>
      <c r="L272" s="18" t="s">
        <v>1265</v>
      </c>
    </row>
    <row r="273" spans="1:12" hidden="1" x14ac:dyDescent="0.25">
      <c r="A273" s="21" t="s">
        <v>1267</v>
      </c>
      <c r="B273" s="21" t="s">
        <v>1268</v>
      </c>
      <c r="C273" s="21" t="s">
        <v>14</v>
      </c>
      <c r="D273" s="21" t="s">
        <v>845</v>
      </c>
      <c r="E273" s="21" t="s">
        <v>29</v>
      </c>
      <c r="F273" s="21" t="s">
        <v>24</v>
      </c>
      <c r="G273" s="24" t="s">
        <v>25</v>
      </c>
      <c r="H273" s="21" t="s">
        <v>76</v>
      </c>
      <c r="I273" s="23">
        <v>-677</v>
      </c>
      <c r="J273" s="23">
        <v>32706</v>
      </c>
      <c r="K273" s="21" t="s">
        <v>20</v>
      </c>
      <c r="L273" s="21" t="s">
        <v>1267</v>
      </c>
    </row>
    <row r="274" spans="1:12" x14ac:dyDescent="0.25">
      <c r="A274" s="18" t="s">
        <v>1269</v>
      </c>
      <c r="B274" s="18" t="s">
        <v>1270</v>
      </c>
      <c r="C274" s="18" t="s">
        <v>14</v>
      </c>
      <c r="D274" s="18" t="s">
        <v>845</v>
      </c>
      <c r="E274" s="18" t="s">
        <v>16</v>
      </c>
      <c r="F274" s="18" t="s">
        <v>17</v>
      </c>
      <c r="G274" s="25" t="s">
        <v>18</v>
      </c>
      <c r="H274" s="18" t="s">
        <v>848</v>
      </c>
      <c r="I274" s="20">
        <v>27800</v>
      </c>
      <c r="J274" s="20">
        <v>4906</v>
      </c>
      <c r="K274" s="18" t="s">
        <v>20</v>
      </c>
      <c r="L274" s="18" t="s">
        <v>1269</v>
      </c>
    </row>
    <row r="275" spans="1:12" hidden="1" x14ac:dyDescent="0.25">
      <c r="A275" s="21" t="s">
        <v>1269</v>
      </c>
      <c r="B275" s="21" t="s">
        <v>1271</v>
      </c>
      <c r="C275" s="21" t="s">
        <v>14</v>
      </c>
      <c r="D275" s="21" t="s">
        <v>845</v>
      </c>
      <c r="E275" s="21" t="s">
        <v>23</v>
      </c>
      <c r="F275" s="21" t="s">
        <v>24</v>
      </c>
      <c r="G275" s="24" t="s">
        <v>25</v>
      </c>
      <c r="H275" s="21" t="s">
        <v>120</v>
      </c>
      <c r="I275" s="23">
        <v>-542</v>
      </c>
      <c r="J275" s="23">
        <v>5448</v>
      </c>
      <c r="K275" s="21" t="s">
        <v>20</v>
      </c>
      <c r="L275" s="21" t="s">
        <v>1269</v>
      </c>
    </row>
    <row r="276" spans="1:12" hidden="1" x14ac:dyDescent="0.25">
      <c r="A276" s="18" t="s">
        <v>1272</v>
      </c>
      <c r="B276" s="18" t="s">
        <v>1273</v>
      </c>
      <c r="C276" s="18" t="s">
        <v>14</v>
      </c>
      <c r="D276" s="18" t="s">
        <v>845</v>
      </c>
      <c r="E276" s="18" t="s">
        <v>23</v>
      </c>
      <c r="F276" s="18" t="s">
        <v>24</v>
      </c>
      <c r="G276" s="19" t="s">
        <v>25</v>
      </c>
      <c r="H276" s="18" t="s">
        <v>145</v>
      </c>
      <c r="I276" s="20">
        <v>-699</v>
      </c>
      <c r="J276" s="20">
        <v>6147</v>
      </c>
      <c r="K276" s="18" t="s">
        <v>20</v>
      </c>
      <c r="L276" s="18" t="s">
        <v>1269</v>
      </c>
    </row>
    <row r="277" spans="1:12" hidden="1" x14ac:dyDescent="0.25">
      <c r="A277" s="21" t="s">
        <v>1274</v>
      </c>
      <c r="B277" s="21" t="s">
        <v>1275</v>
      </c>
      <c r="C277" s="21" t="s">
        <v>14</v>
      </c>
      <c r="D277" s="21" t="s">
        <v>845</v>
      </c>
      <c r="E277" s="21" t="s">
        <v>54</v>
      </c>
      <c r="F277" s="21" t="s">
        <v>24</v>
      </c>
      <c r="G277" s="24" t="s">
        <v>25</v>
      </c>
      <c r="H277" s="21" t="s">
        <v>55</v>
      </c>
      <c r="I277" s="23">
        <v>-498</v>
      </c>
      <c r="J277" s="23">
        <v>6645</v>
      </c>
      <c r="K277" s="21" t="s">
        <v>20</v>
      </c>
      <c r="L277" s="21" t="s">
        <v>1274</v>
      </c>
    </row>
    <row r="278" spans="1:12" hidden="1" x14ac:dyDescent="0.25">
      <c r="A278" s="18" t="s">
        <v>1276</v>
      </c>
      <c r="B278" s="18" t="s">
        <v>1277</v>
      </c>
      <c r="C278" s="18" t="s">
        <v>14</v>
      </c>
      <c r="D278" s="18" t="s">
        <v>845</v>
      </c>
      <c r="E278" s="18" t="s">
        <v>23</v>
      </c>
      <c r="F278" s="18" t="s">
        <v>24</v>
      </c>
      <c r="G278" s="19" t="s">
        <v>25</v>
      </c>
      <c r="H278" s="18" t="s">
        <v>37</v>
      </c>
      <c r="I278" s="20">
        <v>-930</v>
      </c>
      <c r="J278" s="20">
        <v>7575</v>
      </c>
      <c r="K278" s="18" t="s">
        <v>20</v>
      </c>
      <c r="L278" s="18" t="s">
        <v>1276</v>
      </c>
    </row>
    <row r="279" spans="1:12" hidden="1" x14ac:dyDescent="0.25">
      <c r="A279" s="21" t="s">
        <v>1278</v>
      </c>
      <c r="B279" s="21" t="s">
        <v>1279</v>
      </c>
      <c r="C279" s="21" t="s">
        <v>14</v>
      </c>
      <c r="D279" s="21" t="s">
        <v>845</v>
      </c>
      <c r="E279" s="21" t="s">
        <v>29</v>
      </c>
      <c r="F279" s="21" t="s">
        <v>24</v>
      </c>
      <c r="G279" s="24" t="s">
        <v>25</v>
      </c>
      <c r="H279" s="21" t="s">
        <v>883</v>
      </c>
      <c r="I279" s="23">
        <v>-1828</v>
      </c>
      <c r="J279" s="23">
        <v>9403</v>
      </c>
      <c r="K279" s="21" t="s">
        <v>20</v>
      </c>
      <c r="L279" s="21" t="s">
        <v>1278</v>
      </c>
    </row>
    <row r="280" spans="1:12" hidden="1" x14ac:dyDescent="0.25">
      <c r="A280" s="18" t="s">
        <v>1280</v>
      </c>
      <c r="B280" s="18" t="s">
        <v>1281</v>
      </c>
      <c r="C280" s="18" t="s">
        <v>14</v>
      </c>
      <c r="D280" s="18" t="s">
        <v>845</v>
      </c>
      <c r="E280" s="18" t="s">
        <v>23</v>
      </c>
      <c r="F280" s="18" t="s">
        <v>24</v>
      </c>
      <c r="G280" s="19" t="s">
        <v>25</v>
      </c>
      <c r="H280" s="18" t="s">
        <v>166</v>
      </c>
      <c r="I280" s="20">
        <v>-372</v>
      </c>
      <c r="J280" s="20">
        <v>9775</v>
      </c>
      <c r="K280" s="18" t="s">
        <v>20</v>
      </c>
      <c r="L280" s="18" t="s">
        <v>1280</v>
      </c>
    </row>
    <row r="281" spans="1:12" hidden="1" x14ac:dyDescent="0.25">
      <c r="A281" s="21" t="s">
        <v>1282</v>
      </c>
      <c r="B281" s="21" t="s">
        <v>1283</v>
      </c>
      <c r="C281" s="21" t="s">
        <v>14</v>
      </c>
      <c r="D281" s="21" t="s">
        <v>845</v>
      </c>
      <c r="E281" s="21" t="s">
        <v>23</v>
      </c>
      <c r="F281" s="21" t="s">
        <v>24</v>
      </c>
      <c r="G281" s="24" t="s">
        <v>25</v>
      </c>
      <c r="H281" s="21" t="s">
        <v>334</v>
      </c>
      <c r="I281" s="23">
        <v>-372</v>
      </c>
      <c r="J281" s="23">
        <v>10147</v>
      </c>
      <c r="K281" s="21" t="s">
        <v>20</v>
      </c>
      <c r="L281" s="21" t="s">
        <v>1282</v>
      </c>
    </row>
    <row r="282" spans="1:12" hidden="1" x14ac:dyDescent="0.25">
      <c r="A282" s="18" t="s">
        <v>1284</v>
      </c>
      <c r="B282" s="18" t="s">
        <v>1285</v>
      </c>
      <c r="C282" s="18" t="s">
        <v>14</v>
      </c>
      <c r="D282" s="18" t="s">
        <v>845</v>
      </c>
      <c r="E282" s="18" t="s">
        <v>23</v>
      </c>
      <c r="F282" s="18" t="s">
        <v>24</v>
      </c>
      <c r="G282" s="19" t="s">
        <v>25</v>
      </c>
      <c r="H282" s="18" t="s">
        <v>72</v>
      </c>
      <c r="I282" s="20">
        <v>-699</v>
      </c>
      <c r="J282" s="20">
        <v>10846</v>
      </c>
      <c r="K282" s="18" t="s">
        <v>20</v>
      </c>
      <c r="L282" s="18" t="s">
        <v>1284</v>
      </c>
    </row>
    <row r="283" spans="1:12" hidden="1" x14ac:dyDescent="0.25">
      <c r="A283" s="21" t="s">
        <v>1286</v>
      </c>
      <c r="B283" s="21" t="s">
        <v>1287</v>
      </c>
      <c r="C283" s="21" t="s">
        <v>14</v>
      </c>
      <c r="D283" s="21" t="s">
        <v>845</v>
      </c>
      <c r="E283" s="21" t="s">
        <v>23</v>
      </c>
      <c r="F283" s="21" t="s">
        <v>24</v>
      </c>
      <c r="G283" s="24" t="s">
        <v>25</v>
      </c>
      <c r="H283" s="21" t="s">
        <v>120</v>
      </c>
      <c r="I283" s="23">
        <v>-542</v>
      </c>
      <c r="J283" s="23">
        <v>11388</v>
      </c>
      <c r="K283" s="21" t="s">
        <v>20</v>
      </c>
      <c r="L283" s="21" t="s">
        <v>1286</v>
      </c>
    </row>
    <row r="284" spans="1:12" hidden="1" x14ac:dyDescent="0.25">
      <c r="A284" s="18" t="s">
        <v>1288</v>
      </c>
      <c r="B284" s="18" t="s">
        <v>1289</v>
      </c>
      <c r="C284" s="18" t="s">
        <v>14</v>
      </c>
      <c r="D284" s="18" t="s">
        <v>845</v>
      </c>
      <c r="E284" s="18" t="s">
        <v>29</v>
      </c>
      <c r="F284" s="18" t="s">
        <v>24</v>
      </c>
      <c r="G284" s="19" t="s">
        <v>25</v>
      </c>
      <c r="H284" s="18" t="s">
        <v>223</v>
      </c>
      <c r="I284" s="20">
        <v>-677</v>
      </c>
      <c r="J284" s="20">
        <v>12065</v>
      </c>
      <c r="K284" s="18" t="s">
        <v>20</v>
      </c>
      <c r="L284" s="18" t="s">
        <v>1288</v>
      </c>
    </row>
    <row r="285" spans="1:12" hidden="1" x14ac:dyDescent="0.25">
      <c r="A285" s="21" t="s">
        <v>1290</v>
      </c>
      <c r="B285" s="21" t="s">
        <v>1291</v>
      </c>
      <c r="C285" s="21" t="s">
        <v>14</v>
      </c>
      <c r="D285" s="21" t="s">
        <v>845</v>
      </c>
      <c r="E285" s="21" t="s">
        <v>23</v>
      </c>
      <c r="F285" s="21" t="s">
        <v>24</v>
      </c>
      <c r="G285" s="24" t="s">
        <v>25</v>
      </c>
      <c r="H285" s="21" t="s">
        <v>166</v>
      </c>
      <c r="I285" s="23">
        <v>-372</v>
      </c>
      <c r="J285" s="23">
        <v>12437</v>
      </c>
      <c r="K285" s="21" t="s">
        <v>20</v>
      </c>
      <c r="L285" s="21" t="s">
        <v>1290</v>
      </c>
    </row>
    <row r="286" spans="1:12" hidden="1" x14ac:dyDescent="0.25">
      <c r="A286" s="18" t="s">
        <v>1292</v>
      </c>
      <c r="B286" s="18" t="s">
        <v>1293</v>
      </c>
      <c r="C286" s="18" t="s">
        <v>14</v>
      </c>
      <c r="D286" s="18" t="s">
        <v>845</v>
      </c>
      <c r="E286" s="18" t="s">
        <v>23</v>
      </c>
      <c r="F286" s="18" t="s">
        <v>24</v>
      </c>
      <c r="G286" s="19" t="s">
        <v>25</v>
      </c>
      <c r="H286" s="18" t="s">
        <v>125</v>
      </c>
      <c r="I286" s="20">
        <v>-760</v>
      </c>
      <c r="J286" s="20">
        <v>13197</v>
      </c>
      <c r="K286" s="18" t="s">
        <v>20</v>
      </c>
      <c r="L286" s="18" t="s">
        <v>1292</v>
      </c>
    </row>
    <row r="287" spans="1:12" hidden="1" x14ac:dyDescent="0.25">
      <c r="A287" s="21" t="s">
        <v>1294</v>
      </c>
      <c r="B287" s="21" t="s">
        <v>1295</v>
      </c>
      <c r="C287" s="21" t="s">
        <v>14</v>
      </c>
      <c r="D287" s="21" t="s">
        <v>845</v>
      </c>
      <c r="E287" s="21" t="s">
        <v>29</v>
      </c>
      <c r="F287" s="21" t="s">
        <v>24</v>
      </c>
      <c r="G287" s="24" t="s">
        <v>25</v>
      </c>
      <c r="H287" s="21" t="s">
        <v>30</v>
      </c>
      <c r="I287" s="23">
        <v>-677</v>
      </c>
      <c r="J287" s="23">
        <v>13874</v>
      </c>
      <c r="K287" s="21" t="s">
        <v>20</v>
      </c>
      <c r="L287" s="21" t="s">
        <v>1294</v>
      </c>
    </row>
    <row r="288" spans="1:12" hidden="1" x14ac:dyDescent="0.25">
      <c r="A288" s="18" t="s">
        <v>1296</v>
      </c>
      <c r="B288" s="18" t="s">
        <v>1297</v>
      </c>
      <c r="C288" s="18" t="s">
        <v>14</v>
      </c>
      <c r="D288" s="18" t="s">
        <v>845</v>
      </c>
      <c r="E288" s="18" t="s">
        <v>23</v>
      </c>
      <c r="F288" s="18" t="s">
        <v>24</v>
      </c>
      <c r="G288" s="19" t="s">
        <v>25</v>
      </c>
      <c r="H288" s="18" t="s">
        <v>112</v>
      </c>
      <c r="I288" s="20">
        <v>-700</v>
      </c>
      <c r="J288" s="20">
        <v>14574</v>
      </c>
      <c r="K288" s="18" t="s">
        <v>20</v>
      </c>
      <c r="L288" s="18" t="s">
        <v>1296</v>
      </c>
    </row>
    <row r="289" spans="1:12" hidden="1" x14ac:dyDescent="0.25">
      <c r="A289" s="21" t="s">
        <v>1298</v>
      </c>
      <c r="B289" s="21" t="s">
        <v>1299</v>
      </c>
      <c r="C289" s="21" t="s">
        <v>14</v>
      </c>
      <c r="D289" s="21" t="s">
        <v>845</v>
      </c>
      <c r="E289" s="21" t="s">
        <v>33</v>
      </c>
      <c r="F289" s="21" t="s">
        <v>24</v>
      </c>
      <c r="G289" s="24" t="s">
        <v>25</v>
      </c>
      <c r="H289" s="21" t="s">
        <v>67</v>
      </c>
      <c r="I289" s="23">
        <v>-519</v>
      </c>
      <c r="J289" s="23">
        <v>15093</v>
      </c>
      <c r="K289" s="21" t="s">
        <v>20</v>
      </c>
      <c r="L289" s="21" t="s">
        <v>1298</v>
      </c>
    </row>
    <row r="290" spans="1:12" hidden="1" x14ac:dyDescent="0.25">
      <c r="A290" s="18" t="s">
        <v>1300</v>
      </c>
      <c r="B290" s="18" t="s">
        <v>1301</v>
      </c>
      <c r="C290" s="18" t="s">
        <v>14</v>
      </c>
      <c r="D290" s="18" t="s">
        <v>845</v>
      </c>
      <c r="E290" s="18" t="s">
        <v>33</v>
      </c>
      <c r="F290" s="18" t="s">
        <v>24</v>
      </c>
      <c r="G290" s="19" t="s">
        <v>25</v>
      </c>
      <c r="H290" s="18" t="s">
        <v>115</v>
      </c>
      <c r="I290" s="20">
        <v>-1161</v>
      </c>
      <c r="J290" s="20">
        <v>16254</v>
      </c>
      <c r="K290" s="18" t="s">
        <v>20</v>
      </c>
      <c r="L290" s="18" t="s">
        <v>1300</v>
      </c>
    </row>
    <row r="291" spans="1:12" hidden="1" x14ac:dyDescent="0.25">
      <c r="A291" s="21" t="s">
        <v>1302</v>
      </c>
      <c r="B291" s="21" t="s">
        <v>1303</v>
      </c>
      <c r="C291" s="21" t="s">
        <v>14</v>
      </c>
      <c r="D291" s="21" t="s">
        <v>845</v>
      </c>
      <c r="E291" s="21" t="s">
        <v>23</v>
      </c>
      <c r="F291" s="21" t="s">
        <v>24</v>
      </c>
      <c r="G291" s="24" t="s">
        <v>25</v>
      </c>
      <c r="H291" s="21" t="s">
        <v>938</v>
      </c>
      <c r="I291" s="23">
        <v>-665</v>
      </c>
      <c r="J291" s="23">
        <v>16919</v>
      </c>
      <c r="K291" s="21" t="s">
        <v>20</v>
      </c>
      <c r="L291" s="21" t="s">
        <v>1302</v>
      </c>
    </row>
    <row r="292" spans="1:12" hidden="1" x14ac:dyDescent="0.25">
      <c r="A292" s="18" t="s">
        <v>1304</v>
      </c>
      <c r="B292" s="18" t="s">
        <v>1305</v>
      </c>
      <c r="C292" s="18" t="s">
        <v>14</v>
      </c>
      <c r="D292" s="18" t="s">
        <v>845</v>
      </c>
      <c r="E292" s="18" t="s">
        <v>23</v>
      </c>
      <c r="F292" s="18" t="s">
        <v>24</v>
      </c>
      <c r="G292" s="19" t="s">
        <v>25</v>
      </c>
      <c r="H292" s="18" t="s">
        <v>87</v>
      </c>
      <c r="I292" s="20">
        <v>-372</v>
      </c>
      <c r="J292" s="20">
        <v>17291</v>
      </c>
      <c r="K292" s="18" t="s">
        <v>20</v>
      </c>
      <c r="L292" s="18" t="s">
        <v>1304</v>
      </c>
    </row>
    <row r="293" spans="1:12" hidden="1" x14ac:dyDescent="0.25">
      <c r="A293" s="21" t="s">
        <v>1306</v>
      </c>
      <c r="B293" s="21" t="s">
        <v>1307</v>
      </c>
      <c r="C293" s="21" t="s">
        <v>14</v>
      </c>
      <c r="D293" s="21" t="s">
        <v>845</v>
      </c>
      <c r="E293" s="21" t="s">
        <v>23</v>
      </c>
      <c r="F293" s="21" t="s">
        <v>24</v>
      </c>
      <c r="G293" s="24" t="s">
        <v>25</v>
      </c>
      <c r="H293" s="21" t="s">
        <v>938</v>
      </c>
      <c r="I293" s="23">
        <v>-665</v>
      </c>
      <c r="J293" s="23">
        <v>17956</v>
      </c>
      <c r="K293" s="21" t="s">
        <v>20</v>
      </c>
      <c r="L293" s="21" t="s">
        <v>1306</v>
      </c>
    </row>
    <row r="294" spans="1:12" hidden="1" x14ac:dyDescent="0.25">
      <c r="A294" s="18" t="s">
        <v>1308</v>
      </c>
      <c r="B294" s="18" t="s">
        <v>1309</v>
      </c>
      <c r="C294" s="18" t="s">
        <v>14</v>
      </c>
      <c r="D294" s="18" t="s">
        <v>845</v>
      </c>
      <c r="E294" s="18" t="s">
        <v>23</v>
      </c>
      <c r="F294" s="18" t="s">
        <v>24</v>
      </c>
      <c r="G294" s="19" t="s">
        <v>25</v>
      </c>
      <c r="H294" s="18" t="s">
        <v>909</v>
      </c>
      <c r="I294" s="20">
        <v>-373</v>
      </c>
      <c r="J294" s="20">
        <v>18329</v>
      </c>
      <c r="K294" s="18" t="s">
        <v>20</v>
      </c>
      <c r="L294" s="18" t="s">
        <v>1310</v>
      </c>
    </row>
    <row r="295" spans="1:12" hidden="1" x14ac:dyDescent="0.25">
      <c r="A295" s="21" t="s">
        <v>1308</v>
      </c>
      <c r="B295" s="21" t="s">
        <v>1311</v>
      </c>
      <c r="C295" s="21" t="s">
        <v>14</v>
      </c>
      <c r="D295" s="21" t="s">
        <v>845</v>
      </c>
      <c r="E295" s="21" t="s">
        <v>33</v>
      </c>
      <c r="F295" s="21" t="s">
        <v>24</v>
      </c>
      <c r="G295" s="24" t="s">
        <v>25</v>
      </c>
      <c r="H295" s="21" t="s">
        <v>875</v>
      </c>
      <c r="I295" s="23">
        <v>-4000</v>
      </c>
      <c r="J295" s="23">
        <v>22329</v>
      </c>
      <c r="K295" s="21" t="s">
        <v>20</v>
      </c>
      <c r="L295" s="21" t="s">
        <v>1308</v>
      </c>
    </row>
    <row r="296" spans="1:12" hidden="1" x14ac:dyDescent="0.25">
      <c r="A296" s="18" t="s">
        <v>1312</v>
      </c>
      <c r="B296" s="18" t="s">
        <v>1313</v>
      </c>
      <c r="C296" s="18" t="s">
        <v>14</v>
      </c>
      <c r="D296" s="18" t="s">
        <v>845</v>
      </c>
      <c r="E296" s="18" t="s">
        <v>23</v>
      </c>
      <c r="F296" s="18" t="s">
        <v>24</v>
      </c>
      <c r="G296" s="19" t="s">
        <v>25</v>
      </c>
      <c r="H296" s="18" t="s">
        <v>40</v>
      </c>
      <c r="I296" s="20">
        <v>-700</v>
      </c>
      <c r="J296" s="20">
        <v>23029</v>
      </c>
      <c r="K296" s="18" t="s">
        <v>20</v>
      </c>
      <c r="L296" s="18" t="s">
        <v>1312</v>
      </c>
    </row>
  </sheetData>
  <autoFilter ref="A1:L296" xr:uid="{00000000-0001-0000-0400-000000000000}">
    <filterColumn colId="7">
      <filters>
        <filter val="Salary - SABIC / راتب"/>
      </filters>
    </filterColumn>
  </autoFilter>
  <pageMargins left="0.7" right="0.7" top="0.75" bottom="0.75" header="0.3" footer="0.3"/>
  <pageSetup orientation="portrait" r:id="rId1"/>
  <headerFooter differentFirst="1">
    <oddHeader>&amp;LClassification: &amp;"Microsoft Sans Serif,Bold Italic"Confidential</oddHeader>
    <oddFooter>&amp;C_x000D_&amp;1#&amp;"Aptos"&amp;10&amp;K008000 Ejada Public Information</oddFooter>
    <firstHeader>&amp;LClassification: &amp;"Microsoft Sans Serif,Bold Italic"Confidential</firstHeader>
    <firstFooter>&amp;C_x000D_&amp;1#&amp;"Aptos"&amp;10&amp;K008000 Ejada Public Information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4"/>
  <sheetViews>
    <sheetView zoomScale="79" workbookViewId="0">
      <selection activeCell="E9" sqref="E9"/>
    </sheetView>
  </sheetViews>
  <sheetFormatPr defaultRowHeight="15" x14ac:dyDescent="0.25"/>
  <cols>
    <col min="1" max="1" width="23.140625" bestFit="1" customWidth="1"/>
  </cols>
  <sheetData>
    <row r="1" spans="1:2" x14ac:dyDescent="0.25">
      <c r="A1" s="15" t="s">
        <v>392</v>
      </c>
      <c r="B1" s="15" t="s">
        <v>392</v>
      </c>
    </row>
    <row r="2" spans="1:2" x14ac:dyDescent="0.25">
      <c r="A2" s="15" t="s">
        <v>393</v>
      </c>
      <c r="B2" s="15" t="s">
        <v>1314</v>
      </c>
    </row>
    <row r="3" spans="1:2" x14ac:dyDescent="0.25">
      <c r="A3" s="15" t="s">
        <v>395</v>
      </c>
      <c r="B3" s="15" t="s">
        <v>1315</v>
      </c>
    </row>
    <row r="4" spans="1:2" x14ac:dyDescent="0.25">
      <c r="A4" s="15" t="s">
        <v>1316</v>
      </c>
      <c r="B4" s="15" t="s">
        <v>398</v>
      </c>
    </row>
    <row r="5" spans="1:2" x14ac:dyDescent="0.25">
      <c r="A5" s="15" t="s">
        <v>399</v>
      </c>
      <c r="B5" s="15" t="s">
        <v>400</v>
      </c>
    </row>
    <row r="6" spans="1:2" x14ac:dyDescent="0.25">
      <c r="A6" s="15" t="s">
        <v>401</v>
      </c>
      <c r="B6" s="15" t="s">
        <v>1317</v>
      </c>
    </row>
    <row r="7" spans="1:2" x14ac:dyDescent="0.25">
      <c r="A7" s="15" t="s">
        <v>403</v>
      </c>
      <c r="B7" s="15" t="s">
        <v>404</v>
      </c>
    </row>
    <row r="8" spans="1:2" x14ac:dyDescent="0.25">
      <c r="A8" s="15" t="s">
        <v>405</v>
      </c>
      <c r="B8" s="15" t="s">
        <v>1318</v>
      </c>
    </row>
    <row r="9" spans="1:2" x14ac:dyDescent="0.25">
      <c r="A9" s="15" t="s">
        <v>407</v>
      </c>
      <c r="B9" s="15" t="s">
        <v>408</v>
      </c>
    </row>
    <row r="10" spans="1:2" x14ac:dyDescent="0.25">
      <c r="A10" s="15" t="s">
        <v>409</v>
      </c>
      <c r="B10" s="15" t="s">
        <v>1319</v>
      </c>
    </row>
    <row r="11" spans="1:2" x14ac:dyDescent="0.25">
      <c r="A11" s="15" t="s">
        <v>411</v>
      </c>
      <c r="B11" s="15" t="s">
        <v>1320</v>
      </c>
    </row>
    <row r="12" spans="1:2" x14ac:dyDescent="0.25">
      <c r="A12" s="15" t="s">
        <v>413</v>
      </c>
      <c r="B12" s="15" t="s">
        <v>1321</v>
      </c>
    </row>
    <row r="13" spans="1:2" x14ac:dyDescent="0.25">
      <c r="A13" s="15" t="s">
        <v>415</v>
      </c>
      <c r="B13" s="15" t="s">
        <v>1322</v>
      </c>
    </row>
    <row r="14" spans="1:2" x14ac:dyDescent="0.25">
      <c r="A14" s="15" t="s">
        <v>417</v>
      </c>
      <c r="B14" s="15" t="s">
        <v>418</v>
      </c>
    </row>
    <row r="15" spans="1:2" x14ac:dyDescent="0.25">
      <c r="A15" s="15" t="s">
        <v>419</v>
      </c>
      <c r="B15" s="15" t="s">
        <v>420</v>
      </c>
    </row>
    <row r="16" spans="1:2" x14ac:dyDescent="0.25">
      <c r="A16" s="15" t="s">
        <v>420</v>
      </c>
      <c r="B16" s="15" t="s">
        <v>421</v>
      </c>
    </row>
    <row r="17" spans="1:2" x14ac:dyDescent="0.25">
      <c r="A17" s="15" t="s">
        <v>422</v>
      </c>
      <c r="B17" s="15" t="s">
        <v>423</v>
      </c>
    </row>
    <row r="18" spans="1:2" x14ac:dyDescent="0.25">
      <c r="A18" s="15" t="s">
        <v>424</v>
      </c>
      <c r="B18" s="15" t="s">
        <v>425</v>
      </c>
    </row>
    <row r="19" spans="1:2" x14ac:dyDescent="0.25">
      <c r="A19" s="15" t="s">
        <v>426</v>
      </c>
      <c r="B19" s="15" t="s">
        <v>427</v>
      </c>
    </row>
    <row r="20" spans="1:2" x14ac:dyDescent="0.25">
      <c r="A20" s="15" t="s">
        <v>428</v>
      </c>
      <c r="B20" s="15" t="s">
        <v>429</v>
      </c>
    </row>
    <row r="21" spans="1:2" x14ac:dyDescent="0.25">
      <c r="A21" s="15" t="s">
        <v>430</v>
      </c>
      <c r="B21" s="15" t="s">
        <v>431</v>
      </c>
    </row>
    <row r="22" spans="1:2" x14ac:dyDescent="0.25">
      <c r="A22" s="15" t="s">
        <v>432</v>
      </c>
      <c r="B22" s="15" t="s">
        <v>433</v>
      </c>
    </row>
    <row r="23" spans="1:2" x14ac:dyDescent="0.25">
      <c r="A23" s="15" t="s">
        <v>434</v>
      </c>
      <c r="B23" s="15" t="s">
        <v>435</v>
      </c>
    </row>
    <row r="24" spans="1:2" x14ac:dyDescent="0.25">
      <c r="A24" s="15" t="s">
        <v>436</v>
      </c>
      <c r="B24" s="15" t="s">
        <v>437</v>
      </c>
    </row>
    <row r="25" spans="1:2" x14ac:dyDescent="0.25">
      <c r="A25" s="15" t="s">
        <v>438</v>
      </c>
      <c r="B25" s="15" t="s">
        <v>439</v>
      </c>
    </row>
    <row r="26" spans="1:2" x14ac:dyDescent="0.25">
      <c r="A26" s="15" t="s">
        <v>440</v>
      </c>
      <c r="B26" s="15" t="s">
        <v>441</v>
      </c>
    </row>
    <row r="27" spans="1:2" x14ac:dyDescent="0.25">
      <c r="B27" s="15" t="s">
        <v>442</v>
      </c>
    </row>
    <row r="28" spans="1:2" x14ac:dyDescent="0.25">
      <c r="B28" s="15" t="s">
        <v>443</v>
      </c>
    </row>
    <row r="29" spans="1:2" x14ac:dyDescent="0.25">
      <c r="B29" s="15" t="s">
        <v>420</v>
      </c>
    </row>
    <row r="30" spans="1:2" x14ac:dyDescent="0.25">
      <c r="B30" s="15" t="s">
        <v>444</v>
      </c>
    </row>
    <row r="31" spans="1:2" x14ac:dyDescent="0.25">
      <c r="B31" s="15" t="s">
        <v>445</v>
      </c>
    </row>
    <row r="32" spans="1:2" x14ac:dyDescent="0.25">
      <c r="B32" s="15" t="s">
        <v>1323</v>
      </c>
    </row>
    <row r="33" spans="2:2" x14ac:dyDescent="0.25">
      <c r="B33" s="15" t="s">
        <v>1324</v>
      </c>
    </row>
    <row r="34" spans="2:2" x14ac:dyDescent="0.25">
      <c r="B34" s="15" t="s">
        <v>457</v>
      </c>
    </row>
    <row r="35" spans="2:2" x14ac:dyDescent="0.25">
      <c r="B35" s="15" t="s">
        <v>431</v>
      </c>
    </row>
    <row r="36" spans="2:2" x14ac:dyDescent="0.25">
      <c r="B36" s="15" t="s">
        <v>458</v>
      </c>
    </row>
    <row r="37" spans="2:2" x14ac:dyDescent="0.25">
      <c r="B37" s="15" t="s">
        <v>459</v>
      </c>
    </row>
    <row r="38" spans="2:2" x14ac:dyDescent="0.25">
      <c r="B38" s="15" t="s">
        <v>451</v>
      </c>
    </row>
    <row r="39" spans="2:2" x14ac:dyDescent="0.25">
      <c r="B39" s="15" t="s">
        <v>452</v>
      </c>
    </row>
    <row r="40" spans="2:2" x14ac:dyDescent="0.25">
      <c r="B40" s="15" t="s">
        <v>441</v>
      </c>
    </row>
    <row r="41" spans="2:2" x14ac:dyDescent="0.25">
      <c r="B41" s="15" t="s">
        <v>442</v>
      </c>
    </row>
    <row r="42" spans="2:2" x14ac:dyDescent="0.25">
      <c r="B42" s="15" t="s">
        <v>443</v>
      </c>
    </row>
    <row r="43" spans="2:2" x14ac:dyDescent="0.25">
      <c r="B43" s="15" t="s">
        <v>420</v>
      </c>
    </row>
    <row r="44" spans="2:2" x14ac:dyDescent="0.25">
      <c r="B44" s="15" t="s">
        <v>453</v>
      </c>
    </row>
    <row r="45" spans="2:2" x14ac:dyDescent="0.25">
      <c r="B45" s="15" t="s">
        <v>454</v>
      </c>
    </row>
    <row r="46" spans="2:2" x14ac:dyDescent="0.25">
      <c r="B46" s="15" t="s">
        <v>1325</v>
      </c>
    </row>
    <row r="47" spans="2:2" x14ac:dyDescent="0.25">
      <c r="B47" s="15" t="s">
        <v>1326</v>
      </c>
    </row>
    <row r="48" spans="2:2" x14ac:dyDescent="0.25">
      <c r="B48" s="15" t="s">
        <v>1327</v>
      </c>
    </row>
    <row r="49" spans="2:2" x14ac:dyDescent="0.25">
      <c r="B49" s="15" t="s">
        <v>431</v>
      </c>
    </row>
    <row r="50" spans="2:2" x14ac:dyDescent="0.25">
      <c r="B50" s="15" t="s">
        <v>1328</v>
      </c>
    </row>
    <row r="51" spans="2:2" x14ac:dyDescent="0.25">
      <c r="B51" s="15" t="s">
        <v>466</v>
      </c>
    </row>
    <row r="52" spans="2:2" x14ac:dyDescent="0.25">
      <c r="B52" s="15" t="s">
        <v>437</v>
      </c>
    </row>
    <row r="53" spans="2:2" x14ac:dyDescent="0.25">
      <c r="B53" s="15" t="s">
        <v>439</v>
      </c>
    </row>
    <row r="54" spans="2:2" x14ac:dyDescent="0.25">
      <c r="B54" s="15" t="s">
        <v>441</v>
      </c>
    </row>
    <row r="55" spans="2:2" x14ac:dyDescent="0.25">
      <c r="B55" s="15" t="s">
        <v>442</v>
      </c>
    </row>
    <row r="56" spans="2:2" x14ac:dyDescent="0.25">
      <c r="B56" s="15" t="s">
        <v>443</v>
      </c>
    </row>
    <row r="57" spans="2:2" x14ac:dyDescent="0.25">
      <c r="B57" s="15" t="s">
        <v>420</v>
      </c>
    </row>
    <row r="58" spans="2:2" x14ac:dyDescent="0.25">
      <c r="B58" s="15" t="s">
        <v>460</v>
      </c>
    </row>
    <row r="59" spans="2:2" x14ac:dyDescent="0.25">
      <c r="B59" s="15" t="s">
        <v>461</v>
      </c>
    </row>
    <row r="60" spans="2:2" x14ac:dyDescent="0.25">
      <c r="B60" s="15" t="s">
        <v>1329</v>
      </c>
    </row>
    <row r="61" spans="2:2" x14ac:dyDescent="0.25">
      <c r="B61" s="15" t="s">
        <v>1330</v>
      </c>
    </row>
    <row r="62" spans="2:2" x14ac:dyDescent="0.25">
      <c r="B62" s="15" t="s">
        <v>457</v>
      </c>
    </row>
    <row r="63" spans="2:2" x14ac:dyDescent="0.25">
      <c r="B63" s="15" t="s">
        <v>431</v>
      </c>
    </row>
    <row r="64" spans="2:2" x14ac:dyDescent="0.25">
      <c r="B64" s="15" t="s">
        <v>458</v>
      </c>
    </row>
    <row r="65" spans="2:2" x14ac:dyDescent="0.25">
      <c r="B65" s="15" t="s">
        <v>459</v>
      </c>
    </row>
    <row r="66" spans="2:2" x14ac:dyDescent="0.25">
      <c r="B66" s="15" t="s">
        <v>467</v>
      </c>
    </row>
    <row r="67" spans="2:2" x14ac:dyDescent="0.25">
      <c r="B67" s="15" t="s">
        <v>468</v>
      </c>
    </row>
    <row r="68" spans="2:2" x14ac:dyDescent="0.25">
      <c r="B68" s="15" t="s">
        <v>441</v>
      </c>
    </row>
    <row r="69" spans="2:2" x14ac:dyDescent="0.25">
      <c r="B69" s="15" t="s">
        <v>442</v>
      </c>
    </row>
    <row r="70" spans="2:2" x14ac:dyDescent="0.25">
      <c r="B70" s="15" t="s">
        <v>443</v>
      </c>
    </row>
    <row r="71" spans="2:2" x14ac:dyDescent="0.25">
      <c r="B71" s="15" t="s">
        <v>420</v>
      </c>
    </row>
    <row r="72" spans="2:2" x14ac:dyDescent="0.25">
      <c r="B72" s="15" t="s">
        <v>469</v>
      </c>
    </row>
    <row r="73" spans="2:2" x14ac:dyDescent="0.25">
      <c r="B73" s="15" t="s">
        <v>470</v>
      </c>
    </row>
    <row r="74" spans="2:2" x14ac:dyDescent="0.25">
      <c r="B74" s="15" t="s">
        <v>1323</v>
      </c>
    </row>
    <row r="75" spans="2:2" x14ac:dyDescent="0.25">
      <c r="B75" s="15" t="s">
        <v>1324</v>
      </c>
    </row>
    <row r="76" spans="2:2" x14ac:dyDescent="0.25">
      <c r="B76" s="15" t="s">
        <v>457</v>
      </c>
    </row>
    <row r="77" spans="2:2" x14ac:dyDescent="0.25">
      <c r="B77" s="15" t="s">
        <v>431</v>
      </c>
    </row>
    <row r="78" spans="2:2" x14ac:dyDescent="0.25">
      <c r="B78" s="15" t="s">
        <v>458</v>
      </c>
    </row>
    <row r="79" spans="2:2" x14ac:dyDescent="0.25">
      <c r="B79" s="15" t="s">
        <v>459</v>
      </c>
    </row>
    <row r="80" spans="2:2" x14ac:dyDescent="0.25">
      <c r="B80" s="15" t="s">
        <v>437</v>
      </c>
    </row>
    <row r="81" spans="2:2" x14ac:dyDescent="0.25">
      <c r="B81" s="15" t="s">
        <v>439</v>
      </c>
    </row>
    <row r="82" spans="2:2" x14ac:dyDescent="0.25">
      <c r="B82" s="15" t="s">
        <v>441</v>
      </c>
    </row>
    <row r="83" spans="2:2" x14ac:dyDescent="0.25">
      <c r="B83" s="15" t="s">
        <v>442</v>
      </c>
    </row>
    <row r="84" spans="2:2" x14ac:dyDescent="0.25">
      <c r="B84" s="15" t="s">
        <v>443</v>
      </c>
    </row>
    <row r="85" spans="2:2" x14ac:dyDescent="0.25">
      <c r="B85" s="15" t="s">
        <v>420</v>
      </c>
    </row>
    <row r="86" spans="2:2" x14ac:dyDescent="0.25">
      <c r="B86" s="15" t="s">
        <v>473</v>
      </c>
    </row>
    <row r="87" spans="2:2" x14ac:dyDescent="0.25">
      <c r="B87" s="15" t="s">
        <v>474</v>
      </c>
    </row>
    <row r="88" spans="2:2" x14ac:dyDescent="0.25">
      <c r="B88" s="15" t="s">
        <v>1331</v>
      </c>
    </row>
    <row r="89" spans="2:2" x14ac:dyDescent="0.25">
      <c r="B89" s="15" t="s">
        <v>1332</v>
      </c>
    </row>
    <row r="90" spans="2:2" x14ac:dyDescent="0.25">
      <c r="B90" s="15" t="s">
        <v>457</v>
      </c>
    </row>
    <row r="91" spans="2:2" x14ac:dyDescent="0.25">
      <c r="B91" s="15" t="s">
        <v>431</v>
      </c>
    </row>
    <row r="92" spans="2:2" x14ac:dyDescent="0.25">
      <c r="B92" s="15" t="s">
        <v>458</v>
      </c>
    </row>
    <row r="93" spans="2:2" x14ac:dyDescent="0.25">
      <c r="B93" s="15" t="s">
        <v>459</v>
      </c>
    </row>
    <row r="94" spans="2:2" x14ac:dyDescent="0.25">
      <c r="B94" s="15" t="s">
        <v>437</v>
      </c>
    </row>
    <row r="95" spans="2:2" x14ac:dyDescent="0.25">
      <c r="B95" s="15" t="s">
        <v>439</v>
      </c>
    </row>
    <row r="96" spans="2:2" x14ac:dyDescent="0.25">
      <c r="B96" s="15" t="s">
        <v>441</v>
      </c>
    </row>
    <row r="97" spans="2:2" x14ac:dyDescent="0.25">
      <c r="B97" s="15" t="s">
        <v>442</v>
      </c>
    </row>
    <row r="98" spans="2:2" x14ac:dyDescent="0.25">
      <c r="B98" s="15" t="s">
        <v>443</v>
      </c>
    </row>
    <row r="99" spans="2:2" x14ac:dyDescent="0.25">
      <c r="B99" s="15" t="s">
        <v>420</v>
      </c>
    </row>
    <row r="100" spans="2:2" x14ac:dyDescent="0.25">
      <c r="B100" s="15" t="s">
        <v>477</v>
      </c>
    </row>
    <row r="101" spans="2:2" x14ac:dyDescent="0.25">
      <c r="B101" s="15" t="s">
        <v>478</v>
      </c>
    </row>
    <row r="102" spans="2:2" x14ac:dyDescent="0.25">
      <c r="B102" s="15" t="s">
        <v>1333</v>
      </c>
    </row>
    <row r="103" spans="2:2" x14ac:dyDescent="0.25">
      <c r="B103" s="15" t="s">
        <v>1334</v>
      </c>
    </row>
    <row r="104" spans="2:2" x14ac:dyDescent="0.25">
      <c r="B104" s="15" t="s">
        <v>481</v>
      </c>
    </row>
    <row r="105" spans="2:2" x14ac:dyDescent="0.25">
      <c r="B105" s="15" t="s">
        <v>482</v>
      </c>
    </row>
    <row r="106" spans="2:2" x14ac:dyDescent="0.25">
      <c r="B106" s="15" t="s">
        <v>483</v>
      </c>
    </row>
    <row r="107" spans="2:2" x14ac:dyDescent="0.25">
      <c r="B107" s="15" t="s">
        <v>466</v>
      </c>
    </row>
    <row r="108" spans="2:2" x14ac:dyDescent="0.25">
      <c r="B108" s="15" t="s">
        <v>484</v>
      </c>
    </row>
    <row r="109" spans="2:2" x14ac:dyDescent="0.25">
      <c r="B109" s="15" t="s">
        <v>485</v>
      </c>
    </row>
    <row r="110" spans="2:2" x14ac:dyDescent="0.25">
      <c r="B110" s="15" t="s">
        <v>441</v>
      </c>
    </row>
    <row r="111" spans="2:2" x14ac:dyDescent="0.25">
      <c r="B111" s="15" t="s">
        <v>442</v>
      </c>
    </row>
    <row r="112" spans="2:2" x14ac:dyDescent="0.25">
      <c r="B112" s="15" t="s">
        <v>430</v>
      </c>
    </row>
    <row r="113" spans="2:2" x14ac:dyDescent="0.25">
      <c r="B113" s="15" t="s">
        <v>486</v>
      </c>
    </row>
    <row r="114" spans="2:2" x14ac:dyDescent="0.25">
      <c r="B114" s="15" t="s">
        <v>487</v>
      </c>
    </row>
    <row r="115" spans="2:2" x14ac:dyDescent="0.25">
      <c r="B115" s="15" t="s">
        <v>488</v>
      </c>
    </row>
    <row r="116" spans="2:2" x14ac:dyDescent="0.25">
      <c r="B116" s="15" t="s">
        <v>1335</v>
      </c>
    </row>
    <row r="117" spans="2:2" x14ac:dyDescent="0.25">
      <c r="B117" s="15" t="s">
        <v>1336</v>
      </c>
    </row>
    <row r="118" spans="2:2" x14ac:dyDescent="0.25">
      <c r="B118" s="15" t="s">
        <v>1337</v>
      </c>
    </row>
    <row r="119" spans="2:2" x14ac:dyDescent="0.25">
      <c r="B119" s="15" t="s">
        <v>1338</v>
      </c>
    </row>
    <row r="120" spans="2:2" x14ac:dyDescent="0.25">
      <c r="B120" s="15" t="s">
        <v>493</v>
      </c>
    </row>
    <row r="121" spans="2:2" x14ac:dyDescent="0.25">
      <c r="B121" s="15" t="s">
        <v>494</v>
      </c>
    </row>
    <row r="122" spans="2:2" x14ac:dyDescent="0.25">
      <c r="B122" s="15" t="s">
        <v>1339</v>
      </c>
    </row>
    <row r="123" spans="2:2" x14ac:dyDescent="0.25">
      <c r="B123" s="15" t="s">
        <v>1340</v>
      </c>
    </row>
    <row r="124" spans="2:2" x14ac:dyDescent="0.25">
      <c r="B124" s="15" t="s">
        <v>497</v>
      </c>
    </row>
    <row r="125" spans="2:2" x14ac:dyDescent="0.25">
      <c r="B125" s="15" t="s">
        <v>498</v>
      </c>
    </row>
    <row r="126" spans="2:2" x14ac:dyDescent="0.25">
      <c r="B126" s="15" t="s">
        <v>499</v>
      </c>
    </row>
    <row r="127" spans="2:2" x14ac:dyDescent="0.25">
      <c r="B127" s="15" t="s">
        <v>1341</v>
      </c>
    </row>
    <row r="128" spans="2:2" x14ac:dyDescent="0.25">
      <c r="B128" s="15" t="s">
        <v>1342</v>
      </c>
    </row>
    <row r="129" spans="2:2" x14ac:dyDescent="0.25">
      <c r="B129" s="15" t="s">
        <v>502</v>
      </c>
    </row>
    <row r="130" spans="2:2" x14ac:dyDescent="0.25">
      <c r="B130" s="15" t="s">
        <v>498</v>
      </c>
    </row>
    <row r="131" spans="2:2" x14ac:dyDescent="0.25">
      <c r="B131" s="15" t="s">
        <v>503</v>
      </c>
    </row>
    <row r="132" spans="2:2" x14ac:dyDescent="0.25">
      <c r="B132" s="15" t="s">
        <v>1343</v>
      </c>
    </row>
    <row r="133" spans="2:2" x14ac:dyDescent="0.25">
      <c r="B133" s="15" t="s">
        <v>1344</v>
      </c>
    </row>
    <row r="134" spans="2:2" x14ac:dyDescent="0.25">
      <c r="B134" s="15" t="s">
        <v>502</v>
      </c>
    </row>
    <row r="135" spans="2:2" x14ac:dyDescent="0.25">
      <c r="B135" s="15" t="s">
        <v>498</v>
      </c>
    </row>
    <row r="136" spans="2:2" x14ac:dyDescent="0.25">
      <c r="B136" s="15" t="s">
        <v>506</v>
      </c>
    </row>
    <row r="137" spans="2:2" x14ac:dyDescent="0.25">
      <c r="B137" s="15" t="s">
        <v>1345</v>
      </c>
    </row>
    <row r="138" spans="2:2" x14ac:dyDescent="0.25">
      <c r="B138" s="15" t="s">
        <v>1346</v>
      </c>
    </row>
    <row r="139" spans="2:2" x14ac:dyDescent="0.25">
      <c r="B139" s="15" t="s">
        <v>502</v>
      </c>
    </row>
    <row r="140" spans="2:2" x14ac:dyDescent="0.25">
      <c r="B140" s="15" t="s">
        <v>498</v>
      </c>
    </row>
    <row r="141" spans="2:2" x14ac:dyDescent="0.25">
      <c r="B141" s="15" t="s">
        <v>509</v>
      </c>
    </row>
    <row r="142" spans="2:2" x14ac:dyDescent="0.25">
      <c r="B142" s="15" t="s">
        <v>1347</v>
      </c>
    </row>
    <row r="143" spans="2:2" x14ac:dyDescent="0.25">
      <c r="B143" s="15" t="s">
        <v>1348</v>
      </c>
    </row>
    <row r="144" spans="2:2" x14ac:dyDescent="0.25">
      <c r="B144" s="15" t="s">
        <v>512</v>
      </c>
    </row>
    <row r="145" spans="2:2" x14ac:dyDescent="0.25">
      <c r="B145" s="15" t="s">
        <v>513</v>
      </c>
    </row>
    <row r="146" spans="2:2" x14ac:dyDescent="0.25">
      <c r="B146" s="15" t="s">
        <v>1349</v>
      </c>
    </row>
    <row r="147" spans="2:2" x14ac:dyDescent="0.25">
      <c r="B147" s="15" t="s">
        <v>1350</v>
      </c>
    </row>
    <row r="148" spans="2:2" x14ac:dyDescent="0.25">
      <c r="B148" s="15" t="s">
        <v>1351</v>
      </c>
    </row>
    <row r="149" spans="2:2" x14ac:dyDescent="0.25">
      <c r="B149" s="15" t="s">
        <v>1352</v>
      </c>
    </row>
    <row r="150" spans="2:2" x14ac:dyDescent="0.25">
      <c r="B150" s="15" t="s">
        <v>747</v>
      </c>
    </row>
    <row r="151" spans="2:2" x14ac:dyDescent="0.25">
      <c r="B151" s="15" t="s">
        <v>1353</v>
      </c>
    </row>
    <row r="152" spans="2:2" x14ac:dyDescent="0.25">
      <c r="B152" s="15" t="s">
        <v>1354</v>
      </c>
    </row>
    <row r="153" spans="2:2" x14ac:dyDescent="0.25">
      <c r="B153" s="15" t="s">
        <v>1355</v>
      </c>
    </row>
    <row r="154" spans="2:2" x14ac:dyDescent="0.25">
      <c r="B154" s="15" t="s">
        <v>1356</v>
      </c>
    </row>
    <row r="155" spans="2:2" x14ac:dyDescent="0.25">
      <c r="B155" s="15" t="s">
        <v>1357</v>
      </c>
    </row>
    <row r="156" spans="2:2" x14ac:dyDescent="0.25">
      <c r="B156" s="15" t="s">
        <v>1358</v>
      </c>
    </row>
    <row r="157" spans="2:2" x14ac:dyDescent="0.25">
      <c r="B157" s="15" t="s">
        <v>525</v>
      </c>
    </row>
    <row r="158" spans="2:2" x14ac:dyDescent="0.25">
      <c r="B158" s="15" t="s">
        <v>1359</v>
      </c>
    </row>
    <row r="159" spans="2:2" x14ac:dyDescent="0.25">
      <c r="B159" s="15" t="s">
        <v>1360</v>
      </c>
    </row>
    <row r="160" spans="2:2" x14ac:dyDescent="0.25">
      <c r="B160" s="15" t="s">
        <v>528</v>
      </c>
    </row>
    <row r="161" spans="2:2" x14ac:dyDescent="0.25">
      <c r="B161" s="15" t="s">
        <v>1361</v>
      </c>
    </row>
    <row r="162" spans="2:2" x14ac:dyDescent="0.25">
      <c r="B162" s="15" t="s">
        <v>1362</v>
      </c>
    </row>
    <row r="163" spans="2:2" x14ac:dyDescent="0.25">
      <c r="B163" s="15" t="s">
        <v>531</v>
      </c>
    </row>
    <row r="164" spans="2:2" x14ac:dyDescent="0.25">
      <c r="B164" s="15" t="s">
        <v>532</v>
      </c>
    </row>
    <row r="165" spans="2:2" x14ac:dyDescent="0.25">
      <c r="B165" s="15" t="s">
        <v>1363</v>
      </c>
    </row>
    <row r="166" spans="2:2" x14ac:dyDescent="0.25">
      <c r="B166" s="15" t="s">
        <v>1364</v>
      </c>
    </row>
    <row r="167" spans="2:2" x14ac:dyDescent="0.25">
      <c r="B167" s="15" t="s">
        <v>1365</v>
      </c>
    </row>
    <row r="168" spans="2:2" x14ac:dyDescent="0.25">
      <c r="B168" s="15" t="s">
        <v>1366</v>
      </c>
    </row>
    <row r="169" spans="2:2" x14ac:dyDescent="0.25">
      <c r="B169" s="15" t="s">
        <v>1367</v>
      </c>
    </row>
    <row r="170" spans="2:2" x14ac:dyDescent="0.25">
      <c r="B170" s="15" t="s">
        <v>1368</v>
      </c>
    </row>
    <row r="171" spans="2:2" x14ac:dyDescent="0.25">
      <c r="B171" s="15" t="s">
        <v>539</v>
      </c>
    </row>
    <row r="172" spans="2:2" x14ac:dyDescent="0.25">
      <c r="B172" s="15" t="s">
        <v>540</v>
      </c>
    </row>
    <row r="173" spans="2:2" x14ac:dyDescent="0.25">
      <c r="B173" s="15" t="s">
        <v>1369</v>
      </c>
    </row>
    <row r="174" spans="2:2" x14ac:dyDescent="0.25">
      <c r="B174" s="15" t="s">
        <v>1370</v>
      </c>
    </row>
    <row r="175" spans="2:2" x14ac:dyDescent="0.25">
      <c r="B175" s="15" t="s">
        <v>1371</v>
      </c>
    </row>
    <row r="176" spans="2:2" x14ac:dyDescent="0.25">
      <c r="B176" s="15" t="s">
        <v>1372</v>
      </c>
    </row>
    <row r="177" spans="2:2" x14ac:dyDescent="0.25">
      <c r="B177" s="15" t="s">
        <v>545</v>
      </c>
    </row>
    <row r="178" spans="2:2" x14ac:dyDescent="0.25">
      <c r="B178" s="15" t="s">
        <v>1373</v>
      </c>
    </row>
    <row r="179" spans="2:2" x14ac:dyDescent="0.25">
      <c r="B179" s="15" t="s">
        <v>547</v>
      </c>
    </row>
    <row r="180" spans="2:2" x14ac:dyDescent="0.25">
      <c r="B180" s="15" t="s">
        <v>498</v>
      </c>
    </row>
    <row r="181" spans="2:2" x14ac:dyDescent="0.25">
      <c r="B181" s="15" t="s">
        <v>548</v>
      </c>
    </row>
    <row r="182" spans="2:2" x14ac:dyDescent="0.25">
      <c r="B182" s="15" t="s">
        <v>1374</v>
      </c>
    </row>
    <row r="183" spans="2:2" x14ac:dyDescent="0.25">
      <c r="B183" s="15" t="s">
        <v>1375</v>
      </c>
    </row>
    <row r="184" spans="2:2" x14ac:dyDescent="0.25">
      <c r="B184" s="15" t="s">
        <v>1376</v>
      </c>
    </row>
    <row r="185" spans="2:2" x14ac:dyDescent="0.25">
      <c r="B185" s="15" t="s">
        <v>1377</v>
      </c>
    </row>
    <row r="186" spans="2:2" x14ac:dyDescent="0.25">
      <c r="B186" s="15" t="s">
        <v>553</v>
      </c>
    </row>
    <row r="187" spans="2:2" x14ac:dyDescent="0.25">
      <c r="B187" s="15" t="s">
        <v>554</v>
      </c>
    </row>
    <row r="188" spans="2:2" x14ac:dyDescent="0.25">
      <c r="B188" s="15" t="s">
        <v>502</v>
      </c>
    </row>
    <row r="189" spans="2:2" x14ac:dyDescent="0.25">
      <c r="B189" s="15" t="s">
        <v>498</v>
      </c>
    </row>
    <row r="190" spans="2:2" x14ac:dyDescent="0.25">
      <c r="B190" s="15" t="s">
        <v>555</v>
      </c>
    </row>
    <row r="191" spans="2:2" x14ac:dyDescent="0.25">
      <c r="B191" s="15" t="s">
        <v>1378</v>
      </c>
    </row>
    <row r="192" spans="2:2" x14ac:dyDescent="0.25">
      <c r="B192" s="15" t="s">
        <v>1379</v>
      </c>
    </row>
    <row r="193" spans="2:2" x14ac:dyDescent="0.25">
      <c r="B193" s="15" t="s">
        <v>1376</v>
      </c>
    </row>
    <row r="194" spans="2:2" x14ac:dyDescent="0.25">
      <c r="B194" s="15" t="s">
        <v>1380</v>
      </c>
    </row>
    <row r="195" spans="2:2" x14ac:dyDescent="0.25">
      <c r="B195" s="15" t="s">
        <v>553</v>
      </c>
    </row>
    <row r="196" spans="2:2" x14ac:dyDescent="0.25">
      <c r="B196" s="15" t="s">
        <v>554</v>
      </c>
    </row>
    <row r="197" spans="2:2" x14ac:dyDescent="0.25">
      <c r="B197" s="15" t="s">
        <v>502</v>
      </c>
    </row>
    <row r="198" spans="2:2" x14ac:dyDescent="0.25">
      <c r="B198" s="15" t="s">
        <v>498</v>
      </c>
    </row>
    <row r="199" spans="2:2" x14ac:dyDescent="0.25">
      <c r="B199" s="15" t="s">
        <v>559</v>
      </c>
    </row>
    <row r="200" spans="2:2" x14ac:dyDescent="0.25">
      <c r="B200" s="15" t="s">
        <v>1381</v>
      </c>
    </row>
    <row r="201" spans="2:2" x14ac:dyDescent="0.25">
      <c r="B201" s="15" t="s">
        <v>1382</v>
      </c>
    </row>
    <row r="202" spans="2:2" x14ac:dyDescent="0.25">
      <c r="B202" s="15" t="s">
        <v>1376</v>
      </c>
    </row>
    <row r="203" spans="2:2" x14ac:dyDescent="0.25">
      <c r="B203" s="15" t="s">
        <v>1377</v>
      </c>
    </row>
    <row r="204" spans="2:2" x14ac:dyDescent="0.25">
      <c r="B204" s="15" t="s">
        <v>553</v>
      </c>
    </row>
    <row r="205" spans="2:2" x14ac:dyDescent="0.25">
      <c r="B205" s="15" t="s">
        <v>554</v>
      </c>
    </row>
    <row r="206" spans="2:2" x14ac:dyDescent="0.25">
      <c r="B206" s="15" t="s">
        <v>502</v>
      </c>
    </row>
    <row r="207" spans="2:2" x14ac:dyDescent="0.25">
      <c r="B207" s="15" t="s">
        <v>498</v>
      </c>
    </row>
    <row r="208" spans="2:2" x14ac:dyDescent="0.25">
      <c r="B208" s="15" t="s">
        <v>563</v>
      </c>
    </row>
    <row r="209" spans="2:2" x14ac:dyDescent="0.25">
      <c r="B209" s="15" t="s">
        <v>1383</v>
      </c>
    </row>
    <row r="210" spans="2:2" x14ac:dyDescent="0.25">
      <c r="B210" s="15" t="s">
        <v>1384</v>
      </c>
    </row>
    <row r="211" spans="2:2" x14ac:dyDescent="0.25">
      <c r="B211" s="15" t="s">
        <v>1376</v>
      </c>
    </row>
    <row r="212" spans="2:2" x14ac:dyDescent="0.25">
      <c r="B212" s="15" t="s">
        <v>1385</v>
      </c>
    </row>
    <row r="213" spans="2:2" x14ac:dyDescent="0.25">
      <c r="B213" s="15" t="s">
        <v>553</v>
      </c>
    </row>
    <row r="214" spans="2:2" x14ac:dyDescent="0.25">
      <c r="B214" s="15" t="s">
        <v>554</v>
      </c>
    </row>
    <row r="215" spans="2:2" x14ac:dyDescent="0.25">
      <c r="B215" s="15" t="s">
        <v>502</v>
      </c>
    </row>
    <row r="216" spans="2:2" x14ac:dyDescent="0.25">
      <c r="B216" s="15" t="s">
        <v>498</v>
      </c>
    </row>
    <row r="217" spans="2:2" x14ac:dyDescent="0.25">
      <c r="B217" s="15" t="s">
        <v>565</v>
      </c>
    </row>
    <row r="218" spans="2:2" x14ac:dyDescent="0.25">
      <c r="B218" s="15" t="s">
        <v>1386</v>
      </c>
    </row>
    <row r="219" spans="2:2" x14ac:dyDescent="0.25">
      <c r="B219" s="15" t="s">
        <v>1387</v>
      </c>
    </row>
    <row r="220" spans="2:2" x14ac:dyDescent="0.25">
      <c r="B220" s="15" t="s">
        <v>1376</v>
      </c>
    </row>
    <row r="221" spans="2:2" x14ac:dyDescent="0.25">
      <c r="B221" s="15" t="s">
        <v>1388</v>
      </c>
    </row>
    <row r="222" spans="2:2" x14ac:dyDescent="0.25">
      <c r="B222" s="15" t="s">
        <v>553</v>
      </c>
    </row>
    <row r="223" spans="2:2" x14ac:dyDescent="0.25">
      <c r="B223" s="15" t="s">
        <v>554</v>
      </c>
    </row>
    <row r="224" spans="2:2" x14ac:dyDescent="0.25">
      <c r="B224" s="15" t="s">
        <v>502</v>
      </c>
    </row>
    <row r="225" spans="2:2" x14ac:dyDescent="0.25">
      <c r="B225" s="15" t="s">
        <v>498</v>
      </c>
    </row>
    <row r="226" spans="2:2" x14ac:dyDescent="0.25">
      <c r="B226" s="15" t="s">
        <v>568</v>
      </c>
    </row>
    <row r="227" spans="2:2" x14ac:dyDescent="0.25">
      <c r="B227" s="15" t="s">
        <v>1378</v>
      </c>
    </row>
    <row r="228" spans="2:2" x14ac:dyDescent="0.25">
      <c r="B228" s="15" t="s">
        <v>1379</v>
      </c>
    </row>
    <row r="229" spans="2:2" x14ac:dyDescent="0.25">
      <c r="B229" s="15" t="s">
        <v>1376</v>
      </c>
    </row>
    <row r="230" spans="2:2" x14ac:dyDescent="0.25">
      <c r="B230" s="15" t="s">
        <v>1380</v>
      </c>
    </row>
    <row r="231" spans="2:2" x14ac:dyDescent="0.25">
      <c r="B231" s="15" t="s">
        <v>553</v>
      </c>
    </row>
    <row r="232" spans="2:2" x14ac:dyDescent="0.25">
      <c r="B232" s="15" t="s">
        <v>554</v>
      </c>
    </row>
    <row r="233" spans="2:2" x14ac:dyDescent="0.25">
      <c r="B233" s="15" t="s">
        <v>502</v>
      </c>
    </row>
    <row r="234" spans="2:2" x14ac:dyDescent="0.25">
      <c r="B234" s="15" t="s">
        <v>498</v>
      </c>
    </row>
    <row r="235" spans="2:2" x14ac:dyDescent="0.25">
      <c r="B235" s="15" t="s">
        <v>571</v>
      </c>
    </row>
    <row r="236" spans="2:2" x14ac:dyDescent="0.25">
      <c r="B236" s="15" t="s">
        <v>1374</v>
      </c>
    </row>
    <row r="237" spans="2:2" x14ac:dyDescent="0.25">
      <c r="B237" s="15" t="s">
        <v>1375</v>
      </c>
    </row>
    <row r="238" spans="2:2" x14ac:dyDescent="0.25">
      <c r="B238" s="15" t="s">
        <v>1376</v>
      </c>
    </row>
    <row r="239" spans="2:2" x14ac:dyDescent="0.25">
      <c r="B239" s="15" t="s">
        <v>1377</v>
      </c>
    </row>
    <row r="240" spans="2:2" x14ac:dyDescent="0.25">
      <c r="B240" s="15" t="s">
        <v>553</v>
      </c>
    </row>
    <row r="241" spans="2:2" x14ac:dyDescent="0.25">
      <c r="B241" s="15" t="s">
        <v>554</v>
      </c>
    </row>
    <row r="242" spans="2:2" x14ac:dyDescent="0.25">
      <c r="B242" s="15" t="s">
        <v>502</v>
      </c>
    </row>
    <row r="243" spans="2:2" x14ac:dyDescent="0.25">
      <c r="B243" s="15" t="s">
        <v>498</v>
      </c>
    </row>
    <row r="244" spans="2:2" x14ac:dyDescent="0.25">
      <c r="B244" s="15" t="s">
        <v>572</v>
      </c>
    </row>
    <row r="245" spans="2:2" x14ac:dyDescent="0.25">
      <c r="B245" s="15" t="s">
        <v>1389</v>
      </c>
    </row>
    <row r="246" spans="2:2" x14ac:dyDescent="0.25">
      <c r="B246" s="15" t="s">
        <v>1390</v>
      </c>
    </row>
    <row r="247" spans="2:2" x14ac:dyDescent="0.25">
      <c r="B247" s="15" t="s">
        <v>1376</v>
      </c>
    </row>
    <row r="248" spans="2:2" x14ac:dyDescent="0.25">
      <c r="B248" s="15" t="s">
        <v>1391</v>
      </c>
    </row>
    <row r="249" spans="2:2" x14ac:dyDescent="0.25">
      <c r="B249" s="15" t="s">
        <v>553</v>
      </c>
    </row>
    <row r="250" spans="2:2" x14ac:dyDescent="0.25">
      <c r="B250" s="15" t="s">
        <v>554</v>
      </c>
    </row>
    <row r="251" spans="2:2" x14ac:dyDescent="0.25">
      <c r="B251" s="15" t="s">
        <v>502</v>
      </c>
    </row>
    <row r="252" spans="2:2" x14ac:dyDescent="0.25">
      <c r="B252" s="15" t="s">
        <v>498</v>
      </c>
    </row>
    <row r="253" spans="2:2" x14ac:dyDescent="0.25">
      <c r="B253" s="15" t="s">
        <v>575</v>
      </c>
    </row>
    <row r="254" spans="2:2" x14ac:dyDescent="0.25">
      <c r="B254" s="15" t="s">
        <v>1378</v>
      </c>
    </row>
    <row r="255" spans="2:2" x14ac:dyDescent="0.25">
      <c r="B255" s="15" t="s">
        <v>1382</v>
      </c>
    </row>
    <row r="256" spans="2:2" x14ac:dyDescent="0.25">
      <c r="B256" s="15" t="s">
        <v>1376</v>
      </c>
    </row>
    <row r="257" spans="2:2" x14ac:dyDescent="0.25">
      <c r="B257" s="15" t="s">
        <v>1385</v>
      </c>
    </row>
    <row r="258" spans="2:2" x14ac:dyDescent="0.25">
      <c r="B258" s="15" t="s">
        <v>553</v>
      </c>
    </row>
    <row r="259" spans="2:2" x14ac:dyDescent="0.25">
      <c r="B259" s="15" t="s">
        <v>554</v>
      </c>
    </row>
    <row r="260" spans="2:2" x14ac:dyDescent="0.25">
      <c r="B260" s="15" t="s">
        <v>502</v>
      </c>
    </row>
    <row r="261" spans="2:2" x14ac:dyDescent="0.25">
      <c r="B261" s="15" t="s">
        <v>498</v>
      </c>
    </row>
    <row r="262" spans="2:2" x14ac:dyDescent="0.25">
      <c r="B262" s="15" t="s">
        <v>578</v>
      </c>
    </row>
    <row r="263" spans="2:2" x14ac:dyDescent="0.25">
      <c r="B263" s="15" t="s">
        <v>1392</v>
      </c>
    </row>
    <row r="264" spans="2:2" x14ac:dyDescent="0.25">
      <c r="B264" s="15" t="s">
        <v>1384</v>
      </c>
    </row>
    <row r="265" spans="2:2" x14ac:dyDescent="0.25">
      <c r="B265" s="15" t="s">
        <v>1376</v>
      </c>
    </row>
    <row r="266" spans="2:2" x14ac:dyDescent="0.25">
      <c r="B266" s="15" t="s">
        <v>1393</v>
      </c>
    </row>
    <row r="267" spans="2:2" x14ac:dyDescent="0.25">
      <c r="B267" s="15" t="s">
        <v>553</v>
      </c>
    </row>
    <row r="268" spans="2:2" x14ac:dyDescent="0.25">
      <c r="B268" s="15" t="s">
        <v>554</v>
      </c>
    </row>
    <row r="269" spans="2:2" x14ac:dyDescent="0.25">
      <c r="B269" s="15" t="s">
        <v>502</v>
      </c>
    </row>
    <row r="270" spans="2:2" x14ac:dyDescent="0.25">
      <c r="B270" s="15" t="s">
        <v>498</v>
      </c>
    </row>
    <row r="271" spans="2:2" x14ac:dyDescent="0.25">
      <c r="B271" s="15" t="s">
        <v>579</v>
      </c>
    </row>
    <row r="272" spans="2:2" x14ac:dyDescent="0.25">
      <c r="B272" s="15" t="s">
        <v>1394</v>
      </c>
    </row>
    <row r="273" spans="2:2" x14ac:dyDescent="0.25">
      <c r="B273" s="15" t="s">
        <v>1395</v>
      </c>
    </row>
    <row r="274" spans="2:2" x14ac:dyDescent="0.25">
      <c r="B274" s="15" t="s">
        <v>1376</v>
      </c>
    </row>
    <row r="275" spans="2:2" x14ac:dyDescent="0.25">
      <c r="B275" s="15" t="s">
        <v>1396</v>
      </c>
    </row>
    <row r="276" spans="2:2" x14ac:dyDescent="0.25">
      <c r="B276" s="15" t="s">
        <v>553</v>
      </c>
    </row>
    <row r="277" spans="2:2" x14ac:dyDescent="0.25">
      <c r="B277" s="15" t="s">
        <v>554</v>
      </c>
    </row>
    <row r="278" spans="2:2" x14ac:dyDescent="0.25">
      <c r="B278" s="15" t="s">
        <v>502</v>
      </c>
    </row>
    <row r="279" spans="2:2" x14ac:dyDescent="0.25">
      <c r="B279" s="15" t="s">
        <v>498</v>
      </c>
    </row>
    <row r="280" spans="2:2" x14ac:dyDescent="0.25">
      <c r="B280" s="15" t="s">
        <v>581</v>
      </c>
    </row>
    <row r="281" spans="2:2" x14ac:dyDescent="0.25">
      <c r="B281" s="15" t="s">
        <v>1381</v>
      </c>
    </row>
    <row r="282" spans="2:2" x14ac:dyDescent="0.25">
      <c r="B282" s="15" t="s">
        <v>1397</v>
      </c>
    </row>
    <row r="283" spans="2:2" x14ac:dyDescent="0.25">
      <c r="B283" s="15" t="s">
        <v>1376</v>
      </c>
    </row>
    <row r="284" spans="2:2" x14ac:dyDescent="0.25">
      <c r="B284" s="15" t="s">
        <v>1396</v>
      </c>
    </row>
    <row r="285" spans="2:2" x14ac:dyDescent="0.25">
      <c r="B285" s="15" t="s">
        <v>553</v>
      </c>
    </row>
    <row r="286" spans="2:2" x14ac:dyDescent="0.25">
      <c r="B286" s="15" t="s">
        <v>554</v>
      </c>
    </row>
    <row r="287" spans="2:2" x14ac:dyDescent="0.25">
      <c r="B287" s="15" t="s">
        <v>502</v>
      </c>
    </row>
    <row r="288" spans="2:2" x14ac:dyDescent="0.25">
      <c r="B288" s="15" t="s">
        <v>498</v>
      </c>
    </row>
    <row r="289" spans="2:2" x14ac:dyDescent="0.25">
      <c r="B289" s="15" t="s">
        <v>1398</v>
      </c>
    </row>
    <row r="290" spans="2:2" x14ac:dyDescent="0.25">
      <c r="B290" s="15" t="s">
        <v>1383</v>
      </c>
    </row>
    <row r="291" spans="2:2" x14ac:dyDescent="0.25">
      <c r="B291" s="15" t="s">
        <v>1375</v>
      </c>
    </row>
    <row r="292" spans="2:2" x14ac:dyDescent="0.25">
      <c r="B292" s="15" t="s">
        <v>1376</v>
      </c>
    </row>
    <row r="293" spans="2:2" x14ac:dyDescent="0.25">
      <c r="B293" s="15" t="s">
        <v>1399</v>
      </c>
    </row>
    <row r="294" spans="2:2" x14ac:dyDescent="0.25">
      <c r="B294" s="15" t="s">
        <v>553</v>
      </c>
    </row>
    <row r="295" spans="2:2" x14ac:dyDescent="0.25">
      <c r="B295" s="15" t="s">
        <v>554</v>
      </c>
    </row>
    <row r="296" spans="2:2" x14ac:dyDescent="0.25">
      <c r="B296" s="15" t="s">
        <v>502</v>
      </c>
    </row>
    <row r="297" spans="2:2" x14ac:dyDescent="0.25">
      <c r="B297" s="15" t="s">
        <v>498</v>
      </c>
    </row>
    <row r="298" spans="2:2" x14ac:dyDescent="0.25">
      <c r="B298" s="15" t="s">
        <v>1400</v>
      </c>
    </row>
    <row r="299" spans="2:2" x14ac:dyDescent="0.25">
      <c r="B299" s="15" t="s">
        <v>1401</v>
      </c>
    </row>
    <row r="300" spans="2:2" x14ac:dyDescent="0.25">
      <c r="B300" s="15" t="s">
        <v>1379</v>
      </c>
    </row>
    <row r="301" spans="2:2" x14ac:dyDescent="0.25">
      <c r="B301" s="15" t="s">
        <v>1376</v>
      </c>
    </row>
    <row r="302" spans="2:2" x14ac:dyDescent="0.25">
      <c r="B302" s="15" t="s">
        <v>1393</v>
      </c>
    </row>
    <row r="303" spans="2:2" x14ac:dyDescent="0.25">
      <c r="B303" s="15" t="s">
        <v>553</v>
      </c>
    </row>
    <row r="304" spans="2:2" x14ac:dyDescent="0.25">
      <c r="B304" s="15" t="s">
        <v>554</v>
      </c>
    </row>
    <row r="305" spans="2:2" x14ac:dyDescent="0.25">
      <c r="B305" s="15" t="s">
        <v>502</v>
      </c>
    </row>
    <row r="306" spans="2:2" x14ac:dyDescent="0.25">
      <c r="B306" s="15" t="s">
        <v>498</v>
      </c>
    </row>
    <row r="307" spans="2:2" x14ac:dyDescent="0.25">
      <c r="B307" s="15" t="s">
        <v>1402</v>
      </c>
    </row>
    <row r="308" spans="2:2" x14ac:dyDescent="0.25">
      <c r="B308" s="15" t="s">
        <v>1378</v>
      </c>
    </row>
    <row r="309" spans="2:2" x14ac:dyDescent="0.25">
      <c r="B309" s="15" t="s">
        <v>1387</v>
      </c>
    </row>
    <row r="310" spans="2:2" x14ac:dyDescent="0.25">
      <c r="B310" s="15" t="s">
        <v>1376</v>
      </c>
    </row>
    <row r="311" spans="2:2" x14ac:dyDescent="0.25">
      <c r="B311" s="15" t="s">
        <v>1399</v>
      </c>
    </row>
    <row r="312" spans="2:2" x14ac:dyDescent="0.25">
      <c r="B312" s="15" t="s">
        <v>553</v>
      </c>
    </row>
    <row r="313" spans="2:2" x14ac:dyDescent="0.25">
      <c r="B313" s="15" t="s">
        <v>554</v>
      </c>
    </row>
    <row r="314" spans="2:2" x14ac:dyDescent="0.25">
      <c r="B314" s="15" t="s">
        <v>512</v>
      </c>
    </row>
    <row r="315" spans="2:2" x14ac:dyDescent="0.25">
      <c r="B315" s="15" t="s">
        <v>582</v>
      </c>
    </row>
    <row r="316" spans="2:2" x14ac:dyDescent="0.25">
      <c r="B316" s="15" t="s">
        <v>583</v>
      </c>
    </row>
    <row r="317" spans="2:2" x14ac:dyDescent="0.25">
      <c r="B317" s="15" t="s">
        <v>584</v>
      </c>
    </row>
    <row r="318" spans="2:2" x14ac:dyDescent="0.25">
      <c r="B318" s="15" t="s">
        <v>1403</v>
      </c>
    </row>
    <row r="319" spans="2:2" x14ac:dyDescent="0.25">
      <c r="B319" s="15" t="s">
        <v>586</v>
      </c>
    </row>
    <row r="320" spans="2:2" x14ac:dyDescent="0.25">
      <c r="B320" s="15" t="s">
        <v>488</v>
      </c>
    </row>
    <row r="321" spans="2:2" x14ac:dyDescent="0.25">
      <c r="B321" s="15" t="s">
        <v>1404</v>
      </c>
    </row>
    <row r="322" spans="2:2" x14ac:dyDescent="0.25">
      <c r="B322" s="15" t="s">
        <v>588</v>
      </c>
    </row>
    <row r="323" spans="2:2" x14ac:dyDescent="0.25">
      <c r="B323" s="15" t="s">
        <v>1405</v>
      </c>
    </row>
    <row r="324" spans="2:2" x14ac:dyDescent="0.25">
      <c r="B324" s="15" t="s">
        <v>1406</v>
      </c>
    </row>
    <row r="325" spans="2:2" x14ac:dyDescent="0.25">
      <c r="B325" s="15" t="s">
        <v>1407</v>
      </c>
    </row>
    <row r="326" spans="2:2" x14ac:dyDescent="0.25">
      <c r="B326" s="15" t="s">
        <v>1408</v>
      </c>
    </row>
    <row r="327" spans="2:2" x14ac:dyDescent="0.25">
      <c r="B327" s="15" t="s">
        <v>593</v>
      </c>
    </row>
    <row r="328" spans="2:2" x14ac:dyDescent="0.25">
      <c r="B328" s="15" t="s">
        <v>583</v>
      </c>
    </row>
    <row r="329" spans="2:2" x14ac:dyDescent="0.25">
      <c r="B329" s="15" t="s">
        <v>594</v>
      </c>
    </row>
    <row r="330" spans="2:2" x14ac:dyDescent="0.25">
      <c r="B330" s="15" t="s">
        <v>1409</v>
      </c>
    </row>
    <row r="331" spans="2:2" x14ac:dyDescent="0.25">
      <c r="B331" s="15" t="s">
        <v>1410</v>
      </c>
    </row>
    <row r="332" spans="2:2" x14ac:dyDescent="0.25">
      <c r="B332" s="15" t="s">
        <v>597</v>
      </c>
    </row>
    <row r="333" spans="2:2" x14ac:dyDescent="0.25">
      <c r="B333" s="15" t="s">
        <v>1411</v>
      </c>
    </row>
    <row r="334" spans="2:2" x14ac:dyDescent="0.25">
      <c r="B334" s="15" t="s">
        <v>599</v>
      </c>
    </row>
    <row r="335" spans="2:2" x14ac:dyDescent="0.25">
      <c r="B335" s="15" t="s">
        <v>1412</v>
      </c>
    </row>
    <row r="336" spans="2:2" x14ac:dyDescent="0.25">
      <c r="B336" s="15" t="s">
        <v>1413</v>
      </c>
    </row>
    <row r="337" spans="2:2" x14ac:dyDescent="0.25">
      <c r="B337" s="15" t="s">
        <v>1414</v>
      </c>
    </row>
    <row r="338" spans="2:2" x14ac:dyDescent="0.25">
      <c r="B338" s="15" t="s">
        <v>1415</v>
      </c>
    </row>
    <row r="339" spans="2:2" x14ac:dyDescent="0.25">
      <c r="B339" s="15" t="s">
        <v>1416</v>
      </c>
    </row>
    <row r="340" spans="2:2" x14ac:dyDescent="0.25">
      <c r="B340" s="15" t="s">
        <v>601</v>
      </c>
    </row>
    <row r="341" spans="2:2" x14ac:dyDescent="0.25">
      <c r="B341" s="15" t="s">
        <v>513</v>
      </c>
    </row>
    <row r="342" spans="2:2" x14ac:dyDescent="0.25">
      <c r="B342" s="15" t="s">
        <v>602</v>
      </c>
    </row>
    <row r="343" spans="2:2" x14ac:dyDescent="0.25">
      <c r="B343" s="15" t="s">
        <v>1417</v>
      </c>
    </row>
    <row r="344" spans="2:2" x14ac:dyDescent="0.25">
      <c r="B344" s="15" t="s">
        <v>513</v>
      </c>
    </row>
    <row r="345" spans="2:2" x14ac:dyDescent="0.25">
      <c r="B345" s="15" t="s">
        <v>605</v>
      </c>
    </row>
    <row r="346" spans="2:2" x14ac:dyDescent="0.25">
      <c r="B346" s="15" t="s">
        <v>583</v>
      </c>
    </row>
    <row r="347" spans="2:2" x14ac:dyDescent="0.25">
      <c r="B347" s="15" t="s">
        <v>606</v>
      </c>
    </row>
    <row r="348" spans="2:2" x14ac:dyDescent="0.25">
      <c r="B348" s="15" t="s">
        <v>607</v>
      </c>
    </row>
    <row r="349" spans="2:2" x14ac:dyDescent="0.25">
      <c r="B349" s="15" t="s">
        <v>608</v>
      </c>
    </row>
    <row r="350" spans="2:2" x14ac:dyDescent="0.25">
      <c r="B350" s="15" t="s">
        <v>609</v>
      </c>
    </row>
    <row r="351" spans="2:2" x14ac:dyDescent="0.25">
      <c r="B351" s="15" t="s">
        <v>610</v>
      </c>
    </row>
    <row r="352" spans="2:2" x14ac:dyDescent="0.25">
      <c r="B352" s="15" t="s">
        <v>611</v>
      </c>
    </row>
    <row r="353" spans="2:2" x14ac:dyDescent="0.25">
      <c r="B353" s="15" t="s">
        <v>1418</v>
      </c>
    </row>
    <row r="354" spans="2:2" x14ac:dyDescent="0.25">
      <c r="B354" s="15" t="s">
        <v>1419</v>
      </c>
    </row>
    <row r="355" spans="2:2" x14ac:dyDescent="0.25">
      <c r="B355" s="15" t="s">
        <v>614</v>
      </c>
    </row>
    <row r="356" spans="2:2" x14ac:dyDescent="0.25">
      <c r="B356" s="15" t="s">
        <v>583</v>
      </c>
    </row>
    <row r="357" spans="2:2" x14ac:dyDescent="0.25">
      <c r="B357" s="15" t="s">
        <v>615</v>
      </c>
    </row>
    <row r="358" spans="2:2" x14ac:dyDescent="0.25">
      <c r="B358" s="15" t="s">
        <v>616</v>
      </c>
    </row>
    <row r="359" spans="2:2" x14ac:dyDescent="0.25">
      <c r="B359" s="15" t="s">
        <v>617</v>
      </c>
    </row>
    <row r="360" spans="2:2" x14ac:dyDescent="0.25">
      <c r="B360" s="15" t="s">
        <v>618</v>
      </c>
    </row>
    <row r="361" spans="2:2" x14ac:dyDescent="0.25">
      <c r="B361" s="15" t="s">
        <v>619</v>
      </c>
    </row>
    <row r="362" spans="2:2" x14ac:dyDescent="0.25">
      <c r="B362" s="15" t="s">
        <v>620</v>
      </c>
    </row>
    <row r="363" spans="2:2" x14ac:dyDescent="0.25">
      <c r="B363" s="15" t="s">
        <v>436</v>
      </c>
    </row>
    <row r="364" spans="2:2" x14ac:dyDescent="0.25">
      <c r="B364" s="15" t="s">
        <v>440</v>
      </c>
    </row>
  </sheetData>
  <pageMargins left="0.7" right="0.7" top="0.75" bottom="0.75" header="0.3" footer="0.3"/>
  <pageSetup orientation="portrait" r:id="rId1"/>
  <headerFooter differentFirst="1">
    <oddHeader>&amp;LClassification: &amp;"Microsoft Sans Serif,Bold Italic"Confidential</oddHeader>
    <oddFooter>&amp;C_x000D_&amp;1#&amp;"Aptos"&amp;10&amp;K008000 Ejada Public Information</oddFooter>
    <firstHeader>&amp;LClassification: &amp;"Microsoft Sans Serif,Bold Italic"Confidential</firstHeader>
    <firstFooter>&amp;C_x000D_&amp;1#&amp;"Aptos"&amp;10&amp;K008000 Ejada Public Information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5"/>
  <sheetViews>
    <sheetView showGridLines="0" workbookViewId="0">
      <pane xSplit="2" ySplit="5" topLeftCell="C99" activePane="bottomRight" state="frozen"/>
      <selection pane="topRight"/>
      <selection pane="bottomLeft"/>
      <selection pane="bottomRight" activeCell="D17" sqref="D17"/>
    </sheetView>
  </sheetViews>
  <sheetFormatPr defaultRowHeight="15" x14ac:dyDescent="0.25"/>
  <cols>
    <col min="1" max="1" width="32" customWidth="1"/>
    <col min="2" max="2" width="16" customWidth="1"/>
    <col min="3" max="5" width="22" customWidth="1"/>
    <col min="6" max="6" width="57.85546875" bestFit="1" customWidth="1"/>
  </cols>
  <sheetData>
    <row r="1" spans="1:6" ht="27.95" customHeight="1" x14ac:dyDescent="0.25">
      <c r="A1" s="110" t="s">
        <v>1420</v>
      </c>
      <c r="B1" s="106"/>
      <c r="C1" s="106"/>
      <c r="D1" s="106"/>
      <c r="E1" s="106"/>
      <c r="F1" s="106"/>
    </row>
    <row r="2" spans="1:6" ht="18" customHeight="1" x14ac:dyDescent="0.25">
      <c r="A2" s="109" t="s">
        <v>1421</v>
      </c>
      <c r="B2" s="106"/>
      <c r="C2" s="106"/>
      <c r="D2" s="106"/>
      <c r="E2" s="106"/>
      <c r="F2" s="106"/>
    </row>
    <row r="3" spans="1:6" ht="5.0999999999999996" customHeight="1" x14ac:dyDescent="0.25"/>
    <row r="4" spans="1:6" ht="21.95" customHeight="1" x14ac:dyDescent="0.25">
      <c r="A4" s="57" t="s">
        <v>1422</v>
      </c>
      <c r="B4" s="57" t="s">
        <v>1423</v>
      </c>
      <c r="C4" s="58" t="s">
        <v>1424</v>
      </c>
      <c r="D4" s="59" t="s">
        <v>1425</v>
      </c>
      <c r="E4" s="60" t="s">
        <v>1426</v>
      </c>
      <c r="F4" s="61" t="s">
        <v>1427</v>
      </c>
    </row>
    <row r="5" spans="1:6" ht="32.1" customHeight="1" x14ac:dyDescent="0.25">
      <c r="A5" s="62"/>
      <c r="B5" s="62"/>
      <c r="C5" s="63" t="s">
        <v>1428</v>
      </c>
      <c r="D5" s="64" t="s">
        <v>1429</v>
      </c>
      <c r="E5" s="65" t="s">
        <v>1430</v>
      </c>
      <c r="F5" s="66"/>
    </row>
    <row r="6" spans="1:6" ht="15.95" customHeight="1" x14ac:dyDescent="0.25">
      <c r="A6" s="105" t="s">
        <v>1431</v>
      </c>
      <c r="B6" s="106"/>
      <c r="C6" s="106"/>
      <c r="D6" s="106"/>
      <c r="E6" s="106"/>
      <c r="F6" s="106"/>
    </row>
    <row r="7" spans="1:6" ht="18" customHeight="1" x14ac:dyDescent="0.25">
      <c r="A7" s="67" t="s">
        <v>1432</v>
      </c>
      <c r="B7" s="68" t="s">
        <v>1433</v>
      </c>
      <c r="C7" s="69" t="s">
        <v>1434</v>
      </c>
      <c r="D7" s="70" t="s">
        <v>1435</v>
      </c>
      <c r="E7" s="71" t="s">
        <v>1436</v>
      </c>
      <c r="F7" s="72" t="s">
        <v>1437</v>
      </c>
    </row>
    <row r="8" spans="1:6" ht="18" customHeight="1" x14ac:dyDescent="0.25">
      <c r="A8" s="73" t="s">
        <v>1438</v>
      </c>
      <c r="B8" s="68" t="s">
        <v>1433</v>
      </c>
      <c r="C8" s="69" t="s">
        <v>1439</v>
      </c>
      <c r="D8" s="70" t="s">
        <v>1440</v>
      </c>
      <c r="E8" s="71" t="s">
        <v>1441</v>
      </c>
      <c r="F8" s="72" t="s">
        <v>1442</v>
      </c>
    </row>
    <row r="9" spans="1:6" ht="18" customHeight="1" x14ac:dyDescent="0.25">
      <c r="A9" s="67" t="s">
        <v>1443</v>
      </c>
      <c r="B9" s="68" t="s">
        <v>1433</v>
      </c>
      <c r="C9" s="69" t="s">
        <v>15</v>
      </c>
      <c r="D9" s="70" t="s">
        <v>622</v>
      </c>
      <c r="E9" s="71" t="s">
        <v>845</v>
      </c>
      <c r="F9" s="72" t="s">
        <v>1444</v>
      </c>
    </row>
    <row r="10" spans="1:6" ht="18" customHeight="1" x14ac:dyDescent="0.25">
      <c r="A10" s="73" t="s">
        <v>1445</v>
      </c>
      <c r="B10" s="68" t="s">
        <v>1433</v>
      </c>
      <c r="C10" s="69" t="s">
        <v>1446</v>
      </c>
      <c r="D10" s="70" t="s">
        <v>1446</v>
      </c>
      <c r="E10" s="71" t="s">
        <v>1446</v>
      </c>
      <c r="F10" s="72" t="s">
        <v>1447</v>
      </c>
    </row>
    <row r="11" spans="1:6" ht="18" customHeight="1" x14ac:dyDescent="0.25">
      <c r="A11" s="67" t="s">
        <v>1448</v>
      </c>
      <c r="B11" s="68" t="s">
        <v>1433</v>
      </c>
      <c r="C11" s="69" t="s">
        <v>1449</v>
      </c>
      <c r="D11" s="70" t="s">
        <v>1449</v>
      </c>
      <c r="E11" s="71" t="s">
        <v>1449</v>
      </c>
      <c r="F11" s="72" t="s">
        <v>1450</v>
      </c>
    </row>
    <row r="12" spans="1:6" ht="18" customHeight="1" x14ac:dyDescent="0.25">
      <c r="A12" s="73" t="s">
        <v>1451</v>
      </c>
      <c r="B12" s="68" t="s">
        <v>1433</v>
      </c>
      <c r="C12" s="69" t="s">
        <v>1452</v>
      </c>
      <c r="D12" s="70" t="s">
        <v>1452</v>
      </c>
      <c r="E12" s="71" t="s">
        <v>1452</v>
      </c>
      <c r="F12" s="72" t="s">
        <v>1453</v>
      </c>
    </row>
    <row r="13" spans="1:6" ht="18" customHeight="1" x14ac:dyDescent="0.25">
      <c r="A13" s="67" t="s">
        <v>1454</v>
      </c>
      <c r="B13" s="74" t="s">
        <v>1455</v>
      </c>
      <c r="C13" s="69" t="s">
        <v>1456</v>
      </c>
      <c r="D13" s="70" t="s">
        <v>1457</v>
      </c>
      <c r="E13" s="71" t="s">
        <v>1458</v>
      </c>
      <c r="F13" s="72" t="s">
        <v>1459</v>
      </c>
    </row>
    <row r="14" spans="1:6" ht="18" customHeight="1" x14ac:dyDescent="0.25">
      <c r="A14" s="73" t="s">
        <v>2034</v>
      </c>
      <c r="B14" s="74" t="s">
        <v>1455</v>
      </c>
      <c r="C14" s="69" t="s">
        <v>1460</v>
      </c>
      <c r="D14" s="70" t="s">
        <v>1460</v>
      </c>
      <c r="E14" s="71" t="s">
        <v>1460</v>
      </c>
      <c r="F14" s="72"/>
    </row>
    <row r="15" spans="1:6" ht="18" customHeight="1" x14ac:dyDescent="0.25">
      <c r="A15" s="73" t="s">
        <v>1461</v>
      </c>
      <c r="B15" s="75" t="s">
        <v>1462</v>
      </c>
      <c r="C15" s="69" t="s">
        <v>1463</v>
      </c>
      <c r="D15" s="70" t="s">
        <v>1464</v>
      </c>
      <c r="E15" s="71" t="s">
        <v>1465</v>
      </c>
      <c r="F15" s="72" t="s">
        <v>1466</v>
      </c>
    </row>
    <row r="16" spans="1:6" ht="18" customHeight="1" x14ac:dyDescent="0.25">
      <c r="A16" s="67" t="s">
        <v>1467</v>
      </c>
      <c r="B16" s="68" t="s">
        <v>1433</v>
      </c>
      <c r="C16" s="69" t="s">
        <v>1468</v>
      </c>
      <c r="D16" s="82" t="s">
        <v>1469</v>
      </c>
      <c r="E16" s="71" t="s">
        <v>1470</v>
      </c>
      <c r="F16" s="72" t="s">
        <v>1471</v>
      </c>
    </row>
    <row r="17" spans="1:6" ht="18" customHeight="1" x14ac:dyDescent="0.25">
      <c r="A17" s="73" t="s">
        <v>1472</v>
      </c>
      <c r="B17" s="75" t="s">
        <v>1462</v>
      </c>
      <c r="C17" s="69" t="s">
        <v>1473</v>
      </c>
      <c r="D17" s="70" t="s">
        <v>1474</v>
      </c>
      <c r="E17" s="71" t="s">
        <v>1475</v>
      </c>
      <c r="F17" s="72" t="s">
        <v>1476</v>
      </c>
    </row>
    <row r="18" spans="1:6" ht="18" customHeight="1" x14ac:dyDescent="0.25">
      <c r="A18" s="67" t="s">
        <v>1477</v>
      </c>
      <c r="B18" s="68" t="s">
        <v>1433</v>
      </c>
      <c r="C18" s="69" t="s">
        <v>1468</v>
      </c>
      <c r="D18" s="70" t="s">
        <v>1478</v>
      </c>
      <c r="E18" s="71" t="s">
        <v>1479</v>
      </c>
      <c r="F18" s="72" t="s">
        <v>1480</v>
      </c>
    </row>
    <row r="19" spans="1:6" ht="18" customHeight="1" x14ac:dyDescent="0.25">
      <c r="A19" s="73" t="s">
        <v>1481</v>
      </c>
      <c r="B19" s="68" t="s">
        <v>1433</v>
      </c>
      <c r="C19" s="69" t="s">
        <v>1482</v>
      </c>
      <c r="D19" s="70" t="s">
        <v>1483</v>
      </c>
      <c r="E19" s="71" t="s">
        <v>1484</v>
      </c>
      <c r="F19" s="72" t="s">
        <v>1485</v>
      </c>
    </row>
    <row r="20" spans="1:6" ht="18" customHeight="1" x14ac:dyDescent="0.25">
      <c r="A20" s="67" t="s">
        <v>1486</v>
      </c>
      <c r="B20" s="75" t="s">
        <v>1462</v>
      </c>
      <c r="C20" s="69" t="s">
        <v>1487</v>
      </c>
      <c r="D20" s="70" t="s">
        <v>1488</v>
      </c>
      <c r="E20" s="71" t="s">
        <v>1489</v>
      </c>
      <c r="F20" s="72" t="s">
        <v>1490</v>
      </c>
    </row>
    <row r="21" spans="1:6" ht="5.0999999999999996" customHeight="1" x14ac:dyDescent="0.25"/>
    <row r="22" spans="1:6" ht="15.95" customHeight="1" x14ac:dyDescent="0.25">
      <c r="A22" s="105" t="s">
        <v>1491</v>
      </c>
      <c r="B22" s="106"/>
      <c r="C22" s="106"/>
      <c r="D22" s="106"/>
      <c r="E22" s="106"/>
      <c r="F22" s="106"/>
    </row>
    <row r="23" spans="1:6" ht="18" customHeight="1" x14ac:dyDescent="0.25">
      <c r="A23" s="73" t="s">
        <v>1492</v>
      </c>
      <c r="B23" s="75" t="s">
        <v>1462</v>
      </c>
      <c r="C23" s="69" t="s">
        <v>1493</v>
      </c>
      <c r="D23" s="70" t="s">
        <v>1494</v>
      </c>
      <c r="E23" s="71" t="s">
        <v>1495</v>
      </c>
      <c r="F23" s="72" t="s">
        <v>1496</v>
      </c>
    </row>
    <row r="24" spans="1:6" ht="18" customHeight="1" x14ac:dyDescent="0.25">
      <c r="A24" s="67" t="s">
        <v>1497</v>
      </c>
      <c r="B24" s="75" t="s">
        <v>1462</v>
      </c>
      <c r="C24" s="69" t="s">
        <v>1498</v>
      </c>
      <c r="D24" s="70" t="s">
        <v>1499</v>
      </c>
      <c r="E24" s="71" t="s">
        <v>1500</v>
      </c>
      <c r="F24" s="72" t="s">
        <v>1501</v>
      </c>
    </row>
    <row r="25" spans="1:6" ht="18" customHeight="1" x14ac:dyDescent="0.25">
      <c r="A25" s="73" t="s">
        <v>1502</v>
      </c>
      <c r="B25" s="75" t="s">
        <v>1462</v>
      </c>
      <c r="C25" s="69" t="s">
        <v>1503</v>
      </c>
      <c r="D25" s="70" t="s">
        <v>1504</v>
      </c>
      <c r="E25" s="71" t="s">
        <v>1505</v>
      </c>
      <c r="F25" s="72" t="s">
        <v>1506</v>
      </c>
    </row>
    <row r="26" spans="1:6" ht="18" customHeight="1" x14ac:dyDescent="0.25">
      <c r="A26" s="67" t="s">
        <v>1507</v>
      </c>
      <c r="B26" s="75" t="s">
        <v>1462</v>
      </c>
      <c r="C26" s="69" t="s">
        <v>1508</v>
      </c>
      <c r="D26" s="70" t="s">
        <v>1509</v>
      </c>
      <c r="E26" s="71" t="s">
        <v>1510</v>
      </c>
      <c r="F26" s="72" t="s">
        <v>1511</v>
      </c>
    </row>
    <row r="27" spans="1:6" ht="18" customHeight="1" x14ac:dyDescent="0.25">
      <c r="A27" s="73" t="s">
        <v>1512</v>
      </c>
      <c r="B27" s="68" t="s">
        <v>1433</v>
      </c>
      <c r="C27" s="69" t="s">
        <v>1513</v>
      </c>
      <c r="D27" s="70" t="s">
        <v>1514</v>
      </c>
      <c r="E27" s="71" t="s">
        <v>1515</v>
      </c>
      <c r="F27" s="72" t="s">
        <v>1516</v>
      </c>
    </row>
    <row r="28" spans="1:6" ht="18" customHeight="1" x14ac:dyDescent="0.25">
      <c r="A28" s="67" t="s">
        <v>1517</v>
      </c>
      <c r="B28" s="75" t="s">
        <v>1462</v>
      </c>
      <c r="C28" s="69" t="s">
        <v>1518</v>
      </c>
      <c r="D28" s="70" t="s">
        <v>1519</v>
      </c>
      <c r="E28" s="71" t="s">
        <v>1520</v>
      </c>
      <c r="F28" s="72" t="s">
        <v>1521</v>
      </c>
    </row>
    <row r="29" spans="1:6" ht="18" customHeight="1" x14ac:dyDescent="0.25">
      <c r="A29" s="73" t="s">
        <v>1522</v>
      </c>
      <c r="B29" s="74" t="s">
        <v>1455</v>
      </c>
      <c r="C29" s="69" t="s">
        <v>1523</v>
      </c>
      <c r="D29" s="70" t="s">
        <v>1524</v>
      </c>
      <c r="E29" s="71" t="s">
        <v>1525</v>
      </c>
      <c r="F29" s="72" t="s">
        <v>1526</v>
      </c>
    </row>
    <row r="30" spans="1:6" ht="18" customHeight="1" x14ac:dyDescent="0.25">
      <c r="A30" s="67" t="s">
        <v>1527</v>
      </c>
      <c r="B30" s="68" t="s">
        <v>1433</v>
      </c>
      <c r="C30" s="69" t="s">
        <v>1469</v>
      </c>
      <c r="D30" s="70" t="s">
        <v>1469</v>
      </c>
      <c r="E30" s="71" t="s">
        <v>1469</v>
      </c>
      <c r="F30" s="72" t="s">
        <v>1528</v>
      </c>
    </row>
    <row r="31" spans="1:6" ht="18" customHeight="1" x14ac:dyDescent="0.25">
      <c r="A31" s="73" t="s">
        <v>1529</v>
      </c>
      <c r="B31" s="68" t="s">
        <v>1433</v>
      </c>
      <c r="C31" s="69" t="s">
        <v>1530</v>
      </c>
      <c r="D31" s="70" t="s">
        <v>1530</v>
      </c>
      <c r="E31" s="71" t="s">
        <v>1530</v>
      </c>
      <c r="F31" s="72" t="s">
        <v>1531</v>
      </c>
    </row>
    <row r="32" spans="1:6" ht="18" customHeight="1" x14ac:dyDescent="0.25">
      <c r="A32" s="67" t="s">
        <v>1532</v>
      </c>
      <c r="B32" s="68" t="s">
        <v>1433</v>
      </c>
      <c r="C32" s="69" t="s">
        <v>1533</v>
      </c>
      <c r="D32" s="70" t="s">
        <v>1533</v>
      </c>
      <c r="E32" s="71" t="s">
        <v>1533</v>
      </c>
      <c r="F32" s="72" t="s">
        <v>1534</v>
      </c>
    </row>
    <row r="33" spans="1:6" ht="5.0999999999999996" customHeight="1" x14ac:dyDescent="0.25"/>
    <row r="34" spans="1:6" ht="15.95" customHeight="1" x14ac:dyDescent="0.25">
      <c r="A34" s="105" t="s">
        <v>1535</v>
      </c>
      <c r="B34" s="106"/>
      <c r="C34" s="106"/>
      <c r="D34" s="106"/>
      <c r="E34" s="106"/>
      <c r="F34" s="106"/>
    </row>
    <row r="35" spans="1:6" ht="18" customHeight="1" x14ac:dyDescent="0.25">
      <c r="A35" s="76" t="s">
        <v>1536</v>
      </c>
      <c r="B35" s="76" t="s">
        <v>1423</v>
      </c>
      <c r="C35" s="76" t="s">
        <v>1537</v>
      </c>
      <c r="D35" s="76" t="s">
        <v>1538</v>
      </c>
      <c r="E35" s="76" t="s">
        <v>1539</v>
      </c>
      <c r="F35" s="76" t="s">
        <v>1540</v>
      </c>
    </row>
    <row r="36" spans="1:6" ht="18" customHeight="1" x14ac:dyDescent="0.25">
      <c r="A36" s="67" t="s">
        <v>1541</v>
      </c>
      <c r="B36" s="75" t="s">
        <v>1462</v>
      </c>
      <c r="C36" s="69" t="s">
        <v>1542</v>
      </c>
      <c r="D36" s="70" t="s">
        <v>1542</v>
      </c>
      <c r="E36" s="71" t="s">
        <v>1542</v>
      </c>
      <c r="F36" s="72"/>
    </row>
    <row r="37" spans="1:6" ht="18" customHeight="1" x14ac:dyDescent="0.25">
      <c r="A37" s="73" t="s">
        <v>1543</v>
      </c>
      <c r="B37" s="75" t="s">
        <v>1462</v>
      </c>
      <c r="C37" s="69" t="s">
        <v>1544</v>
      </c>
      <c r="D37" s="70" t="s">
        <v>1545</v>
      </c>
      <c r="E37" s="71" t="s">
        <v>1546</v>
      </c>
      <c r="F37" s="72" t="s">
        <v>1547</v>
      </c>
    </row>
    <row r="38" spans="1:6" ht="18" customHeight="1" x14ac:dyDescent="0.25">
      <c r="A38" s="67" t="s">
        <v>1548</v>
      </c>
      <c r="B38" s="75" t="s">
        <v>1462</v>
      </c>
      <c r="C38" s="69" t="s">
        <v>1549</v>
      </c>
      <c r="D38" s="70" t="s">
        <v>1550</v>
      </c>
      <c r="E38" s="71" t="s">
        <v>1551</v>
      </c>
      <c r="F38" s="72" t="s">
        <v>1552</v>
      </c>
    </row>
    <row r="39" spans="1:6" ht="18" customHeight="1" x14ac:dyDescent="0.25">
      <c r="A39" s="73" t="s">
        <v>1553</v>
      </c>
      <c r="B39" s="75" t="s">
        <v>1462</v>
      </c>
      <c r="C39" s="69" t="s">
        <v>1554</v>
      </c>
      <c r="D39" s="70" t="s">
        <v>1555</v>
      </c>
      <c r="E39" s="71" t="s">
        <v>1556</v>
      </c>
      <c r="F39" s="72" t="s">
        <v>1557</v>
      </c>
    </row>
    <row r="40" spans="1:6" ht="18" customHeight="1" x14ac:dyDescent="0.25">
      <c r="A40" s="67" t="s">
        <v>1558</v>
      </c>
      <c r="B40" s="75" t="s">
        <v>1462</v>
      </c>
      <c r="C40" s="69" t="s">
        <v>1559</v>
      </c>
      <c r="D40" s="70" t="s">
        <v>1560</v>
      </c>
      <c r="E40" s="71" t="s">
        <v>1546</v>
      </c>
      <c r="F40" s="72" t="s">
        <v>1561</v>
      </c>
    </row>
    <row r="41" spans="1:6" ht="18" customHeight="1" x14ac:dyDescent="0.25">
      <c r="A41" s="73" t="s">
        <v>1562</v>
      </c>
      <c r="B41" s="75" t="s">
        <v>1462</v>
      </c>
      <c r="C41" s="69" t="s">
        <v>1563</v>
      </c>
      <c r="D41" s="70" t="s">
        <v>1564</v>
      </c>
      <c r="E41" s="71" t="s">
        <v>1565</v>
      </c>
      <c r="F41" s="72"/>
    </row>
    <row r="42" spans="1:6" ht="18" customHeight="1" x14ac:dyDescent="0.25">
      <c r="A42" s="67" t="s">
        <v>1566</v>
      </c>
      <c r="B42" s="75" t="s">
        <v>1462</v>
      </c>
      <c r="C42" s="69" t="s">
        <v>1567</v>
      </c>
      <c r="D42" s="70" t="s">
        <v>1568</v>
      </c>
      <c r="E42" s="71" t="s">
        <v>1569</v>
      </c>
      <c r="F42" s="72"/>
    </row>
    <row r="43" spans="1:6" ht="18" customHeight="1" x14ac:dyDescent="0.25">
      <c r="A43" s="73" t="s">
        <v>1570</v>
      </c>
      <c r="B43" s="75" t="s">
        <v>1462</v>
      </c>
      <c r="C43" s="69" t="s">
        <v>1571</v>
      </c>
      <c r="D43" s="70" t="s">
        <v>1572</v>
      </c>
      <c r="E43" s="71" t="s">
        <v>1573</v>
      </c>
      <c r="F43" s="72" t="s">
        <v>1574</v>
      </c>
    </row>
    <row r="44" spans="1:6" ht="5.0999999999999996" customHeight="1" x14ac:dyDescent="0.25"/>
    <row r="45" spans="1:6" ht="15.95" customHeight="1" x14ac:dyDescent="0.25">
      <c r="A45" s="105" t="s">
        <v>1575</v>
      </c>
      <c r="B45" s="106"/>
      <c r="C45" s="106"/>
      <c r="D45" s="106"/>
      <c r="E45" s="106"/>
      <c r="F45" s="106"/>
    </row>
    <row r="46" spans="1:6" ht="18" customHeight="1" x14ac:dyDescent="0.25">
      <c r="A46" s="67" t="s">
        <v>1576</v>
      </c>
      <c r="B46" s="68" t="s">
        <v>1433</v>
      </c>
      <c r="C46" s="69" t="s">
        <v>1577</v>
      </c>
      <c r="D46" s="70" t="s">
        <v>1578</v>
      </c>
      <c r="E46" s="71" t="s">
        <v>1579</v>
      </c>
      <c r="F46" s="72" t="s">
        <v>1580</v>
      </c>
    </row>
    <row r="47" spans="1:6" ht="18" customHeight="1" x14ac:dyDescent="0.25">
      <c r="A47" s="73" t="s">
        <v>1581</v>
      </c>
      <c r="B47" s="75" t="s">
        <v>1462</v>
      </c>
      <c r="C47" s="69" t="s">
        <v>1582</v>
      </c>
      <c r="D47" s="70" t="s">
        <v>1583</v>
      </c>
      <c r="E47" s="71" t="s">
        <v>1584</v>
      </c>
      <c r="F47" s="72" t="s">
        <v>1585</v>
      </c>
    </row>
    <row r="48" spans="1:6" ht="18" customHeight="1" x14ac:dyDescent="0.25">
      <c r="A48" s="67" t="s">
        <v>1586</v>
      </c>
      <c r="B48" s="68" t="s">
        <v>1433</v>
      </c>
      <c r="C48" s="69" t="s">
        <v>1582</v>
      </c>
      <c r="D48" s="70" t="s">
        <v>1587</v>
      </c>
      <c r="E48" s="71" t="s">
        <v>1584</v>
      </c>
      <c r="F48" s="72" t="s">
        <v>1588</v>
      </c>
    </row>
    <row r="49" spans="1:6" ht="18" customHeight="1" x14ac:dyDescent="0.25">
      <c r="A49" s="73" t="s">
        <v>1589</v>
      </c>
      <c r="B49" s="68" t="s">
        <v>1433</v>
      </c>
      <c r="C49" s="69" t="s">
        <v>1582</v>
      </c>
      <c r="D49" s="70" t="s">
        <v>1583</v>
      </c>
      <c r="E49" s="71" t="s">
        <v>1584</v>
      </c>
      <c r="F49" s="72" t="s">
        <v>1590</v>
      </c>
    </row>
    <row r="50" spans="1:6" ht="18" customHeight="1" x14ac:dyDescent="0.25">
      <c r="A50" s="67" t="s">
        <v>1591</v>
      </c>
      <c r="B50" s="68" t="s">
        <v>1433</v>
      </c>
      <c r="C50" s="69" t="s">
        <v>1577</v>
      </c>
      <c r="D50" s="70" t="s">
        <v>1592</v>
      </c>
      <c r="E50" s="71" t="s">
        <v>1593</v>
      </c>
      <c r="F50" s="72" t="s">
        <v>1594</v>
      </c>
    </row>
    <row r="51" spans="1:6" ht="18" customHeight="1" x14ac:dyDescent="0.25">
      <c r="A51" s="73" t="s">
        <v>1595</v>
      </c>
      <c r="B51" s="68" t="s">
        <v>1433</v>
      </c>
      <c r="C51" s="69" t="s">
        <v>1587</v>
      </c>
      <c r="D51" s="70" t="s">
        <v>1587</v>
      </c>
      <c r="E51" s="71" t="s">
        <v>1587</v>
      </c>
      <c r="F51" s="72" t="s">
        <v>1596</v>
      </c>
    </row>
    <row r="52" spans="1:6" ht="18" customHeight="1" x14ac:dyDescent="0.25">
      <c r="A52" s="67" t="s">
        <v>1597</v>
      </c>
      <c r="B52" s="68" t="s">
        <v>1433</v>
      </c>
      <c r="C52" s="69" t="s">
        <v>1587</v>
      </c>
      <c r="D52" s="70" t="s">
        <v>1587</v>
      </c>
      <c r="E52" s="71" t="s">
        <v>1587</v>
      </c>
      <c r="F52" s="72" t="s">
        <v>1598</v>
      </c>
    </row>
    <row r="53" spans="1:6" ht="18" customHeight="1" x14ac:dyDescent="0.25">
      <c r="A53" s="73" t="s">
        <v>1599</v>
      </c>
      <c r="B53" s="74" t="s">
        <v>1455</v>
      </c>
      <c r="C53" s="69" t="s">
        <v>1600</v>
      </c>
      <c r="D53" s="70" t="s">
        <v>1601</v>
      </c>
      <c r="E53" s="71" t="s">
        <v>1602</v>
      </c>
      <c r="F53" s="72" t="s">
        <v>1603</v>
      </c>
    </row>
    <row r="54" spans="1:6" ht="18" customHeight="1" x14ac:dyDescent="0.25">
      <c r="A54" s="67" t="s">
        <v>1604</v>
      </c>
      <c r="B54" s="74" t="s">
        <v>1455</v>
      </c>
      <c r="C54" s="69" t="s">
        <v>1605</v>
      </c>
      <c r="D54" s="70" t="s">
        <v>1605</v>
      </c>
      <c r="E54" s="71" t="s">
        <v>1606</v>
      </c>
      <c r="F54" s="72" t="s">
        <v>1607</v>
      </c>
    </row>
    <row r="55" spans="1:6" ht="18" customHeight="1" x14ac:dyDescent="0.25">
      <c r="A55" s="73" t="s">
        <v>1608</v>
      </c>
      <c r="B55" s="74" t="s">
        <v>1455</v>
      </c>
      <c r="C55" s="69" t="s">
        <v>1609</v>
      </c>
      <c r="D55" s="70" t="s">
        <v>1610</v>
      </c>
      <c r="E55" s="71" t="s">
        <v>1611</v>
      </c>
      <c r="F55" s="72" t="s">
        <v>1612</v>
      </c>
    </row>
    <row r="56" spans="1:6" ht="18" customHeight="1" x14ac:dyDescent="0.25">
      <c r="A56" s="67" t="s">
        <v>1613</v>
      </c>
      <c r="B56" s="68" t="s">
        <v>1433</v>
      </c>
      <c r="C56" s="69" t="s">
        <v>1468</v>
      </c>
      <c r="D56" s="70" t="s">
        <v>1478</v>
      </c>
      <c r="E56" s="71" t="s">
        <v>1470</v>
      </c>
      <c r="F56" s="72" t="s">
        <v>1614</v>
      </c>
    </row>
    <row r="57" spans="1:6" ht="18" customHeight="1" x14ac:dyDescent="0.25">
      <c r="A57" s="73" t="s">
        <v>1615</v>
      </c>
      <c r="B57" s="68" t="s">
        <v>1433</v>
      </c>
      <c r="C57" s="69" t="s">
        <v>1616</v>
      </c>
      <c r="D57" s="70" t="s">
        <v>1616</v>
      </c>
      <c r="E57" s="71" t="s">
        <v>1616</v>
      </c>
      <c r="F57" s="72" t="s">
        <v>1617</v>
      </c>
    </row>
    <row r="58" spans="1:6" ht="18" customHeight="1" x14ac:dyDescent="0.25">
      <c r="A58" s="67" t="s">
        <v>1618</v>
      </c>
      <c r="B58" s="68" t="s">
        <v>1433</v>
      </c>
      <c r="C58" s="69" t="s">
        <v>1619</v>
      </c>
      <c r="D58" s="70" t="s">
        <v>1620</v>
      </c>
      <c r="E58" s="71" t="s">
        <v>1621</v>
      </c>
      <c r="F58" s="72" t="s">
        <v>1622</v>
      </c>
    </row>
    <row r="59" spans="1:6" ht="5.0999999999999996" customHeight="1" x14ac:dyDescent="0.25"/>
    <row r="60" spans="1:6" ht="15.95" customHeight="1" x14ac:dyDescent="0.25">
      <c r="A60" s="105" t="s">
        <v>1623</v>
      </c>
      <c r="B60" s="106"/>
      <c r="C60" s="106"/>
      <c r="D60" s="106"/>
      <c r="E60" s="106"/>
      <c r="F60" s="106"/>
    </row>
    <row r="61" spans="1:6" ht="18" customHeight="1" x14ac:dyDescent="0.25">
      <c r="A61" s="73" t="s">
        <v>1624</v>
      </c>
      <c r="B61" s="68" t="s">
        <v>1433</v>
      </c>
      <c r="C61" s="69" t="s">
        <v>1625</v>
      </c>
      <c r="D61" s="70" t="s">
        <v>1626</v>
      </c>
      <c r="E61" s="71" t="s">
        <v>1627</v>
      </c>
      <c r="F61" s="72" t="s">
        <v>1628</v>
      </c>
    </row>
    <row r="62" spans="1:6" ht="18" customHeight="1" x14ac:dyDescent="0.25">
      <c r="A62" s="67" t="s">
        <v>1629</v>
      </c>
      <c r="B62" s="68" t="s">
        <v>1433</v>
      </c>
      <c r="C62" s="69" t="s">
        <v>1630</v>
      </c>
      <c r="D62" s="70" t="s">
        <v>1631</v>
      </c>
      <c r="E62" s="71" t="s">
        <v>1632</v>
      </c>
      <c r="F62" s="72" t="s">
        <v>1633</v>
      </c>
    </row>
    <row r="63" spans="1:6" ht="18" customHeight="1" x14ac:dyDescent="0.25">
      <c r="A63" s="73" t="s">
        <v>1634</v>
      </c>
      <c r="B63" s="68" t="s">
        <v>1433</v>
      </c>
      <c r="C63" s="69" t="s">
        <v>1635</v>
      </c>
      <c r="D63" s="70" t="s">
        <v>1636</v>
      </c>
      <c r="E63" s="71" t="s">
        <v>1637</v>
      </c>
      <c r="F63" s="72" t="s">
        <v>1638</v>
      </c>
    </row>
    <row r="64" spans="1:6" ht="18" customHeight="1" x14ac:dyDescent="0.25">
      <c r="A64" s="67" t="s">
        <v>1639</v>
      </c>
      <c r="B64" s="74" t="s">
        <v>1455</v>
      </c>
      <c r="C64" s="69" t="s">
        <v>1640</v>
      </c>
      <c r="D64" s="70" t="s">
        <v>1641</v>
      </c>
      <c r="E64" s="71" t="s">
        <v>1642</v>
      </c>
      <c r="F64" s="72" t="s">
        <v>1643</v>
      </c>
    </row>
    <row r="65" spans="1:6" ht="18" customHeight="1" x14ac:dyDescent="0.25">
      <c r="A65" s="73" t="s">
        <v>1644</v>
      </c>
      <c r="B65" s="74" t="s">
        <v>1455</v>
      </c>
      <c r="C65" s="69" t="s">
        <v>1645</v>
      </c>
      <c r="D65" s="70" t="s">
        <v>1646</v>
      </c>
      <c r="E65" s="71" t="s">
        <v>1647</v>
      </c>
      <c r="F65" s="72" t="s">
        <v>1648</v>
      </c>
    </row>
    <row r="66" spans="1:6" ht="18" customHeight="1" x14ac:dyDescent="0.25">
      <c r="A66" s="67" t="s">
        <v>1649</v>
      </c>
      <c r="B66" s="74" t="s">
        <v>1455</v>
      </c>
      <c r="C66" s="69" t="s">
        <v>1650</v>
      </c>
      <c r="D66" s="70" t="s">
        <v>1651</v>
      </c>
      <c r="E66" s="71" t="s">
        <v>1652</v>
      </c>
      <c r="F66" s="72" t="s">
        <v>1653</v>
      </c>
    </row>
    <row r="67" spans="1:6" ht="18" customHeight="1" x14ac:dyDescent="0.25">
      <c r="A67" s="73" t="s">
        <v>1654</v>
      </c>
      <c r="B67" s="74" t="s">
        <v>1455</v>
      </c>
      <c r="C67" s="69" t="s">
        <v>1655</v>
      </c>
      <c r="D67" s="70" t="s">
        <v>1656</v>
      </c>
      <c r="E67" s="71" t="s">
        <v>1657</v>
      </c>
      <c r="F67" s="72" t="s">
        <v>1658</v>
      </c>
    </row>
    <row r="68" spans="1:6" ht="18" customHeight="1" x14ac:dyDescent="0.25">
      <c r="A68" s="67" t="s">
        <v>1659</v>
      </c>
      <c r="B68" s="68" t="s">
        <v>1433</v>
      </c>
      <c r="C68" s="69" t="s">
        <v>1660</v>
      </c>
      <c r="D68" s="70" t="s">
        <v>1661</v>
      </c>
      <c r="E68" s="71" t="s">
        <v>1662</v>
      </c>
      <c r="F68" s="72" t="s">
        <v>1663</v>
      </c>
    </row>
    <row r="69" spans="1:6" ht="5.0999999999999996" customHeight="1" x14ac:dyDescent="0.25"/>
    <row r="70" spans="1:6" ht="15.95" customHeight="1" x14ac:dyDescent="0.25">
      <c r="A70" s="105" t="s">
        <v>1664</v>
      </c>
      <c r="B70" s="106"/>
      <c r="C70" s="106"/>
      <c r="D70" s="106"/>
      <c r="E70" s="106"/>
      <c r="F70" s="106"/>
    </row>
    <row r="71" spans="1:6" ht="18" customHeight="1" x14ac:dyDescent="0.25">
      <c r="A71" s="73" t="s">
        <v>1665</v>
      </c>
      <c r="B71" s="75" t="s">
        <v>1462</v>
      </c>
      <c r="C71" s="69" t="s">
        <v>1666</v>
      </c>
      <c r="D71" s="70" t="s">
        <v>1667</v>
      </c>
      <c r="E71" s="71" t="s">
        <v>1668</v>
      </c>
      <c r="F71" s="72" t="s">
        <v>1669</v>
      </c>
    </row>
    <row r="72" spans="1:6" ht="18" customHeight="1" x14ac:dyDescent="0.25">
      <c r="A72" s="67" t="s">
        <v>1670</v>
      </c>
      <c r="B72" s="74" t="s">
        <v>1455</v>
      </c>
      <c r="C72" s="69" t="s">
        <v>1671</v>
      </c>
      <c r="D72" s="70" t="s">
        <v>1587</v>
      </c>
      <c r="E72" s="71" t="s">
        <v>1672</v>
      </c>
      <c r="F72" s="72" t="s">
        <v>1673</v>
      </c>
    </row>
    <row r="73" spans="1:6" ht="18" customHeight="1" x14ac:dyDescent="0.25">
      <c r="A73" s="73" t="s">
        <v>1674</v>
      </c>
      <c r="B73" s="68" t="s">
        <v>1433</v>
      </c>
      <c r="C73" s="69" t="s">
        <v>1671</v>
      </c>
      <c r="D73" s="70" t="s">
        <v>1587</v>
      </c>
      <c r="E73" s="71" t="s">
        <v>1672</v>
      </c>
      <c r="F73" s="72" t="s">
        <v>1675</v>
      </c>
    </row>
    <row r="74" spans="1:6" ht="18" customHeight="1" x14ac:dyDescent="0.25">
      <c r="A74" s="67" t="s">
        <v>1676</v>
      </c>
      <c r="B74" s="68" t="s">
        <v>1433</v>
      </c>
      <c r="C74" s="69" t="s">
        <v>1666</v>
      </c>
      <c r="D74" s="70" t="s">
        <v>1667</v>
      </c>
      <c r="E74" s="71" t="s">
        <v>1587</v>
      </c>
      <c r="F74" s="72" t="s">
        <v>1677</v>
      </c>
    </row>
    <row r="75" spans="1:6" ht="18" customHeight="1" x14ac:dyDescent="0.25">
      <c r="A75" s="73" t="s">
        <v>1678</v>
      </c>
      <c r="B75" s="68" t="s">
        <v>1433</v>
      </c>
      <c r="C75" s="69" t="s">
        <v>1587</v>
      </c>
      <c r="D75" s="70" t="s">
        <v>1587</v>
      </c>
      <c r="E75" s="71" t="s">
        <v>1668</v>
      </c>
      <c r="F75" s="72" t="s">
        <v>1679</v>
      </c>
    </row>
    <row r="76" spans="1:6" ht="18" customHeight="1" x14ac:dyDescent="0.25">
      <c r="A76" s="67" t="s">
        <v>1680</v>
      </c>
      <c r="B76" s="75" t="s">
        <v>1462</v>
      </c>
      <c r="C76" s="69" t="s">
        <v>1681</v>
      </c>
      <c r="D76" s="70" t="s">
        <v>1682</v>
      </c>
      <c r="E76" s="71" t="s">
        <v>1683</v>
      </c>
      <c r="F76" s="72" t="e">
        <f>TotalDebtPayments/L3M_median</f>
        <v>#NAME?</v>
      </c>
    </row>
    <row r="77" spans="1:6" ht="18" customHeight="1" x14ac:dyDescent="0.25">
      <c r="A77" s="73" t="s">
        <v>1684</v>
      </c>
      <c r="B77" s="74" t="s">
        <v>1455</v>
      </c>
      <c r="C77" s="69" t="s">
        <v>1685</v>
      </c>
      <c r="D77" s="70" t="s">
        <v>1686</v>
      </c>
      <c r="E77" s="71" t="s">
        <v>1687</v>
      </c>
      <c r="F77" s="72" t="s">
        <v>1688</v>
      </c>
    </row>
    <row r="78" spans="1:6" ht="5.0999999999999996" customHeight="1" x14ac:dyDescent="0.25"/>
    <row r="79" spans="1:6" ht="15.95" customHeight="1" x14ac:dyDescent="0.25">
      <c r="A79" s="105" t="s">
        <v>1689</v>
      </c>
      <c r="B79" s="106"/>
      <c r="C79" s="106"/>
      <c r="D79" s="106"/>
      <c r="E79" s="106"/>
      <c r="F79" s="106"/>
    </row>
    <row r="80" spans="1:6" ht="18" customHeight="1" x14ac:dyDescent="0.25">
      <c r="A80" s="67" t="s">
        <v>1690</v>
      </c>
      <c r="B80" s="68" t="s">
        <v>1433</v>
      </c>
      <c r="C80" s="69" t="s">
        <v>1691</v>
      </c>
      <c r="D80" s="70" t="s">
        <v>1692</v>
      </c>
      <c r="E80" s="71" t="s">
        <v>1693</v>
      </c>
      <c r="F80" s="72"/>
    </row>
    <row r="81" spans="1:6" ht="18" customHeight="1" x14ac:dyDescent="0.25">
      <c r="A81" s="73" t="s">
        <v>1694</v>
      </c>
      <c r="B81" s="68" t="s">
        <v>1433</v>
      </c>
      <c r="C81" s="69" t="s">
        <v>1671</v>
      </c>
      <c r="D81" s="70" t="s">
        <v>1695</v>
      </c>
      <c r="E81" s="71" t="s">
        <v>1696</v>
      </c>
      <c r="F81" s="72" t="s">
        <v>1697</v>
      </c>
    </row>
    <row r="82" spans="1:6" ht="18" customHeight="1" x14ac:dyDescent="0.25">
      <c r="A82" s="67" t="s">
        <v>1698</v>
      </c>
      <c r="B82" s="75" t="s">
        <v>1462</v>
      </c>
      <c r="C82" s="69" t="s">
        <v>1699</v>
      </c>
      <c r="D82" s="70" t="s">
        <v>1700</v>
      </c>
      <c r="E82" s="71" t="s">
        <v>1701</v>
      </c>
      <c r="F82" s="72"/>
    </row>
    <row r="83" spans="1:6" ht="18" customHeight="1" x14ac:dyDescent="0.25">
      <c r="A83" s="73" t="s">
        <v>1702</v>
      </c>
      <c r="B83" s="75" t="s">
        <v>1462</v>
      </c>
      <c r="C83" s="69" t="s">
        <v>1703</v>
      </c>
      <c r="D83" s="70" t="s">
        <v>1704</v>
      </c>
      <c r="E83" s="71" t="s">
        <v>1705</v>
      </c>
      <c r="F83" s="72"/>
    </row>
    <row r="84" spans="1:6" ht="18" customHeight="1" x14ac:dyDescent="0.25">
      <c r="A84" s="67" t="s">
        <v>1706</v>
      </c>
      <c r="B84" s="75" t="s">
        <v>1462</v>
      </c>
      <c r="C84" s="69" t="s">
        <v>1707</v>
      </c>
      <c r="D84" s="70" t="s">
        <v>1708</v>
      </c>
      <c r="E84" s="71" t="s">
        <v>1709</v>
      </c>
      <c r="F84" s="72"/>
    </row>
    <row r="85" spans="1:6" ht="18" customHeight="1" x14ac:dyDescent="0.25">
      <c r="A85" s="73" t="s">
        <v>1710</v>
      </c>
      <c r="B85" s="75" t="s">
        <v>1462</v>
      </c>
      <c r="C85" s="69" t="s">
        <v>1711</v>
      </c>
      <c r="D85" s="70" t="s">
        <v>1712</v>
      </c>
      <c r="E85" s="71" t="s">
        <v>1713</v>
      </c>
      <c r="F85" s="72"/>
    </row>
    <row r="86" spans="1:6" ht="18" customHeight="1" x14ac:dyDescent="0.25">
      <c r="A86" s="67" t="s">
        <v>1714</v>
      </c>
      <c r="B86" s="75" t="s">
        <v>1462</v>
      </c>
      <c r="C86" s="69" t="s">
        <v>1587</v>
      </c>
      <c r="D86" s="70" t="s">
        <v>1587</v>
      </c>
      <c r="E86" s="71" t="s">
        <v>1587</v>
      </c>
      <c r="F86" s="72" t="s">
        <v>1715</v>
      </c>
    </row>
    <row r="87" spans="1:6" ht="18" customHeight="1" x14ac:dyDescent="0.25">
      <c r="A87" s="73" t="s">
        <v>1716</v>
      </c>
      <c r="B87" s="75" t="s">
        <v>1462</v>
      </c>
      <c r="C87" s="69" t="s">
        <v>1717</v>
      </c>
      <c r="D87" s="70" t="s">
        <v>1717</v>
      </c>
      <c r="E87" s="71" t="s">
        <v>1717</v>
      </c>
      <c r="F87" s="72" t="s">
        <v>1718</v>
      </c>
    </row>
    <row r="88" spans="1:6" ht="18" customHeight="1" x14ac:dyDescent="0.25">
      <c r="A88" s="67" t="s">
        <v>1719</v>
      </c>
      <c r="B88" s="75" t="s">
        <v>1462</v>
      </c>
      <c r="C88" s="69" t="s">
        <v>1609</v>
      </c>
      <c r="D88" s="70" t="s">
        <v>1609</v>
      </c>
      <c r="E88" s="71" t="s">
        <v>1609</v>
      </c>
      <c r="F88" s="72" t="s">
        <v>1720</v>
      </c>
    </row>
    <row r="89" spans="1:6" ht="18" customHeight="1" x14ac:dyDescent="0.25">
      <c r="A89" s="73" t="s">
        <v>1721</v>
      </c>
      <c r="B89" s="75" t="s">
        <v>1462</v>
      </c>
      <c r="C89" s="69" t="s">
        <v>1722</v>
      </c>
      <c r="D89" s="70" t="s">
        <v>1723</v>
      </c>
      <c r="E89" s="71" t="s">
        <v>1724</v>
      </c>
      <c r="F89" s="72" t="s">
        <v>1725</v>
      </c>
    </row>
    <row r="90" spans="1:6" ht="5.0999999999999996" customHeight="1" x14ac:dyDescent="0.25"/>
    <row r="91" spans="1:6" ht="15.95" customHeight="1" x14ac:dyDescent="0.25">
      <c r="A91" s="105" t="s">
        <v>1726</v>
      </c>
      <c r="B91" s="106"/>
      <c r="C91" s="106"/>
      <c r="D91" s="106"/>
      <c r="E91" s="106"/>
      <c r="F91" s="106"/>
    </row>
    <row r="92" spans="1:6" ht="18" customHeight="1" x14ac:dyDescent="0.25">
      <c r="A92" s="67" t="s">
        <v>1727</v>
      </c>
      <c r="B92" s="74" t="s">
        <v>1455</v>
      </c>
      <c r="C92" s="69" t="s">
        <v>1728</v>
      </c>
      <c r="D92" s="70" t="s">
        <v>1729</v>
      </c>
      <c r="E92" s="71" t="s">
        <v>1728</v>
      </c>
      <c r="F92" s="72" t="s">
        <v>1730</v>
      </c>
    </row>
    <row r="93" spans="1:6" ht="18" customHeight="1" x14ac:dyDescent="0.25">
      <c r="A93" s="73" t="s">
        <v>1731</v>
      </c>
      <c r="B93" s="75" t="s">
        <v>1462</v>
      </c>
      <c r="C93" s="69" t="s">
        <v>1732</v>
      </c>
      <c r="D93" s="70" t="s">
        <v>1733</v>
      </c>
      <c r="E93" s="71" t="s">
        <v>1734</v>
      </c>
      <c r="F93" s="72" t="s">
        <v>1735</v>
      </c>
    </row>
    <row r="94" spans="1:6" ht="18" customHeight="1" x14ac:dyDescent="0.25">
      <c r="A94" s="67" t="s">
        <v>1736</v>
      </c>
      <c r="B94" s="75" t="s">
        <v>1462</v>
      </c>
      <c r="C94" s="69" t="s">
        <v>1737</v>
      </c>
      <c r="D94" s="70" t="s">
        <v>1738</v>
      </c>
      <c r="E94" s="71" t="s">
        <v>1739</v>
      </c>
      <c r="F94" s="72" t="s">
        <v>1740</v>
      </c>
    </row>
    <row r="95" spans="1:6" ht="18" customHeight="1" x14ac:dyDescent="0.25">
      <c r="A95" s="73" t="s">
        <v>1741</v>
      </c>
      <c r="B95" s="75" t="s">
        <v>1462</v>
      </c>
      <c r="C95" s="69" t="s">
        <v>1742</v>
      </c>
      <c r="D95" s="70" t="s">
        <v>1743</v>
      </c>
      <c r="E95" s="71" t="s">
        <v>1744</v>
      </c>
      <c r="F95" s="72" t="s">
        <v>1745</v>
      </c>
    </row>
    <row r="96" spans="1:6" ht="18" customHeight="1" x14ac:dyDescent="0.25">
      <c r="A96" s="67" t="s">
        <v>1659</v>
      </c>
      <c r="B96" s="75" t="s">
        <v>1462</v>
      </c>
      <c r="C96" s="69" t="s">
        <v>1746</v>
      </c>
      <c r="D96" s="70" t="s">
        <v>1747</v>
      </c>
      <c r="E96" s="71" t="s">
        <v>1748</v>
      </c>
      <c r="F96" s="72" t="s">
        <v>1749</v>
      </c>
    </row>
    <row r="97" spans="1:6" ht="18" customHeight="1" x14ac:dyDescent="0.25">
      <c r="A97" s="73" t="s">
        <v>1750</v>
      </c>
      <c r="B97" s="68" t="s">
        <v>1433</v>
      </c>
      <c r="C97" s="69" t="s">
        <v>1751</v>
      </c>
      <c r="D97" s="70" t="s">
        <v>1752</v>
      </c>
      <c r="E97" s="71" t="s">
        <v>1753</v>
      </c>
      <c r="F97" s="72" t="s">
        <v>1754</v>
      </c>
    </row>
    <row r="98" spans="1:6" ht="18" customHeight="1" x14ac:dyDescent="0.25">
      <c r="A98" s="67" t="s">
        <v>1755</v>
      </c>
      <c r="B98" s="68" t="s">
        <v>1433</v>
      </c>
      <c r="C98" s="69" t="s">
        <v>1756</v>
      </c>
      <c r="D98" s="70" t="s">
        <v>1757</v>
      </c>
      <c r="E98" s="71" t="s">
        <v>1758</v>
      </c>
      <c r="F98" s="72" t="s">
        <v>1759</v>
      </c>
    </row>
    <row r="99" spans="1:6" ht="18" customHeight="1" x14ac:dyDescent="0.25">
      <c r="A99" s="73" t="s">
        <v>1760</v>
      </c>
      <c r="B99" s="75" t="s">
        <v>1462</v>
      </c>
      <c r="C99" s="69" t="s">
        <v>1761</v>
      </c>
      <c r="D99" s="70" t="s">
        <v>1762</v>
      </c>
      <c r="E99" s="71" t="s">
        <v>1761</v>
      </c>
      <c r="F99" s="72" t="s">
        <v>1763</v>
      </c>
    </row>
    <row r="100" spans="1:6" ht="18" customHeight="1" x14ac:dyDescent="0.25">
      <c r="A100" s="67" t="s">
        <v>1764</v>
      </c>
      <c r="B100" s="74" t="s">
        <v>1455</v>
      </c>
      <c r="C100" s="69" t="s">
        <v>1761</v>
      </c>
      <c r="D100" s="70" t="s">
        <v>1765</v>
      </c>
      <c r="E100" s="71" t="s">
        <v>1761</v>
      </c>
      <c r="F100" s="72" t="s">
        <v>1766</v>
      </c>
    </row>
    <row r="101" spans="1:6" ht="18" customHeight="1" x14ac:dyDescent="0.25">
      <c r="A101" s="73" t="s">
        <v>1767</v>
      </c>
      <c r="B101" s="74" t="s">
        <v>1455</v>
      </c>
      <c r="C101" s="69" t="s">
        <v>1761</v>
      </c>
      <c r="D101" s="70" t="s">
        <v>1768</v>
      </c>
      <c r="E101" s="71" t="s">
        <v>1761</v>
      </c>
      <c r="F101" s="72" t="s">
        <v>1769</v>
      </c>
    </row>
    <row r="102" spans="1:6" ht="18" customHeight="1" x14ac:dyDescent="0.25">
      <c r="A102" s="67" t="s">
        <v>1770</v>
      </c>
      <c r="B102" s="74" t="s">
        <v>1455</v>
      </c>
      <c r="C102" s="69" t="s">
        <v>1761</v>
      </c>
      <c r="D102" s="70" t="s">
        <v>1771</v>
      </c>
      <c r="E102" s="71" t="s">
        <v>1761</v>
      </c>
      <c r="F102" s="72" t="s">
        <v>1772</v>
      </c>
    </row>
    <row r="103" spans="1:6" ht="18" customHeight="1" x14ac:dyDescent="0.25">
      <c r="A103" s="73" t="s">
        <v>1773</v>
      </c>
      <c r="B103" s="68" t="s">
        <v>1433</v>
      </c>
      <c r="C103" s="69" t="s">
        <v>1774</v>
      </c>
      <c r="D103" s="70" t="s">
        <v>1775</v>
      </c>
      <c r="E103" s="71" t="s">
        <v>1774</v>
      </c>
      <c r="F103" s="72" t="s">
        <v>1776</v>
      </c>
    </row>
    <row r="104" spans="1:6" ht="5.0999999999999996" customHeight="1" x14ac:dyDescent="0.25"/>
    <row r="105" spans="1:6" ht="15.95" customHeight="1" x14ac:dyDescent="0.25">
      <c r="A105" s="105" t="s">
        <v>1777</v>
      </c>
      <c r="B105" s="106"/>
      <c r="C105" s="106"/>
      <c r="D105" s="106"/>
      <c r="E105" s="106"/>
      <c r="F105" s="106"/>
    </row>
    <row r="106" spans="1:6" ht="18" customHeight="1" x14ac:dyDescent="0.25">
      <c r="A106" s="67" t="s">
        <v>1778</v>
      </c>
      <c r="B106" s="75" t="s">
        <v>1462</v>
      </c>
      <c r="C106" s="69" t="s">
        <v>1779</v>
      </c>
      <c r="D106" s="70" t="s">
        <v>1779</v>
      </c>
      <c r="E106" s="71" t="s">
        <v>1779</v>
      </c>
      <c r="F106" s="72" t="s">
        <v>1780</v>
      </c>
    </row>
    <row r="107" spans="1:6" ht="18" customHeight="1" x14ac:dyDescent="0.25">
      <c r="A107" s="73" t="s">
        <v>1781</v>
      </c>
      <c r="B107" s="75" t="s">
        <v>1462</v>
      </c>
      <c r="C107" s="69" t="s">
        <v>1782</v>
      </c>
      <c r="D107" s="70" t="s">
        <v>1782</v>
      </c>
      <c r="E107" s="71" t="s">
        <v>1782</v>
      </c>
      <c r="F107" s="72" t="s">
        <v>1783</v>
      </c>
    </row>
    <row r="108" spans="1:6" ht="18" customHeight="1" x14ac:dyDescent="0.25">
      <c r="A108" s="67" t="s">
        <v>1784</v>
      </c>
      <c r="B108" s="75" t="s">
        <v>1462</v>
      </c>
      <c r="C108" s="69" t="s">
        <v>1785</v>
      </c>
      <c r="D108" s="70" t="s">
        <v>1785</v>
      </c>
      <c r="E108" s="71" t="s">
        <v>1785</v>
      </c>
      <c r="F108" s="72" t="s">
        <v>1786</v>
      </c>
    </row>
    <row r="109" spans="1:6" ht="18" customHeight="1" x14ac:dyDescent="0.25">
      <c r="A109" s="73" t="s">
        <v>1787</v>
      </c>
      <c r="B109" s="75" t="s">
        <v>1462</v>
      </c>
      <c r="C109" s="69" t="s">
        <v>1788</v>
      </c>
      <c r="D109" s="70" t="s">
        <v>1788</v>
      </c>
      <c r="E109" s="71" t="s">
        <v>1788</v>
      </c>
      <c r="F109" s="72" t="s">
        <v>1789</v>
      </c>
    </row>
    <row r="110" spans="1:6" ht="18" customHeight="1" x14ac:dyDescent="0.25">
      <c r="A110" s="67" t="s">
        <v>1790</v>
      </c>
      <c r="B110" s="75" t="s">
        <v>1462</v>
      </c>
      <c r="C110" s="69" t="s">
        <v>1791</v>
      </c>
      <c r="D110" s="70" t="s">
        <v>1791</v>
      </c>
      <c r="E110" s="71" t="s">
        <v>1791</v>
      </c>
      <c r="F110" s="72" t="s">
        <v>1792</v>
      </c>
    </row>
    <row r="111" spans="1:6" ht="18" customHeight="1" x14ac:dyDescent="0.25">
      <c r="A111" s="73" t="s">
        <v>1793</v>
      </c>
      <c r="B111" s="75" t="s">
        <v>1462</v>
      </c>
      <c r="C111" s="69" t="s">
        <v>1794</v>
      </c>
      <c r="D111" s="70" t="s">
        <v>1795</v>
      </c>
      <c r="E111" s="71" t="s">
        <v>1796</v>
      </c>
      <c r="F111" s="72" t="e">
        <f>(currentDebt + PMT) / AvgMonthlyIncome</f>
        <v>#NAME?</v>
      </c>
    </row>
    <row r="112" spans="1:6" ht="18" customHeight="1" x14ac:dyDescent="0.25">
      <c r="A112" s="67" t="s">
        <v>1797</v>
      </c>
      <c r="B112" s="75" t="s">
        <v>1462</v>
      </c>
      <c r="C112" s="69" t="s">
        <v>1798</v>
      </c>
      <c r="D112" s="70" t="s">
        <v>1533</v>
      </c>
      <c r="E112" s="71" t="s">
        <v>1798</v>
      </c>
      <c r="F112" s="72" t="s">
        <v>1799</v>
      </c>
    </row>
    <row r="113" spans="1:6" ht="18" customHeight="1" x14ac:dyDescent="0.25">
      <c r="A113" s="73" t="s">
        <v>1800</v>
      </c>
      <c r="B113" s="74" t="s">
        <v>1455</v>
      </c>
      <c r="C113" s="69" t="s">
        <v>1801</v>
      </c>
      <c r="D113" s="70" t="s">
        <v>1802</v>
      </c>
      <c r="E113" s="71" t="s">
        <v>1803</v>
      </c>
      <c r="F113" s="72" t="s">
        <v>1804</v>
      </c>
    </row>
    <row r="114" spans="1:6" ht="18" customHeight="1" x14ac:dyDescent="0.25">
      <c r="A114" s="67" t="s">
        <v>1805</v>
      </c>
      <c r="B114" s="74" t="s">
        <v>1455</v>
      </c>
      <c r="C114" s="69" t="s">
        <v>1519</v>
      </c>
      <c r="D114" s="70" t="s">
        <v>1520</v>
      </c>
      <c r="E114" s="71" t="s">
        <v>1519</v>
      </c>
      <c r="F114" s="72" t="s">
        <v>1806</v>
      </c>
    </row>
    <row r="115" spans="1:6" ht="18" customHeight="1" x14ac:dyDescent="0.25">
      <c r="A115" s="73" t="s">
        <v>1807</v>
      </c>
      <c r="B115" s="68" t="s">
        <v>1433</v>
      </c>
      <c r="C115" s="69" t="s">
        <v>1808</v>
      </c>
      <c r="D115" s="70" t="s">
        <v>1587</v>
      </c>
      <c r="E115" s="71" t="s">
        <v>1809</v>
      </c>
      <c r="F115" s="72"/>
    </row>
    <row r="116" spans="1:6" ht="5.0999999999999996" customHeight="1" x14ac:dyDescent="0.25"/>
    <row r="117" spans="1:6" ht="15.95" customHeight="1" x14ac:dyDescent="0.25">
      <c r="A117" s="105" t="s">
        <v>1810</v>
      </c>
      <c r="B117" s="106"/>
      <c r="C117" s="106"/>
      <c r="D117" s="106"/>
      <c r="E117" s="106"/>
      <c r="F117" s="106"/>
    </row>
    <row r="118" spans="1:6" ht="18" customHeight="1" x14ac:dyDescent="0.25">
      <c r="A118" s="67" t="s">
        <v>1811</v>
      </c>
      <c r="B118" s="74" t="s">
        <v>1455</v>
      </c>
      <c r="C118" s="69" t="s">
        <v>1812</v>
      </c>
      <c r="D118" s="70" t="s">
        <v>1813</v>
      </c>
      <c r="E118" s="71" t="s">
        <v>1814</v>
      </c>
      <c r="F118" s="72" t="s">
        <v>1815</v>
      </c>
    </row>
    <row r="119" spans="1:6" ht="18" customHeight="1" x14ac:dyDescent="0.25">
      <c r="A119" s="73" t="s">
        <v>1816</v>
      </c>
      <c r="B119" s="74" t="s">
        <v>1455</v>
      </c>
      <c r="C119" s="69" t="s">
        <v>1817</v>
      </c>
      <c r="D119" s="70" t="s">
        <v>1818</v>
      </c>
      <c r="E119" s="71" t="s">
        <v>1819</v>
      </c>
      <c r="F119" s="72" t="s">
        <v>1820</v>
      </c>
    </row>
    <row r="120" spans="1:6" ht="18" customHeight="1" x14ac:dyDescent="0.25">
      <c r="A120" s="67" t="s">
        <v>1676</v>
      </c>
      <c r="B120" s="74" t="s">
        <v>1455</v>
      </c>
      <c r="C120" s="69" t="s">
        <v>1666</v>
      </c>
      <c r="D120" s="70" t="s">
        <v>1667</v>
      </c>
      <c r="E120" s="71" t="s">
        <v>1668</v>
      </c>
      <c r="F120" s="72" t="s">
        <v>1821</v>
      </c>
    </row>
    <row r="121" spans="1:6" ht="18" customHeight="1" x14ac:dyDescent="0.25">
      <c r="A121" s="73" t="s">
        <v>1822</v>
      </c>
      <c r="B121" s="74" t="s">
        <v>1455</v>
      </c>
      <c r="C121" s="69" t="s">
        <v>1823</v>
      </c>
      <c r="D121" s="70" t="s">
        <v>1824</v>
      </c>
      <c r="E121" s="71" t="s">
        <v>1825</v>
      </c>
      <c r="F121" s="72" t="s">
        <v>1826</v>
      </c>
    </row>
    <row r="122" spans="1:6" ht="18" customHeight="1" x14ac:dyDescent="0.25">
      <c r="A122" s="67" t="s">
        <v>1827</v>
      </c>
      <c r="B122" s="74" t="s">
        <v>1455</v>
      </c>
      <c r="C122" s="69" t="s">
        <v>1577</v>
      </c>
      <c r="D122" s="70" t="s">
        <v>1578</v>
      </c>
      <c r="E122" s="71" t="s">
        <v>1579</v>
      </c>
      <c r="F122" s="72" t="e">
        <f>Total Income / Months</f>
        <v>#NAME?</v>
      </c>
    </row>
    <row r="123" spans="1:6" ht="18" customHeight="1" x14ac:dyDescent="0.25">
      <c r="A123" s="73" t="s">
        <v>1828</v>
      </c>
      <c r="B123" s="74" t="s">
        <v>1455</v>
      </c>
      <c r="C123" s="69" t="s">
        <v>1630</v>
      </c>
      <c r="D123" s="70" t="s">
        <v>1829</v>
      </c>
      <c r="E123" s="71" t="s">
        <v>1830</v>
      </c>
      <c r="F123" s="72" t="e">
        <f>Total Expenses / Months</f>
        <v>#NAME?</v>
      </c>
    </row>
    <row r="124" spans="1:6" ht="18" customHeight="1" x14ac:dyDescent="0.25">
      <c r="A124" s="67" t="s">
        <v>1831</v>
      </c>
      <c r="B124" s="74" t="s">
        <v>1455</v>
      </c>
      <c r="C124" s="69" t="s">
        <v>1832</v>
      </c>
      <c r="D124" s="70" t="s">
        <v>1833</v>
      </c>
      <c r="E124" s="71" t="s">
        <v>1834</v>
      </c>
      <c r="F124" s="72" t="e">
        <f>Total surplus / Months (matches JSON averageMonthlySurplus approx)</f>
        <v>#NAME?</v>
      </c>
    </row>
    <row r="125" spans="1:6" ht="18" customHeight="1" x14ac:dyDescent="0.25">
      <c r="A125" s="73" t="s">
        <v>1835</v>
      </c>
      <c r="B125" s="74" t="s">
        <v>1455</v>
      </c>
      <c r="C125" s="69" t="s">
        <v>1605</v>
      </c>
      <c r="D125" s="70" t="s">
        <v>1605</v>
      </c>
      <c r="E125" s="71" t="s">
        <v>1836</v>
      </c>
      <c r="F125" s="72" t="s">
        <v>1837</v>
      </c>
    </row>
    <row r="126" spans="1:6" ht="5.0999999999999996" customHeight="1" x14ac:dyDescent="0.25"/>
    <row r="127" spans="1:6" ht="15.95" customHeight="1" x14ac:dyDescent="0.25">
      <c r="A127" s="105" t="s">
        <v>1838</v>
      </c>
      <c r="B127" s="106"/>
      <c r="C127" s="106"/>
      <c r="D127" s="106"/>
      <c r="E127" s="106"/>
      <c r="F127" s="106"/>
    </row>
    <row r="128" spans="1:6" ht="18" customHeight="1" x14ac:dyDescent="0.25">
      <c r="A128" s="77" t="s">
        <v>1839</v>
      </c>
      <c r="B128" s="77" t="s">
        <v>1423</v>
      </c>
      <c r="C128" s="77" t="s">
        <v>15</v>
      </c>
      <c r="D128" s="77" t="s">
        <v>622</v>
      </c>
      <c r="E128" s="77" t="s">
        <v>845</v>
      </c>
      <c r="F128" s="77" t="s">
        <v>1840</v>
      </c>
    </row>
    <row r="129" spans="1:6" ht="18" customHeight="1" x14ac:dyDescent="0.25">
      <c r="A129" s="73" t="s">
        <v>1841</v>
      </c>
      <c r="B129" s="78" t="s">
        <v>1842</v>
      </c>
      <c r="C129" s="69" t="s">
        <v>1843</v>
      </c>
      <c r="D129" s="70" t="s">
        <v>1843</v>
      </c>
      <c r="E129" s="71" t="s">
        <v>1843</v>
      </c>
      <c r="F129" s="72" t="s">
        <v>1844</v>
      </c>
    </row>
    <row r="130" spans="1:6" ht="18" customHeight="1" x14ac:dyDescent="0.25">
      <c r="A130" s="67" t="s">
        <v>1845</v>
      </c>
      <c r="B130" s="78" t="s">
        <v>1842</v>
      </c>
      <c r="C130" s="69" t="s">
        <v>1846</v>
      </c>
      <c r="D130" s="70" t="s">
        <v>1843</v>
      </c>
      <c r="E130" s="71" t="s">
        <v>1847</v>
      </c>
      <c r="F130" s="72" t="s">
        <v>1848</v>
      </c>
    </row>
    <row r="131" spans="1:6" ht="18" customHeight="1" x14ac:dyDescent="0.25">
      <c r="A131" s="73" t="s">
        <v>1849</v>
      </c>
      <c r="B131" s="78" t="s">
        <v>1842</v>
      </c>
      <c r="C131" s="69" t="s">
        <v>1847</v>
      </c>
      <c r="D131" s="70" t="s">
        <v>1847</v>
      </c>
      <c r="E131" s="71" t="s">
        <v>1850</v>
      </c>
      <c r="F131" s="72" t="s">
        <v>1851</v>
      </c>
    </row>
    <row r="132" spans="1:6" ht="18" customHeight="1" x14ac:dyDescent="0.25">
      <c r="A132" s="67" t="s">
        <v>1852</v>
      </c>
      <c r="B132" s="78" t="s">
        <v>1842</v>
      </c>
      <c r="C132" s="69" t="s">
        <v>1853</v>
      </c>
      <c r="D132" s="70" t="s">
        <v>1846</v>
      </c>
      <c r="E132" s="71" t="s">
        <v>1847</v>
      </c>
      <c r="F132" s="72" t="s">
        <v>1854</v>
      </c>
    </row>
    <row r="133" spans="1:6" ht="18" customHeight="1" x14ac:dyDescent="0.25">
      <c r="A133" s="73" t="s">
        <v>1855</v>
      </c>
      <c r="B133" s="78" t="s">
        <v>1842</v>
      </c>
      <c r="C133" s="69" t="s">
        <v>1856</v>
      </c>
      <c r="D133" s="70" t="s">
        <v>1857</v>
      </c>
      <c r="E133" s="71" t="s">
        <v>1847</v>
      </c>
      <c r="F133" s="72" t="s">
        <v>1858</v>
      </c>
    </row>
    <row r="134" spans="1:6" ht="18" customHeight="1" x14ac:dyDescent="0.25">
      <c r="A134" s="67" t="s">
        <v>1859</v>
      </c>
      <c r="B134" s="78" t="s">
        <v>1842</v>
      </c>
      <c r="C134" s="69" t="s">
        <v>1853</v>
      </c>
      <c r="D134" s="70" t="s">
        <v>1846</v>
      </c>
      <c r="E134" s="71" t="s">
        <v>1847</v>
      </c>
      <c r="F134" s="72" t="s">
        <v>1860</v>
      </c>
    </row>
    <row r="135" spans="1:6" ht="18" customHeight="1" x14ac:dyDescent="0.25">
      <c r="A135" s="73" t="s">
        <v>1861</v>
      </c>
      <c r="B135" s="78" t="s">
        <v>1842</v>
      </c>
      <c r="C135" s="69" t="s">
        <v>1862</v>
      </c>
      <c r="D135" s="70" t="s">
        <v>1863</v>
      </c>
      <c r="E135" s="71" t="s">
        <v>1862</v>
      </c>
      <c r="F135" s="72" t="s">
        <v>1864</v>
      </c>
    </row>
    <row r="136" spans="1:6" ht="18" customHeight="1" x14ac:dyDescent="0.25">
      <c r="A136" s="67" t="s">
        <v>1570</v>
      </c>
      <c r="B136" s="75" t="s">
        <v>1462</v>
      </c>
      <c r="C136" s="69" t="s">
        <v>1865</v>
      </c>
      <c r="D136" s="70" t="s">
        <v>1866</v>
      </c>
      <c r="E136" s="71" t="s">
        <v>1867</v>
      </c>
      <c r="F136" s="72" t="s">
        <v>1868</v>
      </c>
    </row>
    <row r="137" spans="1:6" ht="18" customHeight="1" x14ac:dyDescent="0.25">
      <c r="A137" s="73" t="s">
        <v>1721</v>
      </c>
      <c r="B137" s="75" t="s">
        <v>1462</v>
      </c>
      <c r="C137" s="69" t="s">
        <v>1869</v>
      </c>
      <c r="D137" s="70" t="s">
        <v>1870</v>
      </c>
      <c r="E137" s="71" t="s">
        <v>1871</v>
      </c>
      <c r="F137" s="72" t="s">
        <v>1872</v>
      </c>
    </row>
    <row r="138" spans="1:6" ht="18" customHeight="1" x14ac:dyDescent="0.25">
      <c r="A138" s="67" t="s">
        <v>1706</v>
      </c>
      <c r="B138" s="75" t="s">
        <v>1462</v>
      </c>
      <c r="C138" s="69" t="s">
        <v>1873</v>
      </c>
      <c r="D138" s="70" t="s">
        <v>1874</v>
      </c>
      <c r="E138" s="71" t="s">
        <v>1875</v>
      </c>
      <c r="F138" s="72" t="s">
        <v>1876</v>
      </c>
    </row>
    <row r="139" spans="1:6" ht="18" customHeight="1" x14ac:dyDescent="0.25">
      <c r="A139" s="73" t="s">
        <v>1698</v>
      </c>
      <c r="B139" s="75" t="s">
        <v>1462</v>
      </c>
      <c r="C139" s="69" t="s">
        <v>1877</v>
      </c>
      <c r="D139" s="70" t="s">
        <v>1878</v>
      </c>
      <c r="E139" s="71" t="s">
        <v>1879</v>
      </c>
      <c r="F139" s="72" t="s">
        <v>1880</v>
      </c>
    </row>
    <row r="140" spans="1:6" ht="18" customHeight="1" x14ac:dyDescent="0.25">
      <c r="A140" s="67" t="s">
        <v>1881</v>
      </c>
      <c r="B140" s="75" t="s">
        <v>1462</v>
      </c>
      <c r="C140" s="69" t="s">
        <v>1882</v>
      </c>
      <c r="D140" s="70" t="s">
        <v>1883</v>
      </c>
      <c r="E140" s="71" t="s">
        <v>1884</v>
      </c>
      <c r="F140" s="72" t="s">
        <v>1885</v>
      </c>
    </row>
    <row r="141" spans="1:6" ht="18" customHeight="1" x14ac:dyDescent="0.25">
      <c r="A141" s="73" t="s">
        <v>1710</v>
      </c>
      <c r="B141" s="75" t="s">
        <v>1462</v>
      </c>
      <c r="C141" s="69" t="s">
        <v>1886</v>
      </c>
      <c r="D141" s="70" t="s">
        <v>1887</v>
      </c>
      <c r="E141" s="71" t="s">
        <v>1888</v>
      </c>
      <c r="F141" s="72" t="s">
        <v>1889</v>
      </c>
    </row>
    <row r="142" spans="1:6" ht="18" customHeight="1" x14ac:dyDescent="0.25">
      <c r="A142" s="67" t="s">
        <v>1714</v>
      </c>
      <c r="B142" s="75" t="s">
        <v>1462</v>
      </c>
      <c r="C142" s="69" t="s">
        <v>1890</v>
      </c>
      <c r="D142" s="70" t="s">
        <v>1890</v>
      </c>
      <c r="E142" s="71" t="s">
        <v>1890</v>
      </c>
      <c r="F142" s="72" t="s">
        <v>1891</v>
      </c>
    </row>
    <row r="143" spans="1:6" ht="18" customHeight="1" x14ac:dyDescent="0.25">
      <c r="A143" s="73" t="s">
        <v>1716</v>
      </c>
      <c r="B143" s="75" t="s">
        <v>1462</v>
      </c>
      <c r="C143" s="69" t="s">
        <v>1892</v>
      </c>
      <c r="D143" s="70" t="s">
        <v>1892</v>
      </c>
      <c r="E143" s="71" t="s">
        <v>1892</v>
      </c>
      <c r="F143" s="72" t="s">
        <v>1717</v>
      </c>
    </row>
    <row r="144" spans="1:6" ht="18" customHeight="1" x14ac:dyDescent="0.25">
      <c r="A144" s="67" t="s">
        <v>1719</v>
      </c>
      <c r="B144" s="75" t="s">
        <v>1462</v>
      </c>
      <c r="C144" s="69" t="s">
        <v>1893</v>
      </c>
      <c r="D144" s="70" t="s">
        <v>1893</v>
      </c>
      <c r="E144" s="71" t="s">
        <v>1893</v>
      </c>
      <c r="F144" s="72" t="s">
        <v>1894</v>
      </c>
    </row>
    <row r="145" ht="5.0999999999999996" customHeight="1" x14ac:dyDescent="0.25"/>
  </sheetData>
  <mergeCells count="13">
    <mergeCell ref="A2:F2"/>
    <mergeCell ref="A70:F70"/>
    <mergeCell ref="A45:F45"/>
    <mergeCell ref="A127:F127"/>
    <mergeCell ref="A1:F1"/>
    <mergeCell ref="A22:F22"/>
    <mergeCell ref="A79:F79"/>
    <mergeCell ref="A117:F117"/>
    <mergeCell ref="A105:F105"/>
    <mergeCell ref="A60:F60"/>
    <mergeCell ref="A6:F6"/>
    <mergeCell ref="A34:F34"/>
    <mergeCell ref="A91:F91"/>
  </mergeCells>
  <pageMargins left="0.75" right="0.75" top="1" bottom="1" header="0.5" footer="0.5"/>
  <pageSetup orientation="portrait" r:id="rId1"/>
  <headerFooter differentFirst="1">
    <oddHeader>&amp;LClassification: &amp;"Microsoft Sans Serif,Bold Italic"Confidential</oddHeader>
    <oddFooter>&amp;C_x000D_&amp;1#&amp;"Aptos"&amp;10&amp;K008000 Ejada Public Information</oddFooter>
    <firstHeader>&amp;LClassification: &amp;"Microsoft Sans Serif,Bold Italic"Confidential</firstHeader>
    <firstFooter>&amp;C_x000D_&amp;1#&amp;"Aptos"&amp;10&amp;K008000 Ejada Public Information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2"/>
  <sheetViews>
    <sheetView topLeftCell="A88" workbookViewId="0">
      <selection activeCell="D8" sqref="D8"/>
    </sheetView>
  </sheetViews>
  <sheetFormatPr defaultColWidth="8.5703125" defaultRowHeight="15" x14ac:dyDescent="0.25"/>
  <cols>
    <col min="1" max="1" width="34" customWidth="1"/>
    <col min="2" max="3" width="14" customWidth="1"/>
    <col min="4" max="4" width="50" customWidth="1"/>
    <col min="5" max="5" width="36" customWidth="1"/>
  </cols>
  <sheetData>
    <row r="1" spans="1:5" ht="15.75" x14ac:dyDescent="0.25">
      <c r="A1" s="111" t="s">
        <v>1895</v>
      </c>
      <c r="B1" s="112"/>
      <c r="C1" s="112"/>
      <c r="D1" s="112"/>
      <c r="E1" s="112"/>
    </row>
    <row r="2" spans="1:5" x14ac:dyDescent="0.25">
      <c r="A2" s="114" t="s">
        <v>1896</v>
      </c>
      <c r="B2" s="112"/>
      <c r="C2" s="112"/>
      <c r="D2" s="112"/>
      <c r="E2" s="112"/>
    </row>
    <row r="4" spans="1:5" x14ac:dyDescent="0.25">
      <c r="A4" s="113" t="s">
        <v>1897</v>
      </c>
      <c r="B4" s="112"/>
      <c r="C4" s="112"/>
      <c r="D4" s="112"/>
      <c r="E4" s="112"/>
    </row>
    <row r="5" spans="1:5" ht="22.5" x14ac:dyDescent="0.25">
      <c r="A5" s="26" t="s">
        <v>1536</v>
      </c>
      <c r="B5" s="26" t="s">
        <v>1898</v>
      </c>
      <c r="C5" s="26" t="s">
        <v>1899</v>
      </c>
      <c r="D5" s="26" t="s">
        <v>1900</v>
      </c>
      <c r="E5" s="26" t="s">
        <v>1427</v>
      </c>
    </row>
    <row r="6" spans="1:5" ht="36" x14ac:dyDescent="0.25">
      <c r="A6" s="27" t="s">
        <v>1901</v>
      </c>
      <c r="B6" s="28" t="s">
        <v>1902</v>
      </c>
      <c r="C6" s="29" t="s">
        <v>1903</v>
      </c>
      <c r="D6" s="30">
        <v>150</v>
      </c>
      <c r="E6" s="31" t="s">
        <v>1904</v>
      </c>
    </row>
    <row r="7" spans="1:5" ht="48" x14ac:dyDescent="0.25">
      <c r="A7" s="32" t="s">
        <v>1905</v>
      </c>
      <c r="B7" s="33" t="s">
        <v>1906</v>
      </c>
      <c r="C7" s="34" t="s">
        <v>1907</v>
      </c>
      <c r="D7" s="30">
        <v>150</v>
      </c>
      <c r="E7" s="35" t="s">
        <v>1908</v>
      </c>
    </row>
    <row r="8" spans="1:5" ht="36" x14ac:dyDescent="0.25">
      <c r="A8" s="27" t="s">
        <v>1909</v>
      </c>
      <c r="B8" s="28" t="s">
        <v>1910</v>
      </c>
      <c r="C8" s="29" t="s">
        <v>1911</v>
      </c>
      <c r="D8" s="30">
        <v>150</v>
      </c>
      <c r="E8" s="31" t="s">
        <v>1912</v>
      </c>
    </row>
    <row r="9" spans="1:5" ht="24" x14ac:dyDescent="0.25">
      <c r="A9" s="32" t="s">
        <v>1913</v>
      </c>
      <c r="B9" s="33" t="s">
        <v>1698</v>
      </c>
      <c r="C9" s="34" t="s">
        <v>1914</v>
      </c>
      <c r="D9" s="30">
        <v>150</v>
      </c>
      <c r="E9" s="35" t="s">
        <v>1915</v>
      </c>
    </row>
    <row r="10" spans="1:5" ht="36" x14ac:dyDescent="0.25">
      <c r="A10" s="27" t="s">
        <v>1916</v>
      </c>
      <c r="B10" s="28" t="s">
        <v>1917</v>
      </c>
      <c r="C10" s="29" t="s">
        <v>1918</v>
      </c>
      <c r="D10" s="30">
        <v>150</v>
      </c>
      <c r="E10" s="31" t="s">
        <v>1919</v>
      </c>
    </row>
    <row r="11" spans="1:5" ht="36" x14ac:dyDescent="0.25">
      <c r="A11" s="32" t="s">
        <v>1920</v>
      </c>
      <c r="B11" s="33" t="s">
        <v>1921</v>
      </c>
      <c r="C11" s="34" t="s">
        <v>1922</v>
      </c>
      <c r="D11" s="30">
        <v>150</v>
      </c>
      <c r="E11" s="35" t="s">
        <v>1923</v>
      </c>
    </row>
    <row r="12" spans="1:5" ht="36" x14ac:dyDescent="0.25">
      <c r="A12" s="27" t="s">
        <v>1924</v>
      </c>
      <c r="B12" s="28" t="s">
        <v>1925</v>
      </c>
      <c r="C12" s="29" t="s">
        <v>1926</v>
      </c>
      <c r="D12" s="30">
        <v>100</v>
      </c>
      <c r="E12" s="31" t="s">
        <v>1927</v>
      </c>
    </row>
    <row r="13" spans="1:5" ht="15.75" x14ac:dyDescent="0.25">
      <c r="A13" s="36" t="s">
        <v>1928</v>
      </c>
      <c r="B13" s="37"/>
      <c r="C13" s="38" t="s">
        <v>1929</v>
      </c>
      <c r="D13" s="39">
        <f>SUM(D6:D12)</f>
        <v>1000</v>
      </c>
      <c r="E13" s="40" t="s">
        <v>1930</v>
      </c>
    </row>
    <row r="15" spans="1:5" x14ac:dyDescent="0.25">
      <c r="A15" s="113" t="s">
        <v>1931</v>
      </c>
      <c r="B15" s="112"/>
      <c r="C15" s="112"/>
      <c r="D15" s="112"/>
      <c r="E15" s="112"/>
    </row>
    <row r="16" spans="1:5" x14ac:dyDescent="0.25">
      <c r="A16" s="114" t="s">
        <v>1932</v>
      </c>
      <c r="B16" s="112"/>
      <c r="C16" s="112"/>
      <c r="D16" s="112"/>
      <c r="E16" s="112"/>
    </row>
    <row r="17" spans="1:5" ht="33.75" x14ac:dyDescent="0.25">
      <c r="A17" s="26" t="s">
        <v>1898</v>
      </c>
      <c r="B17" s="26" t="s">
        <v>1933</v>
      </c>
      <c r="C17" s="26" t="s">
        <v>1934</v>
      </c>
      <c r="D17" s="26" t="s">
        <v>1935</v>
      </c>
      <c r="E17" s="26" t="s">
        <v>1936</v>
      </c>
    </row>
    <row r="18" spans="1:5" x14ac:dyDescent="0.25">
      <c r="A18" s="41" t="s">
        <v>1937</v>
      </c>
      <c r="B18" s="42">
        <v>0</v>
      </c>
      <c r="C18" s="43">
        <v>17</v>
      </c>
      <c r="D18" s="30">
        <v>0</v>
      </c>
      <c r="E18" s="44" t="s">
        <v>1938</v>
      </c>
    </row>
    <row r="19" spans="1:5" x14ac:dyDescent="0.25">
      <c r="A19" s="45" t="s">
        <v>1939</v>
      </c>
      <c r="B19" s="42">
        <v>18</v>
      </c>
      <c r="C19" s="46">
        <v>25</v>
      </c>
      <c r="D19" s="30">
        <v>30</v>
      </c>
      <c r="E19" s="47"/>
    </row>
    <row r="20" spans="1:5" x14ac:dyDescent="0.25">
      <c r="A20" s="41" t="s">
        <v>1940</v>
      </c>
      <c r="B20" s="42">
        <v>26</v>
      </c>
      <c r="C20" s="43">
        <v>35</v>
      </c>
      <c r="D20" s="30">
        <v>80</v>
      </c>
      <c r="E20" s="44"/>
    </row>
    <row r="21" spans="1:5" x14ac:dyDescent="0.25">
      <c r="A21" s="45" t="s">
        <v>1941</v>
      </c>
      <c r="B21" s="42">
        <v>36</v>
      </c>
      <c r="C21" s="46">
        <v>50</v>
      </c>
      <c r="D21" s="30">
        <v>150</v>
      </c>
      <c r="E21" s="48" t="s">
        <v>1942</v>
      </c>
    </row>
    <row r="22" spans="1:5" x14ac:dyDescent="0.25">
      <c r="A22" s="41" t="s">
        <v>1943</v>
      </c>
      <c r="B22" s="42">
        <v>51</v>
      </c>
      <c r="C22" s="43">
        <v>60</v>
      </c>
      <c r="D22" s="30">
        <v>100</v>
      </c>
      <c r="E22" s="44"/>
    </row>
    <row r="23" spans="1:5" x14ac:dyDescent="0.25">
      <c r="A23" s="45" t="s">
        <v>1944</v>
      </c>
      <c r="B23" s="42">
        <v>61</v>
      </c>
      <c r="C23" s="46">
        <v>120</v>
      </c>
      <c r="D23" s="30">
        <v>0</v>
      </c>
      <c r="E23" s="47" t="s">
        <v>1938</v>
      </c>
    </row>
    <row r="25" spans="1:5" x14ac:dyDescent="0.25">
      <c r="A25" s="113" t="s">
        <v>1945</v>
      </c>
      <c r="B25" s="112"/>
      <c r="C25" s="112"/>
      <c r="D25" s="112"/>
      <c r="E25" s="112"/>
    </row>
    <row r="26" spans="1:5" ht="33.75" x14ac:dyDescent="0.25">
      <c r="A26" s="26" t="s">
        <v>1898</v>
      </c>
      <c r="B26" s="26" t="s">
        <v>1933</v>
      </c>
      <c r="C26" s="26" t="s">
        <v>1934</v>
      </c>
      <c r="D26" s="26" t="s">
        <v>1935</v>
      </c>
      <c r="E26" s="26" t="s">
        <v>1936</v>
      </c>
    </row>
    <row r="27" spans="1:5" x14ac:dyDescent="0.25">
      <c r="A27" s="41" t="s">
        <v>1946</v>
      </c>
      <c r="B27" s="42">
        <v>0</v>
      </c>
      <c r="C27" s="43">
        <v>5000</v>
      </c>
      <c r="D27" s="30">
        <v>0</v>
      </c>
      <c r="E27" s="44" t="s">
        <v>1938</v>
      </c>
    </row>
    <row r="28" spans="1:5" x14ac:dyDescent="0.25">
      <c r="A28" s="45" t="s">
        <v>1947</v>
      </c>
      <c r="B28" s="42">
        <v>5001</v>
      </c>
      <c r="C28" s="46">
        <v>10000</v>
      </c>
      <c r="D28" s="30">
        <v>50</v>
      </c>
      <c r="E28" s="47"/>
    </row>
    <row r="29" spans="1:5" x14ac:dyDescent="0.25">
      <c r="A29" s="41" t="s">
        <v>1948</v>
      </c>
      <c r="B29" s="42">
        <v>10001</v>
      </c>
      <c r="C29" s="43">
        <v>15000</v>
      </c>
      <c r="D29" s="30">
        <v>100</v>
      </c>
      <c r="E29" s="44"/>
    </row>
    <row r="30" spans="1:5" x14ac:dyDescent="0.25">
      <c r="A30" s="45" t="s">
        <v>1949</v>
      </c>
      <c r="B30" s="42">
        <v>15001</v>
      </c>
      <c r="C30" s="46">
        <v>999999</v>
      </c>
      <c r="D30" s="30">
        <v>150</v>
      </c>
      <c r="E30" s="48" t="s">
        <v>1942</v>
      </c>
    </row>
    <row r="32" spans="1:5" x14ac:dyDescent="0.25">
      <c r="A32" s="113" t="s">
        <v>1950</v>
      </c>
      <c r="B32" s="112"/>
      <c r="C32" s="112"/>
      <c r="D32" s="112"/>
      <c r="E32" s="112"/>
    </row>
    <row r="33" spans="1:5" ht="33.75" x14ac:dyDescent="0.25">
      <c r="A33" s="26" t="s">
        <v>1898</v>
      </c>
      <c r="B33" s="26" t="s">
        <v>1933</v>
      </c>
      <c r="C33" s="26" t="s">
        <v>1934</v>
      </c>
      <c r="D33" s="26" t="s">
        <v>1935</v>
      </c>
      <c r="E33" s="26" t="s">
        <v>1936</v>
      </c>
    </row>
    <row r="34" spans="1:5" x14ac:dyDescent="0.25">
      <c r="A34" s="41" t="s">
        <v>1951</v>
      </c>
      <c r="B34" s="42">
        <v>0</v>
      </c>
      <c r="C34" s="43">
        <v>1500</v>
      </c>
      <c r="D34" s="30">
        <v>150</v>
      </c>
      <c r="E34" s="49" t="s">
        <v>1942</v>
      </c>
    </row>
    <row r="35" spans="1:5" x14ac:dyDescent="0.25">
      <c r="A35" s="45" t="s">
        <v>1952</v>
      </c>
      <c r="B35" s="42">
        <v>1501</v>
      </c>
      <c r="C35" s="46">
        <v>3000</v>
      </c>
      <c r="D35" s="30">
        <v>130</v>
      </c>
      <c r="E35" s="47"/>
    </row>
    <row r="36" spans="1:5" x14ac:dyDescent="0.25">
      <c r="A36" s="41" t="s">
        <v>1953</v>
      </c>
      <c r="B36" s="42">
        <v>3001</v>
      </c>
      <c r="C36" s="43">
        <v>4500</v>
      </c>
      <c r="D36" s="30">
        <v>110</v>
      </c>
      <c r="E36" s="44"/>
    </row>
    <row r="37" spans="1:5" x14ac:dyDescent="0.25">
      <c r="A37" s="45" t="s">
        <v>1954</v>
      </c>
      <c r="B37" s="42">
        <v>4501</v>
      </c>
      <c r="C37" s="46">
        <v>9000</v>
      </c>
      <c r="D37" s="30">
        <v>80</v>
      </c>
      <c r="E37" s="47"/>
    </row>
    <row r="38" spans="1:5" x14ac:dyDescent="0.25">
      <c r="A38" s="41" t="s">
        <v>1955</v>
      </c>
      <c r="B38" s="42">
        <v>9001</v>
      </c>
      <c r="C38" s="43">
        <v>15000</v>
      </c>
      <c r="D38" s="30">
        <v>40</v>
      </c>
      <c r="E38" s="44"/>
    </row>
    <row r="39" spans="1:5" x14ac:dyDescent="0.25">
      <c r="A39" s="45" t="s">
        <v>1956</v>
      </c>
      <c r="B39" s="42">
        <v>15001</v>
      </c>
      <c r="C39" s="46">
        <v>999999</v>
      </c>
      <c r="D39" s="30">
        <v>0</v>
      </c>
      <c r="E39" s="47" t="s">
        <v>1938</v>
      </c>
    </row>
    <row r="41" spans="1:5" x14ac:dyDescent="0.25">
      <c r="A41" s="113" t="s">
        <v>1957</v>
      </c>
      <c r="B41" s="112"/>
      <c r="C41" s="112"/>
      <c r="D41" s="112"/>
      <c r="E41" s="112"/>
    </row>
    <row r="42" spans="1:5" ht="33.75" x14ac:dyDescent="0.25">
      <c r="A42" s="26" t="s">
        <v>1898</v>
      </c>
      <c r="B42" s="26" t="s">
        <v>1933</v>
      </c>
      <c r="C42" s="26" t="s">
        <v>1934</v>
      </c>
      <c r="D42" s="26" t="s">
        <v>1935</v>
      </c>
      <c r="E42" s="26" t="s">
        <v>1936</v>
      </c>
    </row>
    <row r="43" spans="1:5" x14ac:dyDescent="0.25">
      <c r="A43" s="41" t="s">
        <v>1958</v>
      </c>
      <c r="B43" s="42">
        <v>-999</v>
      </c>
      <c r="C43" s="79">
        <v>0</v>
      </c>
      <c r="D43" s="30">
        <v>0</v>
      </c>
      <c r="E43" s="44" t="s">
        <v>1938</v>
      </c>
    </row>
    <row r="44" spans="1:5" x14ac:dyDescent="0.25">
      <c r="A44" s="45" t="s">
        <v>1959</v>
      </c>
      <c r="B44" s="80">
        <v>0.01</v>
      </c>
      <c r="C44" s="81">
        <v>0.1</v>
      </c>
      <c r="D44" s="30">
        <v>50</v>
      </c>
      <c r="E44" s="47"/>
    </row>
    <row r="45" spans="1:5" x14ac:dyDescent="0.25">
      <c r="A45" s="41" t="s">
        <v>1960</v>
      </c>
      <c r="B45" s="80">
        <v>0.11</v>
      </c>
      <c r="C45" s="79">
        <v>0.2</v>
      </c>
      <c r="D45" s="30">
        <v>100</v>
      </c>
      <c r="E45" s="44"/>
    </row>
    <row r="46" spans="1:5" x14ac:dyDescent="0.25">
      <c r="A46" s="45" t="s">
        <v>1961</v>
      </c>
      <c r="B46" s="80">
        <v>0.21</v>
      </c>
      <c r="C46" s="81">
        <v>0.3</v>
      </c>
      <c r="D46" s="30">
        <v>130</v>
      </c>
      <c r="E46" s="47"/>
    </row>
    <row r="47" spans="1:5" x14ac:dyDescent="0.25">
      <c r="A47" s="41" t="s">
        <v>1962</v>
      </c>
      <c r="B47" s="80">
        <v>0.31</v>
      </c>
      <c r="C47" s="79">
        <v>1</v>
      </c>
      <c r="D47" s="30">
        <v>150</v>
      </c>
      <c r="E47" s="49" t="s">
        <v>1942</v>
      </c>
    </row>
    <row r="49" spans="1:5" x14ac:dyDescent="0.25">
      <c r="A49" s="113" t="s">
        <v>1963</v>
      </c>
      <c r="B49" s="112"/>
      <c r="C49" s="112"/>
      <c r="D49" s="112"/>
      <c r="E49" s="112"/>
    </row>
    <row r="50" spans="1:5" ht="33.75" x14ac:dyDescent="0.25">
      <c r="A50" s="26" t="s">
        <v>1898</v>
      </c>
      <c r="B50" s="26" t="s">
        <v>1933</v>
      </c>
      <c r="C50" s="26" t="s">
        <v>1934</v>
      </c>
      <c r="D50" s="26" t="s">
        <v>1935</v>
      </c>
      <c r="E50" s="26" t="s">
        <v>1936</v>
      </c>
    </row>
    <row r="51" spans="1:5" x14ac:dyDescent="0.25">
      <c r="A51" s="41" t="s">
        <v>1964</v>
      </c>
      <c r="B51" s="42">
        <v>0</v>
      </c>
      <c r="C51" s="43">
        <v>5000</v>
      </c>
      <c r="D51" s="30">
        <v>30</v>
      </c>
      <c r="E51" s="44" t="s">
        <v>1938</v>
      </c>
    </row>
    <row r="52" spans="1:5" x14ac:dyDescent="0.25">
      <c r="A52" s="45" t="s">
        <v>1965</v>
      </c>
      <c r="B52" s="42">
        <v>5001</v>
      </c>
      <c r="C52" s="46">
        <v>15000</v>
      </c>
      <c r="D52" s="30">
        <v>90</v>
      </c>
      <c r="E52" s="47"/>
    </row>
    <row r="53" spans="1:5" x14ac:dyDescent="0.25">
      <c r="A53" s="41" t="s">
        <v>1966</v>
      </c>
      <c r="B53" s="42">
        <v>15001</v>
      </c>
      <c r="C53" s="43">
        <v>999999</v>
      </c>
      <c r="D53" s="30">
        <v>150</v>
      </c>
      <c r="E53" s="49" t="s">
        <v>1942</v>
      </c>
    </row>
    <row r="55" spans="1:5" x14ac:dyDescent="0.25">
      <c r="A55" s="113" t="s">
        <v>1967</v>
      </c>
      <c r="B55" s="112"/>
      <c r="C55" s="112"/>
      <c r="D55" s="112"/>
      <c r="E55" s="112"/>
    </row>
    <row r="56" spans="1:5" ht="33.75" x14ac:dyDescent="0.25">
      <c r="A56" s="26" t="s">
        <v>1898</v>
      </c>
      <c r="B56" s="26" t="s">
        <v>1933</v>
      </c>
      <c r="C56" s="26" t="s">
        <v>1934</v>
      </c>
      <c r="D56" s="26" t="s">
        <v>1935</v>
      </c>
      <c r="E56" s="26" t="s">
        <v>1936</v>
      </c>
    </row>
    <row r="57" spans="1:5" x14ac:dyDescent="0.25">
      <c r="A57" s="41" t="s">
        <v>1968</v>
      </c>
      <c r="B57" s="42">
        <v>-999999</v>
      </c>
      <c r="C57" s="43">
        <v>-1</v>
      </c>
      <c r="D57" s="30">
        <v>0</v>
      </c>
      <c r="E57" s="44" t="s">
        <v>1938</v>
      </c>
    </row>
    <row r="58" spans="1:5" x14ac:dyDescent="0.25">
      <c r="A58" s="45" t="s">
        <v>1969</v>
      </c>
      <c r="B58" s="42">
        <v>0</v>
      </c>
      <c r="C58" s="46">
        <v>1000</v>
      </c>
      <c r="D58" s="30">
        <v>50</v>
      </c>
      <c r="E58" s="47"/>
    </row>
    <row r="59" spans="1:5" x14ac:dyDescent="0.25">
      <c r="A59" s="41" t="s">
        <v>1970</v>
      </c>
      <c r="B59" s="42">
        <v>1001</v>
      </c>
      <c r="C59" s="43">
        <v>3000</v>
      </c>
      <c r="D59" s="30">
        <v>100</v>
      </c>
      <c r="E59" s="44"/>
    </row>
    <row r="60" spans="1:5" x14ac:dyDescent="0.25">
      <c r="A60" s="45" t="s">
        <v>1971</v>
      </c>
      <c r="B60" s="42">
        <v>3001</v>
      </c>
      <c r="C60" s="46">
        <v>999999</v>
      </c>
      <c r="D60" s="30">
        <v>150</v>
      </c>
      <c r="E60" s="48" t="s">
        <v>1942</v>
      </c>
    </row>
    <row r="62" spans="1:5" x14ac:dyDescent="0.25">
      <c r="A62" s="115" t="s">
        <v>1972</v>
      </c>
      <c r="B62" s="112"/>
      <c r="C62" s="112"/>
      <c r="D62" s="112"/>
      <c r="E62" s="112"/>
    </row>
    <row r="63" spans="1:5" ht="33.75" x14ac:dyDescent="0.25">
      <c r="A63" s="26" t="s">
        <v>1898</v>
      </c>
      <c r="B63" s="26" t="s">
        <v>1933</v>
      </c>
      <c r="C63" s="26" t="s">
        <v>1934</v>
      </c>
      <c r="D63" s="26" t="s">
        <v>1935</v>
      </c>
      <c r="E63" s="26" t="s">
        <v>1936</v>
      </c>
    </row>
    <row r="64" spans="1:5" x14ac:dyDescent="0.25">
      <c r="A64" s="41" t="s">
        <v>1973</v>
      </c>
      <c r="B64" s="80">
        <v>0</v>
      </c>
      <c r="C64" s="79">
        <v>0.1</v>
      </c>
      <c r="D64" s="30">
        <v>100</v>
      </c>
      <c r="E64" s="49" t="s">
        <v>1942</v>
      </c>
    </row>
    <row r="65" spans="1:5" x14ac:dyDescent="0.25">
      <c r="A65" s="45" t="s">
        <v>1974</v>
      </c>
      <c r="B65" s="80">
        <v>0.11</v>
      </c>
      <c r="C65" s="81">
        <v>0.25</v>
      </c>
      <c r="D65" s="30">
        <v>70</v>
      </c>
      <c r="E65" s="47"/>
    </row>
    <row r="66" spans="1:5" x14ac:dyDescent="0.25">
      <c r="A66" s="41" t="s">
        <v>1975</v>
      </c>
      <c r="B66" s="80">
        <v>0.26</v>
      </c>
      <c r="C66" s="79">
        <v>0.4</v>
      </c>
      <c r="D66" s="30">
        <v>40</v>
      </c>
      <c r="E66" s="44"/>
    </row>
    <row r="67" spans="1:5" x14ac:dyDescent="0.25">
      <c r="A67" s="45" t="s">
        <v>1976</v>
      </c>
      <c r="B67" s="80">
        <v>0.41</v>
      </c>
      <c r="C67" s="81">
        <v>0.6</v>
      </c>
      <c r="D67" s="30">
        <v>20</v>
      </c>
      <c r="E67" s="47"/>
    </row>
    <row r="68" spans="1:5" x14ac:dyDescent="0.25">
      <c r="A68" s="41" t="s">
        <v>1977</v>
      </c>
      <c r="B68" s="80">
        <v>0.61</v>
      </c>
      <c r="C68" s="79">
        <v>1</v>
      </c>
      <c r="D68" s="30">
        <v>0</v>
      </c>
      <c r="E68" s="44" t="s">
        <v>1938</v>
      </c>
    </row>
    <row r="70" spans="1:5" x14ac:dyDescent="0.25">
      <c r="A70" s="113" t="s">
        <v>1978</v>
      </c>
      <c r="B70" s="112"/>
      <c r="C70" s="112"/>
      <c r="D70" s="112"/>
      <c r="E70" s="112"/>
    </row>
    <row r="71" spans="1:5" x14ac:dyDescent="0.25">
      <c r="A71" s="26" t="s">
        <v>1979</v>
      </c>
      <c r="B71" s="26" t="s">
        <v>1980</v>
      </c>
      <c r="C71" s="26" t="s">
        <v>1981</v>
      </c>
      <c r="D71" s="26" t="s">
        <v>1898</v>
      </c>
      <c r="E71" s="26" t="s">
        <v>1982</v>
      </c>
    </row>
    <row r="72" spans="1:5" x14ac:dyDescent="0.25">
      <c r="A72" s="50">
        <v>0</v>
      </c>
      <c r="B72" s="51" t="s">
        <v>1983</v>
      </c>
      <c r="C72" s="41" t="s">
        <v>1984</v>
      </c>
      <c r="D72" s="29" t="s">
        <v>1985</v>
      </c>
      <c r="E72" s="52" t="s">
        <v>1986</v>
      </c>
    </row>
    <row r="73" spans="1:5" x14ac:dyDescent="0.25">
      <c r="A73" s="50">
        <v>100</v>
      </c>
      <c r="B73" s="53" t="s">
        <v>1987</v>
      </c>
      <c r="C73" s="45" t="s">
        <v>1988</v>
      </c>
      <c r="D73" s="34" t="s">
        <v>1989</v>
      </c>
      <c r="E73" s="54" t="s">
        <v>1990</v>
      </c>
    </row>
    <row r="74" spans="1:5" x14ac:dyDescent="0.25">
      <c r="A74" s="50">
        <v>200</v>
      </c>
      <c r="B74" s="51" t="s">
        <v>1991</v>
      </c>
      <c r="C74" s="41" t="s">
        <v>1992</v>
      </c>
      <c r="D74" s="29" t="s">
        <v>1993</v>
      </c>
      <c r="E74" s="52" t="s">
        <v>1994</v>
      </c>
    </row>
    <row r="75" spans="1:5" ht="24" x14ac:dyDescent="0.25">
      <c r="A75" s="50">
        <v>300</v>
      </c>
      <c r="B75" s="53" t="s">
        <v>1504</v>
      </c>
      <c r="C75" s="45" t="s">
        <v>1995</v>
      </c>
      <c r="D75" s="34" t="s">
        <v>1996</v>
      </c>
      <c r="E75" s="54" t="s">
        <v>1997</v>
      </c>
    </row>
    <row r="76" spans="1:5" x14ac:dyDescent="0.25">
      <c r="A76" s="50">
        <v>400</v>
      </c>
      <c r="B76" s="51" t="s">
        <v>1998</v>
      </c>
      <c r="C76" s="41" t="s">
        <v>1999</v>
      </c>
      <c r="D76" s="29" t="s">
        <v>2000</v>
      </c>
      <c r="E76" s="52" t="s">
        <v>2001</v>
      </c>
    </row>
    <row r="77" spans="1:5" x14ac:dyDescent="0.25">
      <c r="A77" s="50">
        <v>500</v>
      </c>
      <c r="B77" s="53" t="s">
        <v>1503</v>
      </c>
      <c r="C77" s="45" t="s">
        <v>2002</v>
      </c>
      <c r="D77" s="34" t="s">
        <v>2003</v>
      </c>
      <c r="E77" s="54" t="s">
        <v>2004</v>
      </c>
    </row>
    <row r="78" spans="1:5" x14ac:dyDescent="0.25">
      <c r="A78" s="50">
        <v>600</v>
      </c>
      <c r="B78" s="51" t="s">
        <v>2005</v>
      </c>
      <c r="C78" s="41" t="s">
        <v>2006</v>
      </c>
      <c r="D78" s="29" t="s">
        <v>2007</v>
      </c>
      <c r="E78" s="52" t="s">
        <v>2008</v>
      </c>
    </row>
    <row r="79" spans="1:5" x14ac:dyDescent="0.25">
      <c r="A79" s="50">
        <v>700</v>
      </c>
      <c r="B79" s="53" t="s">
        <v>1505</v>
      </c>
      <c r="C79" s="45" t="s">
        <v>1510</v>
      </c>
      <c r="D79" s="34" t="s">
        <v>2009</v>
      </c>
      <c r="E79" s="54" t="s">
        <v>2010</v>
      </c>
    </row>
    <row r="80" spans="1:5" x14ac:dyDescent="0.25">
      <c r="A80" s="50">
        <v>800</v>
      </c>
      <c r="B80" s="51" t="s">
        <v>2011</v>
      </c>
      <c r="C80" s="41" t="s">
        <v>2012</v>
      </c>
      <c r="D80" s="29" t="s">
        <v>2013</v>
      </c>
      <c r="E80" s="52" t="s">
        <v>2014</v>
      </c>
    </row>
    <row r="81" spans="1:5" x14ac:dyDescent="0.25">
      <c r="A81" s="50">
        <v>900</v>
      </c>
      <c r="B81" s="53" t="s">
        <v>2015</v>
      </c>
      <c r="C81" s="55" t="s">
        <v>2016</v>
      </c>
      <c r="D81" s="34" t="s">
        <v>2017</v>
      </c>
      <c r="E81" s="54" t="s">
        <v>2018</v>
      </c>
    </row>
    <row r="83" spans="1:5" x14ac:dyDescent="0.25">
      <c r="A83" s="114" t="s">
        <v>2019</v>
      </c>
      <c r="B83" s="112"/>
      <c r="C83" s="112"/>
      <c r="D83" s="112"/>
      <c r="E83" s="112"/>
    </row>
    <row r="84" spans="1:5" x14ac:dyDescent="0.25">
      <c r="A84" s="56" t="s">
        <v>2020</v>
      </c>
      <c r="B84" s="56" t="s">
        <v>1840</v>
      </c>
      <c r="C84" s="56" t="s">
        <v>2021</v>
      </c>
      <c r="D84" s="56"/>
      <c r="E84" s="56" t="s">
        <v>2022</v>
      </c>
    </row>
    <row r="85" spans="1:5" ht="48" x14ac:dyDescent="0.25">
      <c r="A85" s="28" t="s">
        <v>1721</v>
      </c>
      <c r="B85" s="27" t="s">
        <v>1872</v>
      </c>
      <c r="C85" s="29" t="s">
        <v>2023</v>
      </c>
      <c r="D85" s="41"/>
      <c r="E85" s="41"/>
    </row>
    <row r="86" spans="1:5" ht="36" x14ac:dyDescent="0.25">
      <c r="A86" s="33" t="s">
        <v>1706</v>
      </c>
      <c r="B86" s="32" t="s">
        <v>1876</v>
      </c>
      <c r="C86" s="34" t="s">
        <v>2024</v>
      </c>
      <c r="D86" s="45"/>
      <c r="E86" s="45"/>
    </row>
    <row r="87" spans="1:5" ht="60" x14ac:dyDescent="0.25">
      <c r="A87" s="28" t="s">
        <v>1698</v>
      </c>
      <c r="B87" s="27" t="s">
        <v>1880</v>
      </c>
      <c r="C87" s="29" t="s">
        <v>2025</v>
      </c>
      <c r="D87" s="41"/>
      <c r="E87" s="41"/>
    </row>
    <row r="88" spans="1:5" ht="36" x14ac:dyDescent="0.25">
      <c r="A88" s="33" t="s">
        <v>1881</v>
      </c>
      <c r="B88" s="32" t="s">
        <v>2026</v>
      </c>
      <c r="C88" s="34" t="s">
        <v>2027</v>
      </c>
      <c r="D88" s="45"/>
      <c r="E88" s="45"/>
    </row>
    <row r="89" spans="1:5" ht="60" x14ac:dyDescent="0.25">
      <c r="A89" s="28" t="s">
        <v>1710</v>
      </c>
      <c r="B89" s="27" t="s">
        <v>1889</v>
      </c>
      <c r="C89" s="29" t="s">
        <v>2028</v>
      </c>
      <c r="D89" s="41"/>
      <c r="E89" s="41"/>
    </row>
    <row r="90" spans="1:5" ht="72" x14ac:dyDescent="0.25">
      <c r="A90" s="33" t="s">
        <v>2029</v>
      </c>
      <c r="B90" s="32" t="s">
        <v>2030</v>
      </c>
      <c r="C90" s="34" t="s">
        <v>2031</v>
      </c>
      <c r="D90" s="45"/>
      <c r="E90" s="45"/>
    </row>
    <row r="91" spans="1:5" ht="48" x14ac:dyDescent="0.25">
      <c r="A91" s="28" t="s">
        <v>1716</v>
      </c>
      <c r="B91" s="27" t="s">
        <v>1717</v>
      </c>
      <c r="C91" s="29" t="s">
        <v>2032</v>
      </c>
      <c r="D91" s="41"/>
      <c r="E91" s="41"/>
    </row>
    <row r="92" spans="1:5" ht="72" x14ac:dyDescent="0.25">
      <c r="A92" s="33" t="s">
        <v>1719</v>
      </c>
      <c r="B92" s="32" t="s">
        <v>1894</v>
      </c>
      <c r="C92" s="34" t="s">
        <v>2033</v>
      </c>
      <c r="D92" s="45"/>
      <c r="E92" s="45"/>
    </row>
  </sheetData>
  <mergeCells count="13">
    <mergeCell ref="A1:E1"/>
    <mergeCell ref="A32:E32"/>
    <mergeCell ref="A70:E70"/>
    <mergeCell ref="A55:E55"/>
    <mergeCell ref="A83:E83"/>
    <mergeCell ref="A4:E4"/>
    <mergeCell ref="A62:E62"/>
    <mergeCell ref="A2:E2"/>
    <mergeCell ref="A16:E16"/>
    <mergeCell ref="A15:E15"/>
    <mergeCell ref="A25:E25"/>
    <mergeCell ref="A41:E41"/>
    <mergeCell ref="A49:E49"/>
  </mergeCells>
  <pageMargins left="0.7" right="0.7" top="0.75" bottom="0.75" header="0.3" footer="0.3"/>
  <pageSetup orientation="portrait" r:id="rId1"/>
  <headerFooter differentFirst="1">
    <oddHeader>&amp;LClassification: &amp;"Microsoft Sans Serif,Bold Italic"Confidential</oddHeader>
    <oddFooter>&amp;C_x000D_&amp;1#&amp;"Aptos"&amp;10&amp;K008000 Ejada Public Information</oddFooter>
    <firstHeader>&amp;LClassification: &amp;"Microsoft Sans Serif,Bold Italic"Confidential</firstHeader>
    <firstFooter>&amp;C_x000D_&amp;1#&amp;"Aptos"&amp;10&amp;K008000 Ejada Public Information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3EE2-BC81-4CB9-8E8C-40B40D511F0B}">
  <dimension ref="A1:L49"/>
  <sheetViews>
    <sheetView tabSelected="1" topLeftCell="A14" workbookViewId="0">
      <selection activeCell="L25" sqref="L25"/>
    </sheetView>
  </sheetViews>
  <sheetFormatPr defaultColWidth="8.7109375" defaultRowHeight="15" x14ac:dyDescent="0.25"/>
  <cols>
    <col min="1" max="1" width="26" customWidth="1"/>
    <col min="2" max="2" width="42" customWidth="1"/>
    <col min="3" max="8" width="16" customWidth="1"/>
    <col min="9" max="11" width="14" customWidth="1"/>
    <col min="12" max="12" width="52" customWidth="1"/>
  </cols>
  <sheetData>
    <row r="1" spans="1:12" ht="27.95" customHeight="1" x14ac:dyDescent="0.25">
      <c r="A1" s="108" t="s">
        <v>2035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2" ht="5.0999999999999996" customHeight="1" x14ac:dyDescent="0.25"/>
    <row r="3" spans="1:12" ht="27.95" customHeight="1" x14ac:dyDescent="0.25">
      <c r="A3" s="83" t="s">
        <v>2020</v>
      </c>
      <c r="B3" s="83" t="s">
        <v>2036</v>
      </c>
      <c r="C3" s="84" t="s">
        <v>2225</v>
      </c>
      <c r="D3" s="85" t="s">
        <v>2226</v>
      </c>
      <c r="E3" s="86" t="s">
        <v>2227</v>
      </c>
      <c r="F3" s="84" t="s">
        <v>2228</v>
      </c>
      <c r="G3" s="85" t="s">
        <v>2229</v>
      </c>
      <c r="H3" s="86" t="s">
        <v>2230</v>
      </c>
      <c r="I3" s="83" t="s">
        <v>2037</v>
      </c>
      <c r="J3" s="83" t="s">
        <v>2038</v>
      </c>
      <c r="K3" s="83" t="s">
        <v>2039</v>
      </c>
      <c r="L3" s="83" t="s">
        <v>2040</v>
      </c>
    </row>
    <row r="4" spans="1:12" ht="15.95" customHeight="1" x14ac:dyDescent="0.25">
      <c r="A4" s="87"/>
      <c r="B4" s="87"/>
      <c r="C4" s="88" t="s">
        <v>1685</v>
      </c>
      <c r="D4" s="89" t="s">
        <v>1686</v>
      </c>
      <c r="E4" s="90" t="s">
        <v>1687</v>
      </c>
      <c r="F4" s="88"/>
      <c r="G4" s="89"/>
      <c r="H4" s="90"/>
      <c r="I4" s="87"/>
      <c r="J4" s="87"/>
      <c r="K4" s="87"/>
      <c r="L4" s="87" t="s">
        <v>2041</v>
      </c>
    </row>
    <row r="5" spans="1:12" ht="18" customHeight="1" x14ac:dyDescent="0.25">
      <c r="A5" s="105" t="s">
        <v>2042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</row>
    <row r="6" spans="1:12" ht="44.1" customHeight="1" x14ac:dyDescent="0.25">
      <c r="A6" s="67" t="s">
        <v>2043</v>
      </c>
      <c r="B6" s="91" t="s">
        <v>2044</v>
      </c>
      <c r="C6" s="92" t="s">
        <v>1468</v>
      </c>
      <c r="D6" s="92" t="s">
        <v>2045</v>
      </c>
      <c r="E6" s="92" t="s">
        <v>1470</v>
      </c>
      <c r="F6" s="93" t="s">
        <v>1468</v>
      </c>
      <c r="G6" s="93" t="s">
        <v>1469</v>
      </c>
      <c r="H6" s="93" t="s">
        <v>1470</v>
      </c>
      <c r="I6" s="94" t="s">
        <v>2046</v>
      </c>
      <c r="J6" s="95" t="s">
        <v>2047</v>
      </c>
      <c r="K6" s="94" t="s">
        <v>2046</v>
      </c>
      <c r="L6" s="96" t="s">
        <v>2048</v>
      </c>
    </row>
    <row r="7" spans="1:12" ht="44.1" customHeight="1" x14ac:dyDescent="0.25">
      <c r="A7" s="73" t="s">
        <v>2049</v>
      </c>
      <c r="B7" s="91" t="s">
        <v>2050</v>
      </c>
      <c r="C7" s="97" t="s">
        <v>2051</v>
      </c>
      <c r="D7" s="97" t="s">
        <v>2051</v>
      </c>
      <c r="E7" s="97" t="s">
        <v>2051</v>
      </c>
      <c r="F7" s="93" t="s">
        <v>2052</v>
      </c>
      <c r="G7" s="93" t="s">
        <v>2052</v>
      </c>
      <c r="H7" s="93" t="s">
        <v>2052</v>
      </c>
      <c r="I7" s="94" t="s">
        <v>2046</v>
      </c>
      <c r="J7" s="94" t="s">
        <v>2046</v>
      </c>
      <c r="K7" s="94" t="s">
        <v>2046</v>
      </c>
      <c r="L7" s="98" t="s">
        <v>2053</v>
      </c>
    </row>
    <row r="8" spans="1:12" ht="5.0999999999999996" customHeight="1" x14ac:dyDescent="0.25"/>
    <row r="9" spans="1:12" ht="18" customHeight="1" x14ac:dyDescent="0.25">
      <c r="A9" s="105" t="s">
        <v>2054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</row>
    <row r="10" spans="1:12" ht="44.1" customHeight="1" x14ac:dyDescent="0.25">
      <c r="A10" s="67" t="s">
        <v>1576</v>
      </c>
      <c r="B10" s="91" t="e">
        <f>SUM(all credit transactions) / monthsOfData (active Months only)</f>
        <v>#NAME?</v>
      </c>
      <c r="C10" s="92" t="s">
        <v>2055</v>
      </c>
      <c r="D10" s="92" t="s">
        <v>2056</v>
      </c>
      <c r="E10" s="92" t="s">
        <v>2057</v>
      </c>
      <c r="F10" s="93" t="s">
        <v>2055</v>
      </c>
      <c r="G10" s="93" t="s">
        <v>2058</v>
      </c>
      <c r="H10" s="93" t="s">
        <v>2057</v>
      </c>
      <c r="I10" s="94" t="s">
        <v>2046</v>
      </c>
      <c r="J10" s="99" t="s">
        <v>2059</v>
      </c>
      <c r="K10" s="94" t="s">
        <v>2046</v>
      </c>
      <c r="L10" s="100" t="s">
        <v>2060</v>
      </c>
    </row>
    <row r="11" spans="1:12" ht="44.1" customHeight="1" x14ac:dyDescent="0.25">
      <c r="A11" s="73" t="s">
        <v>2061</v>
      </c>
      <c r="B11" s="91" t="s">
        <v>2062</v>
      </c>
      <c r="C11" s="97" t="s">
        <v>2063</v>
      </c>
      <c r="D11" s="97" t="s">
        <v>2064</v>
      </c>
      <c r="E11" s="97" t="s">
        <v>2065</v>
      </c>
      <c r="F11" s="93" t="s">
        <v>2063</v>
      </c>
      <c r="G11" s="93" t="s">
        <v>2064</v>
      </c>
      <c r="H11" s="93" t="s">
        <v>2065</v>
      </c>
      <c r="I11" s="94" t="s">
        <v>2046</v>
      </c>
      <c r="J11" s="94" t="s">
        <v>2046</v>
      </c>
      <c r="K11" s="94" t="s">
        <v>2046</v>
      </c>
      <c r="L11" s="98" t="s">
        <v>2066</v>
      </c>
    </row>
    <row r="12" spans="1:12" ht="44.1" customHeight="1" x14ac:dyDescent="0.25">
      <c r="A12" s="67" t="s">
        <v>2067</v>
      </c>
      <c r="B12" s="91"/>
      <c r="C12" s="92" t="s">
        <v>2068</v>
      </c>
      <c r="D12" s="92" t="s">
        <v>2069</v>
      </c>
      <c r="E12" s="92" t="s">
        <v>2070</v>
      </c>
      <c r="F12" s="93" t="s">
        <v>2071</v>
      </c>
      <c r="G12" s="93" t="s">
        <v>2072</v>
      </c>
      <c r="H12" s="93" t="s">
        <v>2073</v>
      </c>
      <c r="I12" s="94" t="s">
        <v>2046</v>
      </c>
      <c r="J12" s="94" t="s">
        <v>2046</v>
      </c>
      <c r="K12" s="94" t="s">
        <v>2046</v>
      </c>
      <c r="L12" s="98" t="s">
        <v>2074</v>
      </c>
    </row>
    <row r="13" spans="1:12" ht="44.1" customHeight="1" x14ac:dyDescent="0.25">
      <c r="A13" s="73" t="s">
        <v>2075</v>
      </c>
      <c r="B13" s="91" t="s">
        <v>2076</v>
      </c>
      <c r="C13" s="97" t="s">
        <v>2077</v>
      </c>
      <c r="D13" s="97" t="s">
        <v>2078</v>
      </c>
      <c r="E13" s="97" t="s">
        <v>2079</v>
      </c>
      <c r="F13" s="93" t="s">
        <v>2080</v>
      </c>
      <c r="G13" s="93" t="s">
        <v>2081</v>
      </c>
      <c r="H13" s="93" t="s">
        <v>2082</v>
      </c>
      <c r="I13" s="94" t="s">
        <v>2046</v>
      </c>
      <c r="J13" s="99" t="s">
        <v>2059</v>
      </c>
      <c r="K13" s="94" t="s">
        <v>2046</v>
      </c>
      <c r="L13" s="100" t="s">
        <v>2083</v>
      </c>
    </row>
    <row r="14" spans="1:12" ht="44.1" customHeight="1" x14ac:dyDescent="0.25">
      <c r="A14" s="67" t="s">
        <v>1613</v>
      </c>
      <c r="B14" s="91" t="s">
        <v>2084</v>
      </c>
      <c r="C14" s="92" t="s">
        <v>1468</v>
      </c>
      <c r="D14" s="92" t="s">
        <v>1478</v>
      </c>
      <c r="E14" s="92" t="s">
        <v>1470</v>
      </c>
      <c r="F14" s="93" t="s">
        <v>1468</v>
      </c>
      <c r="G14" s="93" t="s">
        <v>1478</v>
      </c>
      <c r="H14" s="93" t="s">
        <v>1470</v>
      </c>
      <c r="I14" s="94" t="s">
        <v>2046</v>
      </c>
      <c r="J14" s="94" t="s">
        <v>2046</v>
      </c>
      <c r="K14" s="94" t="s">
        <v>2046</v>
      </c>
      <c r="L14" s="98" t="s">
        <v>2085</v>
      </c>
    </row>
    <row r="15" spans="1:12" ht="44.1" customHeight="1" x14ac:dyDescent="0.25">
      <c r="A15" s="73" t="s">
        <v>1615</v>
      </c>
      <c r="B15" s="91" t="s">
        <v>2086</v>
      </c>
      <c r="C15" s="97" t="s">
        <v>2087</v>
      </c>
      <c r="D15" s="97" t="s">
        <v>2087</v>
      </c>
      <c r="E15" s="97" t="s">
        <v>2087</v>
      </c>
      <c r="F15" s="93" t="s">
        <v>2088</v>
      </c>
      <c r="G15" s="93" t="s">
        <v>2088</v>
      </c>
      <c r="H15" s="93" t="s">
        <v>2088</v>
      </c>
      <c r="I15" s="94" t="s">
        <v>2046</v>
      </c>
      <c r="J15" s="94" t="s">
        <v>2046</v>
      </c>
      <c r="K15" s="94" t="s">
        <v>2046</v>
      </c>
      <c r="L15" s="98" t="s">
        <v>2089</v>
      </c>
    </row>
    <row r="16" spans="1:12" ht="44.1" customHeight="1" x14ac:dyDescent="0.25">
      <c r="A16" s="67" t="s">
        <v>1618</v>
      </c>
      <c r="B16" s="91"/>
      <c r="C16" s="92" t="s">
        <v>1619</v>
      </c>
      <c r="D16" s="92" t="s">
        <v>2090</v>
      </c>
      <c r="E16" s="92" t="s">
        <v>1621</v>
      </c>
      <c r="F16" s="93" t="s">
        <v>1619</v>
      </c>
      <c r="G16" s="93" t="s">
        <v>1620</v>
      </c>
      <c r="H16" s="93" t="s">
        <v>1621</v>
      </c>
      <c r="I16" s="94" t="s">
        <v>2046</v>
      </c>
      <c r="J16" s="99" t="s">
        <v>2059</v>
      </c>
      <c r="K16" s="94" t="s">
        <v>2046</v>
      </c>
      <c r="L16" s="100" t="s">
        <v>2091</v>
      </c>
    </row>
    <row r="17" spans="1:12" ht="5.0999999999999996" customHeight="1" x14ac:dyDescent="0.25"/>
    <row r="18" spans="1:12" ht="18" customHeight="1" x14ac:dyDescent="0.25">
      <c r="A18" s="105" t="s">
        <v>2092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</row>
    <row r="19" spans="1:12" ht="44.1" customHeight="1" x14ac:dyDescent="0.25">
      <c r="A19" s="73" t="s">
        <v>2093</v>
      </c>
      <c r="B19" s="91"/>
      <c r="C19" s="97" t="s">
        <v>2094</v>
      </c>
      <c r="D19" s="97" t="s">
        <v>2095</v>
      </c>
      <c r="E19" s="97" t="s">
        <v>2096</v>
      </c>
      <c r="F19" s="93" t="s">
        <v>2097</v>
      </c>
      <c r="G19" s="93" t="s">
        <v>2098</v>
      </c>
      <c r="H19" s="93" t="s">
        <v>2099</v>
      </c>
      <c r="I19" s="94" t="s">
        <v>2046</v>
      </c>
      <c r="J19" s="99" t="s">
        <v>2059</v>
      </c>
      <c r="K19" s="95" t="s">
        <v>2047</v>
      </c>
      <c r="L19" s="100" t="s">
        <v>2100</v>
      </c>
    </row>
    <row r="20" spans="1:12" ht="44.1" customHeight="1" x14ac:dyDescent="0.25">
      <c r="A20" s="67" t="s">
        <v>2101</v>
      </c>
      <c r="B20" s="91"/>
      <c r="C20" s="116">
        <v>7083</v>
      </c>
      <c r="D20" s="92" t="s">
        <v>2102</v>
      </c>
      <c r="E20" s="92" t="s">
        <v>2103</v>
      </c>
      <c r="F20" s="93" t="s">
        <v>2104</v>
      </c>
      <c r="G20" s="93" t="s">
        <v>2105</v>
      </c>
      <c r="H20" s="93" t="s">
        <v>2106</v>
      </c>
      <c r="I20" s="94" t="s">
        <v>2046</v>
      </c>
      <c r="J20" s="99" t="s">
        <v>2059</v>
      </c>
      <c r="K20" s="99" t="s">
        <v>2059</v>
      </c>
      <c r="L20" s="100" t="s">
        <v>2107</v>
      </c>
    </row>
    <row r="21" spans="1:12" ht="44.1" customHeight="1" x14ac:dyDescent="0.25">
      <c r="A21" s="73" t="s">
        <v>1634</v>
      </c>
      <c r="B21" s="91"/>
      <c r="C21" s="97" t="s">
        <v>2108</v>
      </c>
      <c r="D21" s="97" t="s">
        <v>2109</v>
      </c>
      <c r="E21" s="97" t="s">
        <v>2110</v>
      </c>
      <c r="F21" s="93" t="s">
        <v>1635</v>
      </c>
      <c r="G21" s="93" t="s">
        <v>1636</v>
      </c>
      <c r="H21" s="93" t="s">
        <v>1637</v>
      </c>
      <c r="I21" s="94" t="s">
        <v>2046</v>
      </c>
      <c r="J21" s="99" t="s">
        <v>2059</v>
      </c>
      <c r="K21" s="99" t="s">
        <v>2059</v>
      </c>
      <c r="L21" s="100" t="s">
        <v>2111</v>
      </c>
    </row>
    <row r="22" spans="1:12" ht="5.0999999999999996" customHeight="1" x14ac:dyDescent="0.25"/>
    <row r="23" spans="1:12" ht="18" customHeight="1" x14ac:dyDescent="0.25">
      <c r="A23" s="105" t="s">
        <v>2112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</row>
    <row r="24" spans="1:12" ht="44.1" customHeight="1" x14ac:dyDescent="0.25">
      <c r="A24" s="67" t="s">
        <v>2113</v>
      </c>
      <c r="B24" s="91"/>
      <c r="C24" s="92" t="s">
        <v>2114</v>
      </c>
      <c r="D24" s="92" t="s">
        <v>2232</v>
      </c>
      <c r="E24" s="92" t="s">
        <v>2115</v>
      </c>
      <c r="F24" s="93" t="s">
        <v>2116</v>
      </c>
      <c r="G24" s="93" t="s">
        <v>2117</v>
      </c>
      <c r="H24" s="93" t="s">
        <v>2118</v>
      </c>
      <c r="I24" s="94" t="s">
        <v>2046</v>
      </c>
      <c r="J24" s="99" t="s">
        <v>2059</v>
      </c>
      <c r="K24" s="94" t="s">
        <v>2046</v>
      </c>
      <c r="L24" s="100" t="s">
        <v>2119</v>
      </c>
    </row>
    <row r="25" spans="1:12" ht="44.1" customHeight="1" x14ac:dyDescent="0.25">
      <c r="A25" s="73" t="s">
        <v>2120</v>
      </c>
      <c r="B25" s="91"/>
      <c r="C25" s="103" t="s">
        <v>2233</v>
      </c>
      <c r="D25" s="97" t="s">
        <v>2121</v>
      </c>
      <c r="E25" s="97" t="s">
        <v>2122</v>
      </c>
      <c r="F25" s="93" t="s">
        <v>2123</v>
      </c>
      <c r="G25" s="93" t="s">
        <v>2124</v>
      </c>
      <c r="H25" s="93" t="s">
        <v>2125</v>
      </c>
      <c r="I25" s="99" t="s">
        <v>2059</v>
      </c>
      <c r="J25" s="94" t="s">
        <v>2046</v>
      </c>
      <c r="K25" s="99" t="s">
        <v>2059</v>
      </c>
      <c r="L25" s="104" t="s">
        <v>2126</v>
      </c>
    </row>
    <row r="26" spans="1:12" ht="44.1" customHeight="1" x14ac:dyDescent="0.25">
      <c r="A26" s="67" t="s">
        <v>2127</v>
      </c>
      <c r="B26" s="91"/>
      <c r="C26" s="92" t="s">
        <v>2128</v>
      </c>
      <c r="D26" s="92" t="s">
        <v>2129</v>
      </c>
      <c r="E26" s="92" t="s">
        <v>2130</v>
      </c>
      <c r="F26" s="93" t="s">
        <v>2131</v>
      </c>
      <c r="G26" s="93" t="s">
        <v>2132</v>
      </c>
      <c r="H26" s="93" t="s">
        <v>2133</v>
      </c>
      <c r="I26" s="94" t="s">
        <v>2046</v>
      </c>
      <c r="J26" s="99" t="s">
        <v>2059</v>
      </c>
      <c r="K26" s="94" t="s">
        <v>2046</v>
      </c>
      <c r="L26" s="100" t="s">
        <v>2134</v>
      </c>
    </row>
    <row r="27" spans="1:12" ht="5.0999999999999996" customHeight="1" x14ac:dyDescent="0.25"/>
    <row r="28" spans="1:12" ht="18" customHeight="1" x14ac:dyDescent="0.25">
      <c r="A28" s="105" t="s">
        <v>2135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</row>
    <row r="29" spans="1:12" ht="44.1" customHeight="1" x14ac:dyDescent="0.25">
      <c r="A29" s="73" t="s">
        <v>1665</v>
      </c>
      <c r="B29" s="91"/>
      <c r="C29" s="97" t="s">
        <v>2136</v>
      </c>
      <c r="D29" s="97" t="s">
        <v>2137</v>
      </c>
      <c r="E29" s="97" t="s">
        <v>2138</v>
      </c>
      <c r="F29" s="93" t="s">
        <v>2136</v>
      </c>
      <c r="G29" s="93" t="s">
        <v>2137</v>
      </c>
      <c r="H29" s="93" t="s">
        <v>2138</v>
      </c>
      <c r="I29" s="94" t="s">
        <v>2046</v>
      </c>
      <c r="J29" s="94" t="s">
        <v>2046</v>
      </c>
      <c r="K29" s="94" t="s">
        <v>2046</v>
      </c>
      <c r="L29" s="98" t="s">
        <v>2139</v>
      </c>
    </row>
    <row r="30" spans="1:12" ht="44.1" customHeight="1" x14ac:dyDescent="0.25">
      <c r="A30" s="67" t="s">
        <v>2140</v>
      </c>
      <c r="B30" s="91"/>
      <c r="C30" s="92" t="s">
        <v>2141</v>
      </c>
      <c r="D30" s="92" t="s">
        <v>2142</v>
      </c>
      <c r="E30" s="92" t="s">
        <v>2143</v>
      </c>
      <c r="F30" s="93" t="s">
        <v>2144</v>
      </c>
      <c r="G30" s="93" t="s">
        <v>2145</v>
      </c>
      <c r="H30" s="93" t="s">
        <v>2146</v>
      </c>
      <c r="I30" s="94" t="s">
        <v>2046</v>
      </c>
      <c r="J30" s="99" t="s">
        <v>2059</v>
      </c>
      <c r="K30" s="94" t="s">
        <v>2046</v>
      </c>
      <c r="L30" s="100" t="s">
        <v>2147</v>
      </c>
    </row>
    <row r="31" spans="1:12" ht="44.1" customHeight="1" x14ac:dyDescent="0.25">
      <c r="A31" s="73" t="s">
        <v>2148</v>
      </c>
      <c r="B31" s="91"/>
      <c r="C31" s="97" t="s">
        <v>2149</v>
      </c>
      <c r="D31" s="97" t="s">
        <v>2150</v>
      </c>
      <c r="E31" s="97" t="s">
        <v>2151</v>
      </c>
      <c r="F31" s="93" t="s">
        <v>2152</v>
      </c>
      <c r="G31" s="93" t="s">
        <v>2153</v>
      </c>
      <c r="H31" s="93" t="s">
        <v>2154</v>
      </c>
      <c r="I31" s="94" t="s">
        <v>2046</v>
      </c>
      <c r="J31" s="94" t="s">
        <v>2046</v>
      </c>
      <c r="K31" s="94" t="s">
        <v>2046</v>
      </c>
      <c r="L31" s="98" t="s">
        <v>2155</v>
      </c>
    </row>
    <row r="32" spans="1:12" ht="5.0999999999999996" customHeight="1" x14ac:dyDescent="0.25"/>
    <row r="33" spans="1:12" ht="18" customHeight="1" x14ac:dyDescent="0.25">
      <c r="A33" s="105" t="s">
        <v>2156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</row>
    <row r="34" spans="1:12" ht="44.1" customHeight="1" x14ac:dyDescent="0.25">
      <c r="A34" s="67" t="s">
        <v>1706</v>
      </c>
      <c r="B34" s="91"/>
      <c r="C34" s="92" t="s">
        <v>2157</v>
      </c>
      <c r="D34" s="92" t="s">
        <v>2158</v>
      </c>
      <c r="E34" s="92" t="s">
        <v>2159</v>
      </c>
      <c r="F34" s="93" t="s">
        <v>1707</v>
      </c>
      <c r="G34" s="93" t="s">
        <v>1708</v>
      </c>
      <c r="H34" s="93" t="s">
        <v>1709</v>
      </c>
      <c r="I34" s="95" t="s">
        <v>2047</v>
      </c>
      <c r="J34" s="94" t="s">
        <v>2046</v>
      </c>
      <c r="K34" s="95" t="s">
        <v>2047</v>
      </c>
      <c r="L34" s="96" t="s">
        <v>2160</v>
      </c>
    </row>
    <row r="35" spans="1:12" ht="44.1" customHeight="1" x14ac:dyDescent="0.25">
      <c r="A35" s="73" t="s">
        <v>2161</v>
      </c>
      <c r="B35" s="91"/>
      <c r="C35" s="97" t="s">
        <v>2162</v>
      </c>
      <c r="D35" s="97" t="s">
        <v>2163</v>
      </c>
      <c r="E35" s="97" t="s">
        <v>2164</v>
      </c>
      <c r="F35" s="93" t="s">
        <v>2165</v>
      </c>
      <c r="G35" s="93" t="s">
        <v>1712</v>
      </c>
      <c r="H35" s="93" t="s">
        <v>2166</v>
      </c>
      <c r="I35" s="94" t="s">
        <v>2046</v>
      </c>
      <c r="J35" s="94" t="s">
        <v>2046</v>
      </c>
      <c r="K35" s="94" t="s">
        <v>2046</v>
      </c>
      <c r="L35" s="98" t="s">
        <v>2167</v>
      </c>
    </row>
    <row r="36" spans="1:12" ht="44.1" customHeight="1" x14ac:dyDescent="0.25">
      <c r="A36" s="67" t="s">
        <v>1714</v>
      </c>
      <c r="B36" s="91"/>
      <c r="C36" s="92" t="s">
        <v>2168</v>
      </c>
      <c r="D36" s="92" t="s">
        <v>2168</v>
      </c>
      <c r="E36" s="92" t="s">
        <v>2168</v>
      </c>
      <c r="F36" s="93" t="s">
        <v>2169</v>
      </c>
      <c r="G36" s="93" t="s">
        <v>2169</v>
      </c>
      <c r="H36" s="93" t="s">
        <v>2169</v>
      </c>
      <c r="I36" s="95" t="s">
        <v>2047</v>
      </c>
      <c r="J36" s="95" t="s">
        <v>2047</v>
      </c>
      <c r="K36" s="95" t="s">
        <v>2047</v>
      </c>
      <c r="L36" s="96" t="s">
        <v>2170</v>
      </c>
    </row>
    <row r="37" spans="1:12" ht="44.1" customHeight="1" x14ac:dyDescent="0.25">
      <c r="A37" s="73" t="s">
        <v>1716</v>
      </c>
      <c r="B37" s="91"/>
      <c r="C37" s="97" t="s">
        <v>2171</v>
      </c>
      <c r="D37" s="97" t="s">
        <v>2171</v>
      </c>
      <c r="E37" s="97" t="s">
        <v>2171</v>
      </c>
      <c r="F37" s="93" t="s">
        <v>1717</v>
      </c>
      <c r="G37" s="93" t="s">
        <v>1717</v>
      </c>
      <c r="H37" s="93" t="s">
        <v>1717</v>
      </c>
      <c r="I37" s="94" t="s">
        <v>2046</v>
      </c>
      <c r="J37" s="94" t="s">
        <v>2046</v>
      </c>
      <c r="K37" s="94" t="s">
        <v>2046</v>
      </c>
      <c r="L37" s="98" t="s">
        <v>2172</v>
      </c>
    </row>
    <row r="38" spans="1:12" ht="44.1" customHeight="1" x14ac:dyDescent="0.25">
      <c r="A38" s="67" t="s">
        <v>1719</v>
      </c>
      <c r="B38" s="91"/>
      <c r="C38" s="92" t="s">
        <v>2173</v>
      </c>
      <c r="D38" s="92" t="s">
        <v>2174</v>
      </c>
      <c r="E38" s="92" t="s">
        <v>2175</v>
      </c>
      <c r="F38" s="93" t="s">
        <v>1609</v>
      </c>
      <c r="G38" s="93" t="s">
        <v>1609</v>
      </c>
      <c r="H38" s="93" t="s">
        <v>1609</v>
      </c>
      <c r="I38" s="94" t="s">
        <v>2046</v>
      </c>
      <c r="J38" s="94" t="s">
        <v>2046</v>
      </c>
      <c r="K38" s="94" t="s">
        <v>2046</v>
      </c>
      <c r="L38" s="98" t="s">
        <v>2176</v>
      </c>
    </row>
    <row r="39" spans="1:12" ht="5.0999999999999996" customHeight="1" x14ac:dyDescent="0.25"/>
    <row r="40" spans="1:12" ht="18" customHeight="1" x14ac:dyDescent="0.25">
      <c r="A40" s="105" t="s">
        <v>2177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</row>
    <row r="41" spans="1:12" ht="44.1" customHeight="1" x14ac:dyDescent="0.25">
      <c r="A41" s="73" t="s">
        <v>2178</v>
      </c>
      <c r="B41" s="91" t="s">
        <v>2179</v>
      </c>
      <c r="C41" s="97" t="s">
        <v>2180</v>
      </c>
      <c r="D41" s="97" t="s">
        <v>2181</v>
      </c>
      <c r="E41" s="97" t="s">
        <v>2181</v>
      </c>
      <c r="F41" s="93" t="s">
        <v>2182</v>
      </c>
      <c r="G41" s="93" t="s">
        <v>2182</v>
      </c>
      <c r="H41" s="93" t="s">
        <v>2182</v>
      </c>
      <c r="I41" s="95" t="s">
        <v>2047</v>
      </c>
      <c r="J41" s="95" t="s">
        <v>2047</v>
      </c>
      <c r="K41" s="95" t="s">
        <v>2047</v>
      </c>
      <c r="L41" s="96" t="s">
        <v>2183</v>
      </c>
    </row>
    <row r="42" spans="1:12" ht="44.1" customHeight="1" x14ac:dyDescent="0.25">
      <c r="A42" s="67" t="s">
        <v>2184</v>
      </c>
      <c r="B42" s="91" t="s">
        <v>2185</v>
      </c>
      <c r="C42" s="92" t="s">
        <v>2186</v>
      </c>
      <c r="D42" s="92" t="s">
        <v>2187</v>
      </c>
      <c r="E42" s="92" t="s">
        <v>2188</v>
      </c>
      <c r="F42" s="93" t="s">
        <v>2189</v>
      </c>
      <c r="G42" s="93" t="s">
        <v>2182</v>
      </c>
      <c r="H42" s="93" t="s">
        <v>2190</v>
      </c>
      <c r="I42" s="94" t="s">
        <v>2046</v>
      </c>
      <c r="J42" s="99" t="s">
        <v>2059</v>
      </c>
      <c r="K42" s="94" t="s">
        <v>2046</v>
      </c>
      <c r="L42" s="100" t="s">
        <v>2191</v>
      </c>
    </row>
    <row r="43" spans="1:12" ht="44.1" customHeight="1" x14ac:dyDescent="0.25">
      <c r="A43" s="73" t="s">
        <v>2192</v>
      </c>
      <c r="B43" s="91" t="s">
        <v>2193</v>
      </c>
      <c r="C43" s="97" t="s">
        <v>2194</v>
      </c>
      <c r="D43" s="97" t="s">
        <v>2195</v>
      </c>
      <c r="E43" s="97" t="s">
        <v>2196</v>
      </c>
      <c r="F43" s="93" t="s">
        <v>2190</v>
      </c>
      <c r="G43" s="93" t="s">
        <v>2190</v>
      </c>
      <c r="H43" s="93" t="s">
        <v>2197</v>
      </c>
      <c r="I43" s="94" t="s">
        <v>2046</v>
      </c>
      <c r="J43" s="94" t="s">
        <v>2046</v>
      </c>
      <c r="K43" s="94" t="s">
        <v>2046</v>
      </c>
      <c r="L43" s="98" t="s">
        <v>2198</v>
      </c>
    </row>
    <row r="44" spans="1:12" ht="44.1" customHeight="1" x14ac:dyDescent="0.25">
      <c r="A44" s="67" t="s">
        <v>1553</v>
      </c>
      <c r="B44" s="91" t="s">
        <v>2199</v>
      </c>
      <c r="C44" s="92" t="s">
        <v>2200</v>
      </c>
      <c r="D44" s="92" t="s">
        <v>2201</v>
      </c>
      <c r="E44" s="92" t="s">
        <v>2202</v>
      </c>
      <c r="F44" s="93" t="s">
        <v>2203</v>
      </c>
      <c r="G44" s="93" t="s">
        <v>2189</v>
      </c>
      <c r="H44" s="93" t="s">
        <v>2190</v>
      </c>
      <c r="I44" s="94" t="s">
        <v>2046</v>
      </c>
      <c r="J44" s="94" t="s">
        <v>2046</v>
      </c>
      <c r="K44" s="94" t="s">
        <v>2046</v>
      </c>
      <c r="L44" s="98" t="s">
        <v>2204</v>
      </c>
    </row>
    <row r="45" spans="1:12" ht="44.1" customHeight="1" x14ac:dyDescent="0.25">
      <c r="A45" s="73" t="s">
        <v>1558</v>
      </c>
      <c r="B45" s="91" t="s">
        <v>2205</v>
      </c>
      <c r="C45" s="97" t="s">
        <v>2206</v>
      </c>
      <c r="D45" s="97" t="s">
        <v>2207</v>
      </c>
      <c r="E45" s="97" t="s">
        <v>2188</v>
      </c>
      <c r="F45" s="93" t="s">
        <v>2208</v>
      </c>
      <c r="G45" s="93" t="s">
        <v>2209</v>
      </c>
      <c r="H45" s="93" t="s">
        <v>2190</v>
      </c>
      <c r="I45" s="94" t="s">
        <v>2046</v>
      </c>
      <c r="J45" s="94" t="s">
        <v>2046</v>
      </c>
      <c r="K45" s="94" t="s">
        <v>2046</v>
      </c>
      <c r="L45" s="98" t="s">
        <v>2210</v>
      </c>
    </row>
    <row r="46" spans="1:12" ht="44.1" customHeight="1" x14ac:dyDescent="0.25">
      <c r="A46" s="67" t="s">
        <v>2211</v>
      </c>
      <c r="B46" s="91" t="s">
        <v>2212</v>
      </c>
      <c r="C46" s="92" t="s">
        <v>2213</v>
      </c>
      <c r="D46" s="92" t="s">
        <v>2214</v>
      </c>
      <c r="E46" s="92" t="s">
        <v>2215</v>
      </c>
      <c r="F46" s="93" t="s">
        <v>2203</v>
      </c>
      <c r="G46" s="93" t="s">
        <v>2189</v>
      </c>
      <c r="H46" s="93" t="s">
        <v>2190</v>
      </c>
      <c r="I46" s="94" t="s">
        <v>2046</v>
      </c>
      <c r="J46" s="94" t="s">
        <v>2046</v>
      </c>
      <c r="K46" s="94" t="s">
        <v>2046</v>
      </c>
      <c r="L46" s="98" t="s">
        <v>2216</v>
      </c>
    </row>
    <row r="47" spans="1:12" ht="44.1" customHeight="1" x14ac:dyDescent="0.25">
      <c r="A47" s="73" t="s">
        <v>2217</v>
      </c>
      <c r="B47" s="91" t="s">
        <v>2218</v>
      </c>
      <c r="C47" s="97" t="s">
        <v>2219</v>
      </c>
      <c r="D47" s="97" t="s">
        <v>2220</v>
      </c>
      <c r="E47" s="97" t="s">
        <v>2221</v>
      </c>
      <c r="F47" s="93" t="s">
        <v>2222</v>
      </c>
      <c r="G47" s="93" t="s">
        <v>2223</v>
      </c>
      <c r="H47" s="93" t="s">
        <v>2222</v>
      </c>
      <c r="I47" s="94" t="s">
        <v>2046</v>
      </c>
      <c r="J47" s="94" t="s">
        <v>2046</v>
      </c>
      <c r="K47" s="94" t="s">
        <v>2046</v>
      </c>
      <c r="L47" s="98" t="s">
        <v>2224</v>
      </c>
    </row>
    <row r="48" spans="1:12" ht="5.0999999999999996" customHeight="1" x14ac:dyDescent="0.25"/>
    <row r="49" spans="1:12" ht="36" customHeight="1" x14ac:dyDescent="0.25">
      <c r="A49" s="107" t="s">
        <v>2231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</row>
  </sheetData>
  <mergeCells count="9">
    <mergeCell ref="A33:L33"/>
    <mergeCell ref="A40:L40"/>
    <mergeCell ref="A49:L49"/>
    <mergeCell ref="A1:L1"/>
    <mergeCell ref="A5:L5"/>
    <mergeCell ref="A9:L9"/>
    <mergeCell ref="A18:L18"/>
    <mergeCell ref="A23:L23"/>
    <mergeCell ref="A28:L28"/>
  </mergeCells>
  <pageMargins left="0.7" right="0.7" top="0.75" bottom="0.75" header="0.3" footer="0.3"/>
  <pageSetup orientation="portrait" r:id="rId1"/>
  <headerFooter differentFirst="1">
    <oddHeader>&amp;LClassification: &amp;"Microsoft Sans Serif,Bold Italic"Confidential</oddHeader>
    <oddFooter>&amp;C_x000D_&amp;1#&amp;"Aptos"&amp;10&amp;K008000 Ejada Public Information</oddFooter>
    <firstHeader>&amp;LClassification: &amp;"Microsoft Sans Serif,Bold Italic"Confidential</firstHeader>
    <firstFooter>&amp;C_x000D_&amp;1#&amp;"Aptos"&amp;10&amp;K008000 Ejada Public Information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6582c062-6731-4565-ab45-1636e7096da5</TitusGUID>
  <TitusMetadata xmlns="">eyJucyI6Imh0dHA6XC9cL3d3dy50aXR1cy5jb21cL25zXC9lbXQiLCJwcm9wcyI6W3sibiI6IkNsYXNzaWZpY2F0aW9uU2NoZW1hIiwidmFscyI6W3sidmFsdWUiOiJDT05GSURFTlRJQUwifV19XX0=</TitusMetadata>
</titus>
</file>

<file path=customXml/itemProps1.xml><?xml version="1.0" encoding="utf-8"?>
<ds:datastoreItem xmlns:ds="http://schemas.openxmlformats.org/officeDocument/2006/customXml" ds:itemID="{C9C4BC3A-3BC8-4B8E-A1EF-8E9AB5B7858B}">
  <ds:schemaRefs>
    <ds:schemaRef ds:uri="http://schemas.titus.com/TitusProperties/"/>
    <ds:schemaRef ds:uri=""/>
  </ds:schemaRefs>
</ds:datastoreItem>
</file>

<file path=docMetadata/LabelInfo.xml><?xml version="1.0" encoding="utf-8"?>
<clbl:labelList xmlns:clbl="http://schemas.microsoft.com/office/2020/mipLabelMetadata">
  <clbl:label id="{b5ab016a-022d-4842-b407-a61897a39a0c}" enabled="1" method="Privilege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ACC-146 Trans</vt:lpstr>
      <vt:lpstr>ACC-146 Response</vt:lpstr>
      <vt:lpstr>ACC-148 Trans</vt:lpstr>
      <vt:lpstr>ACC-148 Response</vt:lpstr>
      <vt:lpstr>ACC-149 Trans</vt:lpstr>
      <vt:lpstr>ACC-149 Response</vt:lpstr>
      <vt:lpstr>Scoring results</vt:lpstr>
      <vt:lpstr>Scoring Configuration</vt:lpstr>
      <vt:lpstr>QA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Al Haddad | Ejada Systems</cp:lastModifiedBy>
  <cp:revision>0</cp:revision>
  <dcterms:created xsi:type="dcterms:W3CDTF">2026-05-14T07:33:32Z</dcterms:created>
  <dcterms:modified xsi:type="dcterms:W3CDTF">2026-06-11T07:46:08Z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6582c062-6731-4565-ab45-1636e7096da5</vt:lpwstr>
  </property>
  <property fmtid="{D5CDD505-2E9C-101B-9397-08002B2CF9AE}" pid="3" name="ClassificationSchema">
    <vt:lpwstr>CONFIDENTIAL</vt:lpwstr>
  </property>
</Properties>
</file>